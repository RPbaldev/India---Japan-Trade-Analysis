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CV Portfolio Project\Excel\"/>
    </mc:Choice>
  </mc:AlternateContent>
  <bookViews>
    <workbookView xWindow="0" yWindow="0" windowWidth="23040" windowHeight="8616"/>
  </bookViews>
  <sheets>
    <sheet name="Product_Mapping" sheetId="1" r:id="rId1"/>
    <sheet name="HS_Category_Map" sheetId="2" r:id="rId2"/>
    <sheet name="Category_Function_Map" sheetId="3"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 i="1" l="1"/>
  <c r="E4" i="1" s="1"/>
  <c r="D5" i="1"/>
  <c r="E5" i="1" s="1"/>
  <c r="D6" i="1"/>
  <c r="E6" i="1" s="1"/>
  <c r="D7" i="1"/>
  <c r="E7" i="1" s="1"/>
  <c r="D8" i="1"/>
  <c r="E8" i="1" s="1"/>
  <c r="D9" i="1"/>
  <c r="E9" i="1" s="1"/>
  <c r="D10" i="1"/>
  <c r="E10" i="1" s="1"/>
  <c r="D11" i="1"/>
  <c r="E11" i="1" s="1"/>
  <c r="D12" i="1"/>
  <c r="E12" i="1" s="1"/>
  <c r="D13" i="1"/>
  <c r="E13" i="1" s="1"/>
  <c r="D14" i="1"/>
  <c r="E14" i="1" s="1"/>
  <c r="D15" i="1"/>
  <c r="E15" i="1" s="1"/>
  <c r="D16" i="1"/>
  <c r="E16" i="1" s="1"/>
  <c r="D17" i="1"/>
  <c r="E17" i="1" s="1"/>
  <c r="D18" i="1"/>
  <c r="E18" i="1" s="1"/>
  <c r="D19" i="1"/>
  <c r="E19" i="1" s="1"/>
  <c r="D20" i="1"/>
  <c r="E20" i="1" s="1"/>
  <c r="D21" i="1"/>
  <c r="E21" i="1" s="1"/>
  <c r="D22" i="1"/>
  <c r="E22" i="1" s="1"/>
  <c r="D23" i="1"/>
  <c r="E23" i="1" s="1"/>
  <c r="D24" i="1"/>
  <c r="E24" i="1" s="1"/>
  <c r="D25" i="1"/>
  <c r="E25" i="1" s="1"/>
  <c r="D26" i="1"/>
  <c r="E26" i="1" s="1"/>
  <c r="D27" i="1"/>
  <c r="E27" i="1" s="1"/>
  <c r="D28" i="1"/>
  <c r="E28" i="1" s="1"/>
  <c r="D29" i="1"/>
  <c r="E29" i="1" s="1"/>
  <c r="D30" i="1"/>
  <c r="E30" i="1" s="1"/>
  <c r="D31" i="1"/>
  <c r="E31" i="1" s="1"/>
  <c r="D32" i="1"/>
  <c r="E32" i="1" s="1"/>
  <c r="D33" i="1"/>
  <c r="E33" i="1" s="1"/>
  <c r="D34" i="1"/>
  <c r="E34" i="1" s="1"/>
  <c r="D35" i="1"/>
  <c r="E35" i="1" s="1"/>
  <c r="D36" i="1"/>
  <c r="E36" i="1" s="1"/>
  <c r="D37" i="1"/>
  <c r="E37" i="1" s="1"/>
  <c r="D38" i="1"/>
  <c r="E38" i="1" s="1"/>
  <c r="D39" i="1"/>
  <c r="E39" i="1" s="1"/>
  <c r="D40" i="1"/>
  <c r="E40" i="1" s="1"/>
  <c r="D41" i="1"/>
  <c r="E41" i="1" s="1"/>
  <c r="D42" i="1"/>
  <c r="E42" i="1" s="1"/>
  <c r="D43" i="1"/>
  <c r="E43" i="1" s="1"/>
  <c r="D44" i="1"/>
  <c r="E44" i="1" s="1"/>
  <c r="D45" i="1"/>
  <c r="E45" i="1" s="1"/>
  <c r="D46" i="1"/>
  <c r="E46" i="1" s="1"/>
  <c r="D47" i="1"/>
  <c r="E47" i="1" s="1"/>
  <c r="D48" i="1"/>
  <c r="E48" i="1" s="1"/>
  <c r="D49" i="1"/>
  <c r="E49" i="1" s="1"/>
  <c r="D50" i="1"/>
  <c r="E50" i="1" s="1"/>
  <c r="D51" i="1"/>
  <c r="E51" i="1" s="1"/>
  <c r="D52" i="1"/>
  <c r="E52" i="1" s="1"/>
  <c r="D53" i="1"/>
  <c r="E53" i="1" s="1"/>
  <c r="D54" i="1"/>
  <c r="E54" i="1" s="1"/>
  <c r="D55" i="1"/>
  <c r="E55" i="1" s="1"/>
  <c r="D56" i="1"/>
  <c r="E56" i="1" s="1"/>
  <c r="D57" i="1"/>
  <c r="E57" i="1" s="1"/>
  <c r="D58" i="1"/>
  <c r="E58" i="1" s="1"/>
  <c r="D59" i="1"/>
  <c r="E59" i="1" s="1"/>
  <c r="D60" i="1"/>
  <c r="E60" i="1" s="1"/>
  <c r="D61" i="1"/>
  <c r="E61" i="1" s="1"/>
  <c r="D62" i="1"/>
  <c r="E62" i="1" s="1"/>
  <c r="D63" i="1"/>
  <c r="E63" i="1" s="1"/>
  <c r="D64" i="1"/>
  <c r="E64" i="1" s="1"/>
  <c r="D65" i="1"/>
  <c r="E65" i="1" s="1"/>
  <c r="D66" i="1"/>
  <c r="E66" i="1" s="1"/>
  <c r="D67" i="1"/>
  <c r="E67" i="1" s="1"/>
  <c r="D68" i="1"/>
  <c r="E68" i="1" s="1"/>
  <c r="D69" i="1"/>
  <c r="E69" i="1" s="1"/>
  <c r="D70" i="1"/>
  <c r="E70" i="1" s="1"/>
  <c r="D71" i="1"/>
  <c r="E71" i="1" s="1"/>
  <c r="D72" i="1"/>
  <c r="E72" i="1" s="1"/>
  <c r="D73" i="1"/>
  <c r="E73" i="1" s="1"/>
  <c r="D74" i="1"/>
  <c r="E74" i="1" s="1"/>
  <c r="D75" i="1"/>
  <c r="E75" i="1" s="1"/>
  <c r="D76" i="1"/>
  <c r="E76" i="1" s="1"/>
  <c r="D77" i="1"/>
  <c r="E77" i="1" s="1"/>
  <c r="D78" i="1"/>
  <c r="E78" i="1" s="1"/>
  <c r="D79" i="1"/>
  <c r="E79" i="1" s="1"/>
  <c r="D80" i="1"/>
  <c r="E80" i="1" s="1"/>
  <c r="D81" i="1"/>
  <c r="E81" i="1" s="1"/>
  <c r="D82" i="1"/>
  <c r="E82" i="1" s="1"/>
  <c r="D83" i="1"/>
  <c r="E83" i="1" s="1"/>
  <c r="D84" i="1"/>
  <c r="E84" i="1" s="1"/>
  <c r="D85" i="1"/>
  <c r="E85" i="1" s="1"/>
  <c r="D86" i="1"/>
  <c r="E86" i="1" s="1"/>
  <c r="D87" i="1"/>
  <c r="E87" i="1" s="1"/>
  <c r="D88" i="1"/>
  <c r="E88" i="1" s="1"/>
  <c r="D89" i="1"/>
  <c r="E89" i="1" s="1"/>
  <c r="D90" i="1"/>
  <c r="E90" i="1" s="1"/>
  <c r="D91" i="1"/>
  <c r="E91" i="1" s="1"/>
  <c r="D92" i="1"/>
  <c r="E92" i="1" s="1"/>
  <c r="D93" i="1"/>
  <c r="E93" i="1" s="1"/>
  <c r="D94" i="1"/>
  <c r="E94" i="1" s="1"/>
  <c r="D95" i="1"/>
  <c r="E95" i="1" s="1"/>
  <c r="D96" i="1"/>
  <c r="E96" i="1" s="1"/>
  <c r="D97" i="1"/>
  <c r="E97" i="1" s="1"/>
  <c r="D98" i="1"/>
  <c r="E98" i="1" s="1"/>
  <c r="D99" i="1"/>
  <c r="E99" i="1" s="1"/>
  <c r="D100" i="1"/>
  <c r="E100" i="1" s="1"/>
  <c r="D101" i="1"/>
  <c r="E101" i="1" s="1"/>
  <c r="D102" i="1"/>
  <c r="E102" i="1" s="1"/>
  <c r="D103" i="1"/>
  <c r="E103" i="1" s="1"/>
  <c r="D104" i="1"/>
  <c r="E104" i="1" s="1"/>
  <c r="D105" i="1"/>
  <c r="E105" i="1" s="1"/>
  <c r="D106" i="1"/>
  <c r="E106" i="1" s="1"/>
  <c r="D107" i="1"/>
  <c r="E107" i="1" s="1"/>
  <c r="D108" i="1"/>
  <c r="E108" i="1" s="1"/>
  <c r="D109" i="1"/>
  <c r="E109" i="1" s="1"/>
  <c r="D110" i="1"/>
  <c r="E110" i="1" s="1"/>
  <c r="D111" i="1"/>
  <c r="E111" i="1" s="1"/>
  <c r="D112" i="1"/>
  <c r="E112" i="1" s="1"/>
  <c r="D113" i="1"/>
  <c r="E113" i="1" s="1"/>
  <c r="D114" i="1"/>
  <c r="E114" i="1" s="1"/>
  <c r="D115" i="1"/>
  <c r="E115" i="1" s="1"/>
  <c r="D116" i="1"/>
  <c r="E116" i="1" s="1"/>
  <c r="D117" i="1"/>
  <c r="E117" i="1" s="1"/>
  <c r="D118" i="1"/>
  <c r="E118" i="1" s="1"/>
  <c r="D119" i="1"/>
  <c r="E119" i="1" s="1"/>
  <c r="D120" i="1"/>
  <c r="E120" i="1" s="1"/>
  <c r="D121" i="1"/>
  <c r="E121" i="1" s="1"/>
  <c r="D122" i="1"/>
  <c r="E122" i="1" s="1"/>
  <c r="D123" i="1"/>
  <c r="E123" i="1" s="1"/>
  <c r="D124" i="1"/>
  <c r="E124" i="1" s="1"/>
  <c r="D125" i="1"/>
  <c r="E125" i="1" s="1"/>
  <c r="D126" i="1"/>
  <c r="E126" i="1" s="1"/>
  <c r="D127" i="1"/>
  <c r="E127" i="1" s="1"/>
  <c r="D128" i="1"/>
  <c r="E128" i="1" s="1"/>
  <c r="D129" i="1"/>
  <c r="E129" i="1" s="1"/>
  <c r="D130" i="1"/>
  <c r="E130" i="1" s="1"/>
  <c r="D131" i="1"/>
  <c r="E131" i="1" s="1"/>
  <c r="D132" i="1"/>
  <c r="E132" i="1" s="1"/>
  <c r="D133" i="1"/>
  <c r="E133" i="1" s="1"/>
  <c r="D134" i="1"/>
  <c r="E134" i="1" s="1"/>
  <c r="D135" i="1"/>
  <c r="E135" i="1" s="1"/>
  <c r="D136" i="1"/>
  <c r="E136" i="1" s="1"/>
  <c r="D137" i="1"/>
  <c r="E137" i="1" s="1"/>
  <c r="D138" i="1"/>
  <c r="E138" i="1" s="1"/>
  <c r="D139" i="1"/>
  <c r="E139" i="1" s="1"/>
  <c r="D140" i="1"/>
  <c r="E140" i="1" s="1"/>
  <c r="D141" i="1"/>
  <c r="E141" i="1" s="1"/>
  <c r="D142" i="1"/>
  <c r="E142" i="1" s="1"/>
  <c r="D143" i="1"/>
  <c r="E143" i="1" s="1"/>
  <c r="D144" i="1"/>
  <c r="E144" i="1" s="1"/>
  <c r="D145" i="1"/>
  <c r="E145" i="1" s="1"/>
  <c r="D146" i="1"/>
  <c r="E146" i="1" s="1"/>
  <c r="D147" i="1"/>
  <c r="E147" i="1" s="1"/>
  <c r="D148" i="1"/>
  <c r="E148" i="1" s="1"/>
  <c r="D149" i="1"/>
  <c r="E149" i="1" s="1"/>
  <c r="D150" i="1"/>
  <c r="E150" i="1" s="1"/>
  <c r="D151" i="1"/>
  <c r="E151" i="1" s="1"/>
  <c r="D152" i="1"/>
  <c r="E152" i="1" s="1"/>
  <c r="D153" i="1"/>
  <c r="E153" i="1" s="1"/>
  <c r="D154" i="1"/>
  <c r="E154" i="1" s="1"/>
  <c r="D155" i="1"/>
  <c r="E155" i="1" s="1"/>
  <c r="D156" i="1"/>
  <c r="E156" i="1" s="1"/>
  <c r="D157" i="1"/>
  <c r="E157" i="1" s="1"/>
  <c r="D158" i="1"/>
  <c r="E158" i="1" s="1"/>
  <c r="D159" i="1"/>
  <c r="E159" i="1" s="1"/>
  <c r="D160" i="1"/>
  <c r="E160" i="1" s="1"/>
  <c r="D161" i="1"/>
  <c r="E161" i="1" s="1"/>
  <c r="D162" i="1"/>
  <c r="E162" i="1" s="1"/>
  <c r="D163" i="1"/>
  <c r="E163" i="1" s="1"/>
  <c r="D164" i="1"/>
  <c r="E164" i="1" s="1"/>
  <c r="D165" i="1"/>
  <c r="E165" i="1" s="1"/>
  <c r="D166" i="1"/>
  <c r="E166" i="1" s="1"/>
  <c r="D167" i="1"/>
  <c r="E167" i="1" s="1"/>
  <c r="D168" i="1"/>
  <c r="E168" i="1" s="1"/>
  <c r="D169" i="1"/>
  <c r="E169" i="1" s="1"/>
  <c r="D170" i="1"/>
  <c r="E170" i="1" s="1"/>
  <c r="D171" i="1"/>
  <c r="E171" i="1" s="1"/>
  <c r="D172" i="1"/>
  <c r="E172" i="1" s="1"/>
  <c r="D173" i="1"/>
  <c r="E173" i="1" s="1"/>
  <c r="D174" i="1"/>
  <c r="E174" i="1" s="1"/>
  <c r="D175" i="1"/>
  <c r="E175" i="1" s="1"/>
  <c r="D176" i="1"/>
  <c r="E176" i="1" s="1"/>
  <c r="D177" i="1"/>
  <c r="E177" i="1" s="1"/>
  <c r="D178" i="1"/>
  <c r="E178" i="1" s="1"/>
  <c r="D179" i="1"/>
  <c r="E179" i="1" s="1"/>
  <c r="D180" i="1"/>
  <c r="E180" i="1" s="1"/>
  <c r="D181" i="1"/>
  <c r="E181" i="1" s="1"/>
  <c r="D182" i="1"/>
  <c r="E182" i="1" s="1"/>
  <c r="D183" i="1"/>
  <c r="E183" i="1" s="1"/>
  <c r="D184" i="1"/>
  <c r="E184" i="1" s="1"/>
  <c r="D185" i="1"/>
  <c r="E185" i="1" s="1"/>
  <c r="D186" i="1"/>
  <c r="E186" i="1" s="1"/>
  <c r="D187" i="1"/>
  <c r="E187" i="1" s="1"/>
  <c r="D188" i="1"/>
  <c r="E188" i="1" s="1"/>
  <c r="D189" i="1"/>
  <c r="E189" i="1" s="1"/>
  <c r="D190" i="1"/>
  <c r="E190" i="1" s="1"/>
  <c r="D191" i="1"/>
  <c r="E191" i="1" s="1"/>
  <c r="D192" i="1"/>
  <c r="E192" i="1" s="1"/>
  <c r="D193" i="1"/>
  <c r="E193" i="1" s="1"/>
  <c r="D194" i="1"/>
  <c r="E194" i="1" s="1"/>
  <c r="D195" i="1"/>
  <c r="E195" i="1" s="1"/>
  <c r="D196" i="1"/>
  <c r="E196" i="1" s="1"/>
  <c r="D197" i="1"/>
  <c r="E197" i="1" s="1"/>
  <c r="D198" i="1"/>
  <c r="E198" i="1" s="1"/>
  <c r="D199" i="1"/>
  <c r="E199" i="1" s="1"/>
  <c r="D200" i="1"/>
  <c r="E200" i="1" s="1"/>
  <c r="D201" i="1"/>
  <c r="E201" i="1" s="1"/>
  <c r="D202" i="1"/>
  <c r="E202" i="1" s="1"/>
  <c r="D203" i="1"/>
  <c r="E203" i="1" s="1"/>
  <c r="D204" i="1"/>
  <c r="E204" i="1" s="1"/>
  <c r="D205" i="1"/>
  <c r="E205" i="1" s="1"/>
  <c r="D206" i="1"/>
  <c r="E206" i="1" s="1"/>
  <c r="D207" i="1"/>
  <c r="E207" i="1" s="1"/>
  <c r="D208" i="1"/>
  <c r="E208" i="1" s="1"/>
  <c r="D209" i="1"/>
  <c r="E209" i="1" s="1"/>
  <c r="D210" i="1"/>
  <c r="E210" i="1" s="1"/>
  <c r="D211" i="1"/>
  <c r="E211" i="1" s="1"/>
  <c r="D212" i="1"/>
  <c r="E212" i="1" s="1"/>
  <c r="D213" i="1"/>
  <c r="E213" i="1" s="1"/>
  <c r="D214" i="1"/>
  <c r="E214" i="1" s="1"/>
  <c r="D215" i="1"/>
  <c r="E215" i="1" s="1"/>
  <c r="D216" i="1"/>
  <c r="E216" i="1" s="1"/>
  <c r="D217" i="1"/>
  <c r="E217" i="1" s="1"/>
  <c r="D218" i="1"/>
  <c r="E218" i="1" s="1"/>
  <c r="D219" i="1"/>
  <c r="E219" i="1" s="1"/>
  <c r="D220" i="1"/>
  <c r="E220" i="1" s="1"/>
  <c r="D221" i="1"/>
  <c r="E221" i="1" s="1"/>
  <c r="D222" i="1"/>
  <c r="E222" i="1" s="1"/>
  <c r="D223" i="1"/>
  <c r="E223" i="1" s="1"/>
  <c r="D224" i="1"/>
  <c r="E224" i="1" s="1"/>
  <c r="D225" i="1"/>
  <c r="E225" i="1" s="1"/>
  <c r="D226" i="1"/>
  <c r="E226" i="1" s="1"/>
  <c r="D227" i="1"/>
  <c r="E227" i="1" s="1"/>
  <c r="D228" i="1"/>
  <c r="E228" i="1" s="1"/>
  <c r="D229" i="1"/>
  <c r="E229" i="1" s="1"/>
  <c r="D230" i="1"/>
  <c r="E230" i="1" s="1"/>
  <c r="D231" i="1"/>
  <c r="E231" i="1" s="1"/>
  <c r="D232" i="1"/>
  <c r="E232" i="1" s="1"/>
  <c r="D233" i="1"/>
  <c r="E233" i="1" s="1"/>
  <c r="D234" i="1"/>
  <c r="E234" i="1" s="1"/>
  <c r="D235" i="1"/>
  <c r="E235" i="1" s="1"/>
  <c r="D236" i="1"/>
  <c r="E236" i="1" s="1"/>
  <c r="D237" i="1"/>
  <c r="E237" i="1" s="1"/>
  <c r="D238" i="1"/>
  <c r="E238" i="1" s="1"/>
  <c r="D239" i="1"/>
  <c r="E239" i="1" s="1"/>
  <c r="D240" i="1"/>
  <c r="E240" i="1" s="1"/>
  <c r="D241" i="1"/>
  <c r="E241" i="1" s="1"/>
  <c r="D242" i="1"/>
  <c r="E242" i="1" s="1"/>
  <c r="D243" i="1"/>
  <c r="E243" i="1" s="1"/>
  <c r="D244" i="1"/>
  <c r="E244" i="1" s="1"/>
  <c r="D245" i="1"/>
  <c r="E245" i="1" s="1"/>
  <c r="D246" i="1"/>
  <c r="E246" i="1" s="1"/>
  <c r="D247" i="1"/>
  <c r="E247" i="1" s="1"/>
  <c r="D248" i="1"/>
  <c r="E248" i="1" s="1"/>
  <c r="D249" i="1"/>
  <c r="E249" i="1" s="1"/>
  <c r="D250" i="1"/>
  <c r="E250" i="1" s="1"/>
  <c r="D251" i="1"/>
  <c r="E251" i="1" s="1"/>
  <c r="D252" i="1"/>
  <c r="E252" i="1" s="1"/>
  <c r="D253" i="1"/>
  <c r="E253" i="1" s="1"/>
  <c r="D254" i="1"/>
  <c r="E254" i="1" s="1"/>
  <c r="D255" i="1"/>
  <c r="E255" i="1" s="1"/>
  <c r="D256" i="1"/>
  <c r="E256" i="1" s="1"/>
  <c r="D257" i="1"/>
  <c r="E257" i="1" s="1"/>
  <c r="D258" i="1"/>
  <c r="E258" i="1" s="1"/>
  <c r="D259" i="1"/>
  <c r="E259" i="1" s="1"/>
  <c r="D3" i="1"/>
  <c r="E3" i="1" s="1"/>
  <c r="D2" i="1"/>
  <c r="E2" i="1" s="1"/>
</calcChain>
</file>

<file path=xl/sharedStrings.xml><?xml version="1.0" encoding="utf-8"?>
<sst xmlns="http://schemas.openxmlformats.org/spreadsheetml/2006/main" count="288" uniqueCount="276">
  <si>
    <t>HS Chapter</t>
  </si>
  <si>
    <t>HS6 Code</t>
  </si>
  <si>
    <t>Product Description</t>
  </si>
  <si>
    <t xml:space="preserve">Electronic integrated circuits; parts thereof </t>
  </si>
  <si>
    <t xml:space="preserve">Electrical apparatus for switching or protecting electrical circuits, or for making connections to or in electrical circuits, e.g., switches, relays, fuses, surge suppressors, plugs, sockets, lamp holders and junction boxes, for a voltage &lt;= 1.000 V (excl. control desks, cabinets, panels etc. of heading 8537) </t>
  </si>
  <si>
    <t xml:space="preserve">Semiconductor devices "e.g. diodes, transistors, semiconductor-based transducers"; photosensitive semiconductor devices, incl. photovoltaic cells whether or not assembled in modules or made up into panels (excl. photovoltaic generators); light emitting diodes "LED", whether or not assembled with other light-emitting diodes "LED"; mounted piezoelectric crystals; parts thereof </t>
  </si>
  <si>
    <t xml:space="preserve">Electrical transformers, static converters, e.g. rectifiers, and inductors; parts thereof </t>
  </si>
  <si>
    <t xml:space="preserve">Boards, panels, consoles, desks, cabinets and other bases, equipped with two or more apparatus of heading 8535 or 8536, for electric control or the distribution of electricity, incl. those incorporating instruments or apparatus of chapter 90, and numerical control apparatus (excl. switching apparatus for line telephony or line telegraphy) </t>
  </si>
  <si>
    <t xml:space="preserve">Electric, incl. electrically heated gas, laser or other light or photon beam, ultrasonic, electron beam, magnetic pulse or plasma arc soldering, brazing or welding machines and apparatus, whether or not capable of cutting; electric machines and apparatus for hot spraying of metals, metal carbides or cermets; parts thereof (excl. guns for spraying hot materials of heading 8424) </t>
  </si>
  <si>
    <t xml:space="preserve">Electrical capacitors, fixed, variable or adjustable "pre-set"; parts thereof </t>
  </si>
  <si>
    <t xml:space="preserve">Electrical ignition or starting equipment of a kind used for spark-ignition or compression-ignition internal combustion engines, e.g. ignition magnetos, magneto-dynamos, ignition coils, sparking plugs, glow plugs and starter motors; generators, e.g. dynamos and alternators, and cut-outs of a kind used in conjunction with such engines; parts thereof </t>
  </si>
  <si>
    <t xml:space="preserve">Electric accumulators, incl. separators therefor, whether or not square or rectangular; parts thereof (excl. spent and those of unhardened rubber or textiles) </t>
  </si>
  <si>
    <t xml:space="preserve">Electric motors and generators (excl. generating sets) </t>
  </si>
  <si>
    <t xml:space="preserve">Transmission apparatus for radio-broadcasting or television, whether or not incorporating reception apparatus or sound recording or reproducing apparatus; television cameras, digital cameras and video camera recorders </t>
  </si>
  <si>
    <t xml:space="preserve">Parts suitable for use solely or principally with the apparatus of heading 8535, 8536 or 8537, n.e.s. </t>
  </si>
  <si>
    <t xml:space="preserve">Insulated "incl. enamelled or anodised" wire, cable "incl. coaxial cable" and other insulated electric conductors, whether or not fitted with connectors; optical fibre cables, made up of individually sheathed fibres, whether or not assembled with electric conductors or fitted with connectors </t>
  </si>
  <si>
    <t xml:space="preserve">Flat panel display modules, whether or not incorporating touch-sensitive screens </t>
  </si>
  <si>
    <t xml:space="preserve">Telephone sets, incl. smartphones and other telephones for cellular networks or for other wireless networks; other apparatus for the transmission or reception of voice, images or other data, incl. apparatus for communication in a wired or wireless network, parts thereof (excl. transmission or reception apparatus of heading 8443, 8525, 8527 or 8528) </t>
  </si>
  <si>
    <t xml:space="preserve">Insulating fittings for electrical machines, appliances or equipment, being fittings wholly of insulating material apart from any minor components of metal, e.g., threaded sockets, incorporated during moulding solely for purposes of assembly (other than insulators of heading 8546); electrical conduit tubing and joints therefor, of base metal lined with insulating material </t>
  </si>
  <si>
    <t xml:space="preserve">Electrical machines and apparatus, having individual functions, n.e.s. in chapter 85 and parts thereof </t>
  </si>
  <si>
    <t xml:space="preserve">Electrical resistors, incl. rheostats and potentiometers (excl. heating resistors); parts thereof </t>
  </si>
  <si>
    <t xml:space="preserve">Electrical lighting or signalling equipment (excl. lamps of heading 8539), windscreen wipers, defrosters and demisters, of a kind used for cycles or motor vehicles; parts thereof </t>
  </si>
  <si>
    <t xml:space="preserve">Discs, tapes, solid-state non-volatile storage devices, "smart cards" and other media for the recording of sound or of other phenomena, whether or not recorded, incl. matrices and masters for the production of discs (excl. products of chapter 37) </t>
  </si>
  <si>
    <t xml:space="preserve">Parts suitable for use solely or principally with electric motors and generators, electric generating sets and rotary converters, n.e.s. </t>
  </si>
  <si>
    <t xml:space="preserve">Electromagnets (excl. magnets for medical use); permanent magnets and articles intended to become permanent magnets after magnetization; electromagnetic or permanent magnet chucks, clamps and similar holding devices; electromagnetic couplings, clutches and brakes; electromagnetic lifting heads; parts thereof </t>
  </si>
  <si>
    <t xml:space="preserve">Electric filament or discharge lamps, incl. sealed beam lamp units and ultraviolet or infra-red lamps; arc lamps; light-emitting diode "LED" light sources; parts thereof </t>
  </si>
  <si>
    <t xml:space="preserve">Printed circuits </t>
  </si>
  <si>
    <t xml:space="preserve">Industrial or laboratory electric furnaces and ovens, incl. those functioning by induction or dielectric loss; other industrial or laboratory equipment for the heat treatment of materials by induction or dielectric loss; parts thereof </t>
  </si>
  <si>
    <t xml:space="preserve">Parts suitable for use solely or principally with flat panel display modules, transmission and reception apparatus for radio-telephony, radio-telegraphy, radio-broadcasting, television, television cameras, still image video cameras and other video camera recorders, radar apparatus, radio navigational aid apparatus or radio remote control apparatus, n.e.s. </t>
  </si>
  <si>
    <t xml:space="preserve">Thermionic, cold cathode or photo-cathode valves and tubes, e.g. vacuum or vapour or gas filled valves and tubes, mercury arc rectifying valves and tubes, cathode ray tubes and television camera tubes; parts thereof </t>
  </si>
  <si>
    <t xml:space="preserve">Electric instantaneous or storage water heaters and immersion heaters; electric space-heating apparatus and soil-heating apparatus; electro-thermic hairdressing apparatus, e.g. hairdryers, hair curlers and curling tong heaters, and hand dryers; electric smoothing irons; other electro-thermic appliances of a kind used for domestic purposes; electric heating resistors (other than those of heading 8545); parts thereof </t>
  </si>
  <si>
    <t xml:space="preserve">Carbon electrodes, carbon brushes, lamp carbons, battery carbons and other articles of graphite or other carbon, with or without metal, of a kind used for electrical purposes </t>
  </si>
  <si>
    <t xml:space="preserve">Monitors and projectors, not incorporating television reception apparatus; reception apparatus for television, whether or not incorporating radio-broadcast receivers or sound or video recording or reproducing apparatus </t>
  </si>
  <si>
    <t xml:space="preserve">Electrical signalling, safety or traffic control equipment for railways, tramways, roads, inland waterways, parking facilities, port installations or airfields (excl. mechanical or electromechanical equipment of heading 8608); parts thereof </t>
  </si>
  <si>
    <t xml:space="preserve">Microphones and stands therefor (excl. cordless microphones with built-in transmitter); loudspeakers, whether or not mounted in their enclosures; headphones and earphones, whether or not combined with a microphone, and sets consisting of a microphone and one or more loudspeakers (excl. telephone sets, hearing aids and helmets with built-in headphones, whether or not incorporating a microphone); audio-frequency electric amplifiers; electric sound amplifier sets; parts thereof </t>
  </si>
  <si>
    <t xml:space="preserve">Primary cells and primary batteries, electrical; parts thereof (excl. spent) </t>
  </si>
  <si>
    <t xml:space="preserve">Electric sound or visual signalling apparatus, e.g. bells, sirens, indicator panels, burglar or fire alarms (excl. those for cycles, motor vehicles and traffic signalling); parts thereof </t>
  </si>
  <si>
    <t xml:space="preserve">Electrical insulators of any material (excl. insulating fittings) </t>
  </si>
  <si>
    <t xml:space="preserve">Electrical apparatus for switching or protecting electrical circuits, or for making connections to or in electrical circuits, e.g., switches, fuses, lightning arresters, voltage limiters, surge suppressors, plugs and other connectors, junction boxes, for a voltage &gt; 1.000 V (excl. control desks, cabinets, panels etc. of heading 8537) </t>
  </si>
  <si>
    <t xml:space="preserve">Reception apparatus for radio-broadcasting, whether or not combined, in the same housing, with sound recording or reproducing apparatus or a clock </t>
  </si>
  <si>
    <t xml:space="preserve">Radar apparatus, radio navigational aid apparatus and radio remote control apparatus </t>
  </si>
  <si>
    <t xml:space="preserve">Video recording or reproducing apparatus, whether or not incorporating a video tuner (excl. video camera recorders) </t>
  </si>
  <si>
    <t xml:space="preserve">Electric generating sets and rotary converters </t>
  </si>
  <si>
    <t xml:space="preserve">Parts and accessories suitable for use solely or principally with sound reproducing and recording apparatus and with video equipment for recording and reproducing pictures and sound </t>
  </si>
  <si>
    <t xml:space="preserve">Vacuum cleaners, incl. dry cleaners and wet vacuum cleaners </t>
  </si>
  <si>
    <t xml:space="preserve">Portable electric lamps designed to function by their own source of energy, e.g. dry batteries, accumulators and magnetos; parts thereof (excl. lighting equipment of heading 8512) </t>
  </si>
  <si>
    <t xml:space="preserve">Sound recording or sound reproducing apparatus </t>
  </si>
  <si>
    <t xml:space="preserve">Electromechanical domestic appliances, with self-contained electric motor; parts thereof (excl. vacuum cleaners, dry and wet vacuum cleaners) </t>
  </si>
  <si>
    <t xml:space="preserve">Waste and scrap of primary cells, primary batteries and electric accumulators; spent primary cells, spent primary batteries and spent electric accumulators; electrical parts of machinery or apparatus, not specified or included elsewhere in chapter 85 </t>
  </si>
  <si>
    <t xml:space="preserve">Electrical and electronic waste and scrap </t>
  </si>
  <si>
    <t xml:space="preserve">Electric shavers, hair clippers and hair-removing appliances, with self-contained electric motor; parts thereof </t>
  </si>
  <si>
    <t xml:space="preserve">Polymers of vinyl chloride or of other halogenated olefins, in primary forms </t>
  </si>
  <si>
    <t xml:space="preserve">Acrylic polymers, in primary forms </t>
  </si>
  <si>
    <t xml:space="preserve">Articles of plastics and articles of other materials of heading 3901 to 3914, n.e.s. </t>
  </si>
  <si>
    <t xml:space="preserve">Amino-resins, phenolic resins and polyurethanes, in primary forms </t>
  </si>
  <si>
    <t xml:space="preserve">Polymers of ethylene, in primary forms </t>
  </si>
  <si>
    <t xml:space="preserve">Cellulose and its chemical derivatives, n.e.s., in primary forms </t>
  </si>
  <si>
    <t xml:space="preserve">Polyacetals, other polyethers and epoxide resins, in primary forms; polycarbonates, alkyd resins, polyallyl esters and other polyesters, in primary forms </t>
  </si>
  <si>
    <t xml:space="preserve">Polymers of propylene or of other olefins, in primary forms </t>
  </si>
  <si>
    <t xml:space="preserve">Self-adhesive plates, sheets, film, foil, tape, strip and other flat shapes, of plastics, whether or not in rolls (excl. floor, wall and ceiling coverings of heading 3918) </t>
  </si>
  <si>
    <t xml:space="preserve">Plates, sheets, film, foil and strip, of non-cellular plastics, not reinforced, laminated, supported or similarly combined with other materials, without backing, unworked or merely surface-worked or merely cut into squares or rectangles (excl. self-adhesive products, and floor, wall and ceiling coverings of heading 3918) </t>
  </si>
  <si>
    <t xml:space="preserve">Polymers of vinyl acetate or of other vinyl esters, in primary forms; other vinyl polymers, in primary forms </t>
  </si>
  <si>
    <t xml:space="preserve">Petroleum resins, coumarone-indene resins, polyterpenes, polysulphides, polysulphones and other polymers and prepolymers produced by chemical synthesis, n.e.s., in primary forms </t>
  </si>
  <si>
    <t xml:space="preserve">Polymers of styrene, in primary forms </t>
  </si>
  <si>
    <t xml:space="preserve">Polyamides, in primary forms </t>
  </si>
  <si>
    <t xml:space="preserve">Articles for the conveyance or packaging of goods, of plastics; stoppers, lids, caps and other closures, of plastics </t>
  </si>
  <si>
    <t xml:space="preserve">Silicones in primary forms </t>
  </si>
  <si>
    <t xml:space="preserve">Tubes, pipes and hoses, and fittings therefor, e.g. joints, elbows, flanges, of plastics </t>
  </si>
  <si>
    <t xml:space="preserve">Plates, sheets, film, foil and strip, of plastics, reinforced, laminated, supported or similarly combined with other materials, or of cellular plastic, unworked or merely surface-worked or merely cut into squares or rectangles (excl. self-adhesive products, floor, wall and ceiling coverings of heading 3918) </t>
  </si>
  <si>
    <t xml:space="preserve">Ion-exchangers based on polymers of heading 3901 to 3913, in primary forms </t>
  </si>
  <si>
    <t xml:space="preserve">Natural polymers, e.g. alginic acid, and modified natural polymers, e.g. hardened proteins, chemical derivatives of natural rubber, n.e.s., in primary forms </t>
  </si>
  <si>
    <t xml:space="preserve">Monofilament of which any cross-sectional dimension &gt; 1 mm, rods, sticks and profile shapes, of plastics, whether or not surface-worked but not further worked </t>
  </si>
  <si>
    <t xml:space="preserve">Tableware, kitchenware, other household articles and toilet articles, of plastics (excl. baths, shower-baths, washbasins, bidets, lavatory pans, seats and covers, flushing cisterns and similar sanitary ware) </t>
  </si>
  <si>
    <t xml:space="preserve">Builders' ware of plastics, n.e.s. </t>
  </si>
  <si>
    <t xml:space="preserve">Baths, shower-baths, sinks, washbasins, bidets, lavatory pans, seats and covers, flushing cisterns and similar sanitary ware, of plastics </t>
  </si>
  <si>
    <t xml:space="preserve">Floor coverings of plastics, whether or not self-adhesive, in rolls or in the form of tiles; wall or ceiling coverings of plastics, in rolls with a width of &gt;= 45 cm, consisting of a layer of plastics fixed permanently on a backing of any material other than paper, the face side of which is grained, embossed, coloured, design-printed or otherwise decorated </t>
  </si>
  <si>
    <t xml:space="preserve">Waste, parings and scrap, of plastics </t>
  </si>
  <si>
    <t xml:space="preserve">Friction material and articles thereof, e.g., sheets, rolls, strips, segments, discs, washers, pads, not mounted, for brakes, clutches or the like, with a basis of asbestos, other mineral substances or cellulose, whether or not combined with textile or other materials (excl. mounted friction material) </t>
  </si>
  <si>
    <t xml:space="preserve">Millstones, grindstones, grinding wheels and the like, without frameworks, for milling, grinding, pulping, sharpening, polishing, trueing or cutting, hand sharpening or polishing stones, and parts thereof, of natural stone, of agglomerated natural or artificial abrasives, or of ceramics, with or without parts of other materials (excl. perfumed pumice stones and grinding wheels etc. specifically for dental drill engines) </t>
  </si>
  <si>
    <t xml:space="preserve">Articles of stone or of other mineral substances, incl. carbon fibres, articles of carbon fibres and articles of peat, n.e.s. </t>
  </si>
  <si>
    <t xml:space="preserve">Slag-wool, rock-wool and similar mineral wools; exfoliated vermiculite, expanded clays, foamed slag and similar expanded mineral materials; mixtures and articles of heat-insulating, sound-insulating or sound absorbing mineral materials (excl. articles of light concrete, asbestos, asbestos-cement, cellulose fibre-cement or the like, mixtures and other articles of or based on asbestos, and ceramic products) </t>
  </si>
  <si>
    <t xml:space="preserve">Natural or artificial abrasive powder or grain, on a base of textile material, paper, paperboard or other materials, whether or not cut to shape or sewn or otherwise made up </t>
  </si>
  <si>
    <t xml:space="preserve">Worked mica and articles of mica, incl. agglomerated or reconstituted mica, whether or not on a support of paper, paperboard or other materials (excl. electrical insulators, insulating fittings, resistors and capacitors, protective goggles of mica and their glasses, and mica in the form of Christmas tree decorations) </t>
  </si>
  <si>
    <t xml:space="preserve">Fabricated asbestos fibres; mixtures with a basis of asbestos or with a basis of asbestos and magnesium carbonate; articles of such mixtures or of asbestos, e.g., thread, woven fabric, clothing, headgear, footwear, gaskets, whether or not reinforced (excl. friction material with a basis of asbestos, and articles of asbestos-cement) </t>
  </si>
  <si>
    <t xml:space="preserve">Articles of asbestos-cement, cellulose fibre-cement or the like </t>
  </si>
  <si>
    <t xml:space="preserve">Articles of cement, concrete or artificial stone, whether or not reinforced </t>
  </si>
  <si>
    <t xml:space="preserve">Monumental or building stone, natural (excl. slate), worked, and articles; mosaic cubes etc. of natural stone, incl. slate, whether or not on a backing; artificially coloured granules, chippings, powder, of natural stone, incl. slate (excl. setts, curbstones, flagstones; articles of fused basalt and of fired steatite; jewellery, clocks, lamps and parts; buttons, chalks, original sculptures and statuary) </t>
  </si>
  <si>
    <t xml:space="preserve">Worked slate and articles of slate or of agglomerated slate (excluding slate granules, chippings and powder, mosaic cubes and the like, slate pencils, and ready-to-use slates or boards with writing or drawing surfaces) </t>
  </si>
  <si>
    <t xml:space="preserve">Articles of asphalt or of similar materials, e.g. petroleum bitumen or coal tar pitch </t>
  </si>
  <si>
    <t xml:space="preserve">Panels, boards, tiles, blocks and similar articles of vegetable fibre, of straw or of shavings, chips, particles, sawdust or other waste of wood, agglomerated with cement, plaster or other mineral binders (excluding articles of asbestos-cement, cellulose fibre-cement or the like) </t>
  </si>
  <si>
    <t xml:space="preserve">Articles of plaster or of compositions based on plaster (excl. plaster bandages for straightening fractures, put up for retail sale; plaster splints for the treatment of fractures; lightweight with plaster agglomerated building boards or articles for heat-insulation, sound-insulation or sound absorption; anatomic and other models for demonstration purposes; original sculptures and statuary) </t>
  </si>
  <si>
    <t xml:space="preserve">Ceramic wares for laboratory, chemical or other technical uses; ceramic troughs, tubs and similar receptacles used in agriculture; ceramic pots, jars and similar articles used for the conveyance or packing of goods (excl. millstones, polishing stones, grindstones and the like of heading 6804; refractory ceramic goods; household articles; containers for shops; electrical devices, insulators and other insulating fittings) </t>
  </si>
  <si>
    <t xml:space="preserve">Retorts, crucibles, mufflers, nozzles, plugs, supports, cupels, tubes, pipes, sheaths, rods, slide gates and other refractory ceramic goods (excl. those of siliceous fossil meals or of similar siliceous earths, and refractory bricks, blocks, tiles and similar refractory ceramic constructional goods) </t>
  </si>
  <si>
    <t xml:space="preserve">Refractory bricks, blocks, tiles and similar refractory ceramic constructional goods (excl. those of siliceous fossil meals or similar siliceous earths) </t>
  </si>
  <si>
    <t xml:space="preserve">Ceramic articles, n.e.s. </t>
  </si>
  <si>
    <t xml:space="preserve">Ceramic sinks, washbasins, washbasin pedestals, baths, bidets, water closet pans, flushing cisterns, urinals and similar sanitary fixtures (excl. soap dishes, sponge holders, tooth-brush holders, towel hooks and toilet paper holders) </t>
  </si>
  <si>
    <t xml:space="preserve">Tableware, kitchenware, other household articles and toilet articles, of porcelain or china (excl. baths, bidets, sinks and similar sanitary fixtures, statuettes and other ornamental articles, pots, jars, carboys and similar receptacles for the conveyance or packing of goods, and coffee grinders and spice mills with receptacles made of ceramics and working parts of metal) </t>
  </si>
  <si>
    <t xml:space="preserve">Tableware, kitchenware, other household articles and toilet articles, of ceramics other than porcelain or china (excluding baths, bidets, sinks and similar sanitary fixtures, statuettes and other ornamental articles, pots, jars, carboys and similar receptacles for the conveyance or packing of goods, and coffee grinders and spice mills with receptacles made of ceramics and working parts of metal) </t>
  </si>
  <si>
    <t xml:space="preserve">Ceramic flags and paving, hearth or wall tiles; ceramic mosaic cubes and the like, whether or not on a backing (excl. of siliceous fossil meals or similar siliceous earths, refractory goods, tiles specially adapted as table mats, ornamental articles and tiles specifically manufactured for stoves) </t>
  </si>
  <si>
    <t xml:space="preserve">Roofing tiles, chimney pots, cowls, chimney liners, architectural ornaments and other ceramic constructional goods (excl. of siliceous fossil meals or similar siliceous earths, refractory ceramic constructional components, pipes and other components for drainage and similar purposes) </t>
  </si>
  <si>
    <t xml:space="preserve">Ceramic pipes, conduits, guttering and pipe fittings (excluding of siliceous fossil meals or similar siliceous earths, refractory ceramic goods, chimney liners, pipes specifically manufactured for laboratories, insulating tubing and fittings and other piping for electrotechnical purposes) </t>
  </si>
  <si>
    <t xml:space="preserve">Ceramic building bricks, flooring blocks, support or filler tiles and the like (excl. those of siliceous fossil meals or similar siliceous earths, refractory bricks of heading 6902, and flags and pavings, hearth and wall tiles of heading 6907 and 6908) </t>
  </si>
  <si>
    <t xml:space="preserve">Statuettes and other ornamental ceramic articles, n.e.s. </t>
  </si>
  <si>
    <t xml:space="preserve">Bricks, blocks, tiles and other ceramic goods of siliceous fossil meals, e.g. kieselguhr, tripolite or diatomite, or of similar siliceous earths </t>
  </si>
  <si>
    <t xml:space="preserve">Glazed ceramic flags and paving, hearth or wall tiles; glazed ceramic mosaic cubes and the like, whether or not on a backing (excluding of siliceous fossil meals or similar siliceous earths, refractory ceramic goods, tiles specially adapted as table mats, ornamental articles and tiles specifically manufactured for stoves) </t>
  </si>
  <si>
    <t xml:space="preserve">Screws, bolts, nuts, coach screws, screw hooks, rivets, cotters, cotter pins, washers, incl. spring washers, and similar articles, of iron or steel (excl. lag screws, stoppers, plugs and the like, threaded) </t>
  </si>
  <si>
    <t xml:space="preserve">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 </t>
  </si>
  <si>
    <t xml:space="preserve">Articles of iron or steel, n.e.s. (excl. cast articles) </t>
  </si>
  <si>
    <t xml:space="preserve">Tubes, pipes and hollow profiles, seamless, of iron or steel (excl. products of cast iron) </t>
  </si>
  <si>
    <t xml:space="preserve">Tube or pipe fittings "e.g. couplings, elbows, sleeves", of iron or steel </t>
  </si>
  <si>
    <t xml:space="preserve">Springs and leaves for springs, of iron or steel (excl. clock and watch springs, springs for sticks and handles of umbrellas or parasols, shock absorbers and torque rod or torsion bar springs of Section 17) </t>
  </si>
  <si>
    <t xml:space="preserve">Chain and parts thereof, or iron or steel (excl. watch chains, necklace chains and the like, cutting and saw chain, skid chain, scraper chain for conveyors, toothed chain for textile machinery and the like, safety devices with chains for securing doors, measuring chains) </t>
  </si>
  <si>
    <t xml:space="preserve">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 </t>
  </si>
  <si>
    <t xml:space="preserve">Tubes, pipes and hollow profiles "e.g., open seam or welded, riveted or similarly closed", of iron or steel (excl. of cast iron, seamless tubes and pipes and tubes having internal and external circular cross-sections and an external diameter of &gt; 406,4 mm) </t>
  </si>
  <si>
    <t xml:space="preserve">Articles of iron or steel, cast, n.e.s. </t>
  </si>
  <si>
    <t xml:space="preserve">Sewing needles, knitting needles, bodkins, crochet hoods, embroidery stilettos and similar articles, for use in the hand, of iron or steel; safety pins and other pins of iron or steel, n.e.s. </t>
  </si>
  <si>
    <t xml:space="preserve">Tanks, casks, drums, cans, boxes and similar containers, of iron or steel, for any material "other than compressed or liquefied gas", of a capacity of &lt;= 300 l, not fitted with mechanical or thermal equipment, whether or not lined or heat-insulated, n.e.s. </t>
  </si>
  <si>
    <t xml:space="preserve">Cloth, incl. endless bands, grill, netting and fencing, of iron or steel wire, expanded metal of iron or steel (excl. woven products of metal fibres of a kind used for cladding, lining or similar purposes) </t>
  </si>
  <si>
    <t xml:space="preserve">Stranded wire, ropes, cables, plaited bands, slings and the like, of iron or steel (excl. electrically insulated products and twisted fencing wire and barbed wire) </t>
  </si>
  <si>
    <t xml:space="preserve">Reservoirs, tanks, vats and similar containers, of iron or steel, for any material "other than compressed or liquefied gas", of a capacity of &gt; 300 l, not fitted with mechanical or thermal equipment, whether or not lined or heat-insulated (excluding containers specifically constructed or equipped for one or more types of transport) </t>
  </si>
  <si>
    <t xml:space="preserve">Radiators for central heating, non-electrically heated, and parts thereof, of iron or steel; air heaters and hot-air distributors, incl. distributors which can also distribute fresh or conditioned air, non-electrically heated, incorporating a motor-driven fan or blower, and parts thereof, of iron or steel </t>
  </si>
  <si>
    <t xml:space="preserve">Containers of iron or steel, for compressed or liquefied gas (excluding containers specifically constructed or equipped for one or more types of transport) </t>
  </si>
  <si>
    <t xml:space="preserve">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t>
  </si>
  <si>
    <t xml:space="preserve">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 </t>
  </si>
  <si>
    <t xml:space="preserve">Nails, tacks, drawing pins, corrugated nails, staples and similar articles of iron or steel, whether or not with heads of other material (excluding such articles with heads of copper and staples in strips) </t>
  </si>
  <si>
    <t xml:space="preserve">Sanitary ware, and parts thereof, of iron or steel (excl. cans, boxes and similar containers of heading 7310, small wall cabinets for medical supplies or toiletries and other furniture of chapter 94, and fittings) </t>
  </si>
  <si>
    <t xml:space="preserve">Tubes, pipes and hollow profiles, of cast iron </t>
  </si>
  <si>
    <t xml:space="preserve">Anchors, grapnels and parts thereof, of iron or steel </t>
  </si>
  <si>
    <t xml:space="preserve">Sheet piling of iron or steel, whether or not drilled, punched or made from assembled elements; welded angles, shapes and sections, of iron or steel </t>
  </si>
  <si>
    <t xml:space="preserve">Tubes and pipes, having circular cross-sections and an external diameter of &gt; 406,4 mm, of flat-rolled products of iron or steel "e.g., welded, riveted or similarly closed" </t>
  </si>
  <si>
    <t xml:space="preserve">Barbed wire of iron or steel; twisted hoop or single flat wire, barbed or not, and loosely twisted double wire, of a kind used for fencing, of iron or steel </t>
  </si>
  <si>
    <t xml:space="preserve">Copper, refined, and copper alloys, unwrought (excl. copper alloys of heading 7405) </t>
  </si>
  <si>
    <t xml:space="preserve">Copper wire (excl. surgical sutures, stranded wire, cables, plaited bands and the like and other articles of heading 7413, electrically insulated wires and strings for musical instruments) </t>
  </si>
  <si>
    <t xml:space="preserve">Plates, sheets and strip, of copper, of a thickness of &gt; 0,15 mm (excl. expanded sheet and strip copper and electrically insulated strip) </t>
  </si>
  <si>
    <t xml:space="preserve">Other articles of copper, n.e.s. </t>
  </si>
  <si>
    <t xml:space="preserve">Bars, rods and profiles, of copper, n.e.s. </t>
  </si>
  <si>
    <t xml:space="preserve">Waste and scrap, of copper (excluding ingots or other similar unwrought shapes, of remelted copper waste and scrap, ashes and residues containing copper, and waste and scrap of primary cells, primary batteries and electric accumulators) </t>
  </si>
  <si>
    <t xml:space="preserve">Copper, unrefined; copper anodes for electrolytic refining </t>
  </si>
  <si>
    <t xml:space="preserve">Copper foil "whether or not printed or backed with paper, paperboard, plastics or similar backing materials", of a thickness "excl. any backing" of &lt;= 0,15 mm (excl. stamping foils of heading 3212, metal yarns and metallised yarns and foil made up as christmas tree decorating material) </t>
  </si>
  <si>
    <t xml:space="preserve">Copper tube or pipe fittings "e.g., couplings, elbows, sleeves" </t>
  </si>
  <si>
    <t xml:space="preserve">Powders and flakes, of copper (excl. grains of copper and spangles of heading 8308) </t>
  </si>
  <si>
    <t xml:space="preserve">Copper tubes and pipes </t>
  </si>
  <si>
    <t xml:space="preserve">Stranded wire, cables, plaited bands and the like, of copper (excluding electrically insulated products) </t>
  </si>
  <si>
    <t xml:space="preserve">Nails, tacks, drawing pins, staples and similar articles, of copper or with shafts of iron or steel and heads of copper, screws, bolts, nuts, screw hooks, rivets, cotters, cotter pins, washers "incl. spring washers" and similar articles, of copper (excl. staples in strips, and lag screws, plugs, bungs and the like, threaded) </t>
  </si>
  <si>
    <t xml:space="preserve">Table, kitchen or other household articles, sanitary ware, and parts thereof, of copper; pot scourers and scouring or polishing pads, gloves and the like, of copper (excl. cans, boxes and similar containers of heading 7419, articles of the nature of a work implement, articles of cutlery, spoons, ladles, etc., ornamental articles, fittings) </t>
  </si>
  <si>
    <t xml:space="preserve">Copper mattes; cement copper "precipitated copper" </t>
  </si>
  <si>
    <t xml:space="preserve">Master alloys of copper (excluding phosphorus-copper compounds "copper phosphide" containing by weight &gt; 15% phosphorus) </t>
  </si>
  <si>
    <t xml:space="preserve">Waste and scrap, of aluminium (excluding slags, scale and the like from iron and steel production, containing recoverable aluminium in the form of silicates, ingots or other similar unwrought shapes, of remelted waste and scrap, of aluminium, ashes and residues from aluminium production) </t>
  </si>
  <si>
    <t xml:space="preserve">Plates, sheets and strip, of aluminium, of a thickness of &gt; 0,2 mm (excl. expanded plates, sheets and strip) </t>
  </si>
  <si>
    <t xml:space="preserve">Articles of aluminium, n.e.s. </t>
  </si>
  <si>
    <t xml:space="preserve">Aluminium foil, "whether or not printed or backed with paper, paperboard, plastics or similar backing materials", of a thickness "excl. any backing" of &lt;= 0,2 mm (excl. stamping foils of heading 3212, christmas tree decorating material) </t>
  </si>
  <si>
    <t xml:space="preserve">Bars, rods and profiles, of aluminium, n.e.s. </t>
  </si>
  <si>
    <t xml:space="preserve">Aluminium wire (excl. stranded wire, cables, plaited bands and the like and other articles of heading 7614, electrically insulated wires, and strings for musical instruments) </t>
  </si>
  <si>
    <t xml:space="preserve">Aluminium tubes and pipes (excl. hollow profiles) </t>
  </si>
  <si>
    <t xml:space="preserve">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 </t>
  </si>
  <si>
    <t xml:space="preserve">Powder and flakes, of aluminium (excl. pellets of aluminium, and spangles) </t>
  </si>
  <si>
    <t xml:space="preserve">Aluminium tube or pipe fittings "e.g., couplings, elbows, sleeves" </t>
  </si>
  <si>
    <t xml:space="preserve">Casks, drums, cans, boxes and similar containers, incl. rigid or collapsible tubular containers, of aluminium, for any material (other than compressed or liquefied gas), of a capacity of &lt;= 300 l, not fitted with mechanical or thermal equipment, whether or not lined or heat-insulated, n.e.s. </t>
  </si>
  <si>
    <t xml:space="preserve">Unwrought aluminium </t>
  </si>
  <si>
    <t xml:space="preserve">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 </t>
  </si>
  <si>
    <t xml:space="preserve">Aluminium containers for compressed or liquefied gas </t>
  </si>
  <si>
    <t xml:space="preserve">Reservoirs, tanks, vats and similar containers, of aluminium, for any material (other than compressed or liquefied gas), of a capacity of &gt; 300 l, not fitted with mechanical or thermal equipment, whether or not lined or heat-insulated (excluding containers specifically constructed or equipped for one or more types of transport) </t>
  </si>
  <si>
    <t xml:space="preserve">Stranded wire, cables, plaited bands and the like, of aluminium (excl. such products electrically insulated) </t>
  </si>
  <si>
    <t xml:space="preserve">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t>
  </si>
  <si>
    <t xml:space="preserve">Padlocks and locks "key, combination or electrically operated", of base metal; clasps and frames with clasps, incorporating locks, of base metal; keys for any of the foregoing articles, of base metal </t>
  </si>
  <si>
    <t xml:space="preserve">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t>
  </si>
  <si>
    <t xml:space="preserve">Flexible tubing of base metal, with or without fittings </t>
  </si>
  <si>
    <t xml:space="preserve">Sign-plates, nameplates, address-plates and similar plates, numbers, letters and other symbols, of base metal, incl. traffic signs (excluding those of heading 9405, type and the like, and signal boards, signal discs and signal arms for traffic of heading 8608) </t>
  </si>
  <si>
    <t xml:space="preserve">Stoppers, caps and lids, incl. crown corks, screw caps and pouring stoppers, capsules for bottles, threaded bungs, bung covers, seals and other packing accessories, of base metal </t>
  </si>
  <si>
    <t xml:space="preserve">Clasps, frames with clasps, buckles, buckle-clasps, hooks, eyes, eyelets and the like, of base metal, of a kind used for clothing, footwear, awnings, handbags, travel goods or other made-up articles, tubular or bifurcated rivets, of base metal; beads and spangles of base metal </t>
  </si>
  <si>
    <t xml:space="preserve">Fittings for loose-leaf binders or files, letter clips, letter corners, paper clips, indexing tags and similar office articles, of base metal (excl. drawing pins and clasps for books or registers); staples in strips, e.g. for use in offices, upholstery and packaging, of base metal </t>
  </si>
  <si>
    <t xml:space="preserve">Armoured or reinforced safes, strongboxes and doors and safe deposit lockers for strongrooms, cash or deed boxes and the like, of base metal </t>
  </si>
  <si>
    <t xml:space="preserve">Bells, gongs and the like, non-electric, of base metal (excl. musical instruments); statuettes and other ornaments, of base metal (excl. works of art, collectors' pieces and antiques); photograph, picture or similar frames, of base metal; mirrors of base metal (excl. optical elements) </t>
  </si>
  <si>
    <t xml:space="preserve">Filing cabinets, card-index cabinets, paper trays, paper rests, pen trays, office-stamp stands and similar office or desk equipment, of base metal (excluding office furniture of heading 9403 and waste paper bins) </t>
  </si>
  <si>
    <t xml:space="preserve">Machines and mechanical appliances having individual functions, not specified or included elsewhere in this chapter; parts thereof </t>
  </si>
  <si>
    <t xml:space="preserve">Machining centres, unit construction machines "single station" and multi-station transfer machines for working metal </t>
  </si>
  <si>
    <t xml:space="preserve">Turbojets, turbopropellers and other gas turbines </t>
  </si>
  <si>
    <t xml:space="preserve">Printing machinery used for printing by means of plates, cylinders and other printing components of heading 8442 (excl. hectograph or stencil duplicating machines, addressing machines and other office printing machines of heading 8469 to 8472); other printers, copying machines and facsimile machines, whether or not combined; parts thereof </t>
  </si>
  <si>
    <t xml:space="preserve">Parts suitable for use solely or principally with internal combustion piston engine of heading 8407 or 8408 </t>
  </si>
  <si>
    <t xml:space="preserve">Taps, cocks, valves and similar appliances for pipes, boiler shells, tanks, vats or the like, incl. pressure-reducing valves and thermostatically controlled valves; parts thereof </t>
  </si>
  <si>
    <t xml:space="preserve">Machinery for working rubber or plastics or for the manufacture of products from these materials, not specified or included elsewhere in this chapter, parts thereof </t>
  </si>
  <si>
    <t xml:space="preserve">Air or vacuum pumps (excl. gas compound elevators and pneumatic elevators and conveyors); air or other gas compressors and fans; ventilating or recycling hoods incorporating a fan, whether or not fitted with filters; gas-tight biological safety cabinets, whether or not fitted with filters; parts thereof </t>
  </si>
  <si>
    <t xml:space="preserve">Ball or roller bearings (excl. steel balls of heading 7326); parts thereof </t>
  </si>
  <si>
    <t xml:space="preserve">Parts suitable for use solely or principally with the machinery of heading 8425 to 8430, n.e.s. </t>
  </si>
  <si>
    <t xml:space="preserve">Pumps for liquids, whether or not fitted with a measuring device (excl. ceramic pumps and secretion aspirating pumps for medical use and medical pumps carried on or implanted in the body); liquid elevators (excl. pumps); parts thereof </t>
  </si>
  <si>
    <t xml:space="preserve">Machine tools, incl. presses, for working metal by forging, hammering or die forging (excl. rolling mills); machine tools, incl. presses, slitting lines and cut-to-length lines, for working metal by bending, folding, straightening, flattening, shearing, punching, notching or nibbling (excl. draw-benches); presses for working metal or metal carbides (excl. machines of headings 8456 to 8461) </t>
  </si>
  <si>
    <t xml:space="preserve">Weaving machines "looms" </t>
  </si>
  <si>
    <t xml:space="preserve">Centrifuges, incl. centrifugal dryers (excl. those for isotope separation); filtering or purifying machinery and apparatus, for liquids or gases; parts thereof (excl. artificial kidneys) </t>
  </si>
  <si>
    <t xml:space="preserve">Parts and accessories suitable for use solely or principally with the machines of headings 8456 to 8465, incl. work or tool holders, self-opening dieheads, dividing heads and other special attachments for the machines, n.e.s.; tool holders for any type of tool for working in the hand </t>
  </si>
  <si>
    <t xml:space="preserve">Transmission shafts, incl. camshafts and crankshafts, and cranks; bearing housings and plain shaft bearings for machines; gears and gearing; ball or roller screws, gear boxes and other speed changers, incl. torque converters; flywheels and pulleys, incl. pulley blocks, clutches and shaft couplings, incl. universal joints; parts thereof </t>
  </si>
  <si>
    <t xml:space="preserve">Compression-ignition internal combustion piston engine "diesel or semi-diesel engine" </t>
  </si>
  <si>
    <t xml:space="preserve">Self-propelled bulldozers, angledozers, graders, levellers, scrapers, mechanical shovels, excavators, shovel loaders, tamping machines and roadrollers </t>
  </si>
  <si>
    <t xml:space="preserve">Machine tools for deburring, sharpening, grinding, honing, lapping, polishing or otherwise finishing metal or cermets by means of grinding stones, abrasives or polishing products (excl. gear cutting, gear grinding or gear finishing machines of heading 8461 and machines for working in the hand) </t>
  </si>
  <si>
    <t xml:space="preserve">Lathes, incl. turning centres, for removing metal </t>
  </si>
  <si>
    <t xml:space="preserve">Machines for preparing textile fibres; spinning, doubling or twisting machines and other machinery for producing textile yarns (excl. machines of heading 8444); textile reeling or winding, incl. weft-winding, machines, and machines for preparing textile yarns for use on the machines of heading 8446 or 8447 </t>
  </si>
  <si>
    <t xml:space="preserve">Engines and motors (excl. steam turbines, internal combustion piston engine, hydraulic turbines, water wheels, gas turbines and electric motors); parts thereof </t>
  </si>
  <si>
    <t xml:space="preserve">Metal-rolling mills and rolls therefor; parts of metal-rolling mills </t>
  </si>
  <si>
    <t xml:space="preserve">Lifting, handling, loading or unloading machinery, e.g. lifts, escalators, conveyors, teleferics (excl. pulley tackle and hoists, winches and capstans, jacks, cranes of all kinds, mobile lifting frames and straddle carriers, works trucks fitted with a crane, fork-lift trucks and other works trucks fitted with lifting or handling equipment) </t>
  </si>
  <si>
    <t xml:space="preserve">Air conditioning machines comprising a motor-driven fan and elements for changing the temperature and humidity, incl. those machines in which the humidity cannot be separately regulated; parts thereof </t>
  </si>
  <si>
    <t xml:space="preserve">Harvesting or threshing machinery, incl. straw or fodder balers; grass or hay mowers; machines for cleaning, sorting or grading eggs, fruit or other agricultural produce; parts thereof (other than machines for cleaning, sorting or grading seed, grain or dried leguminous vegetables of heading 8437) </t>
  </si>
  <si>
    <t xml:space="preserve">Converters, ladles, ingot moulds and casting machines of a kind used in metallurgy or in metal foundries (excl. metal powder presses); parts thereof </t>
  </si>
  <si>
    <t xml:space="preserve">Parts and accessories (other than covers, carrying cases and the like) suitable for use solely or principally with machines of heading 8469 to 8472, n.e.s. </t>
  </si>
  <si>
    <t xml:space="preserve">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 heat-shrink wrapping machinery; machinery for aerating beverages; parts thereof </t>
  </si>
  <si>
    <t xml:space="preserve">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 </t>
  </si>
  <si>
    <t xml:space="preserve">Machine tools for planing, shaping, slotting, broaching, gear cutting, gear grinding or gear finishing, sawing, cutting-off and other machine tools working by removing metal, sintered metal carbides or cermets, n.e.s. </t>
  </si>
  <si>
    <t xml:space="preserve">Machinery, plant or laboratory equipment whether or not electrically heated (excl. furnaces, ovens and other equipment of heading 8514), for the treatment of materials by a process involving a change of temperature such as heating, cooking, roasting, distilling, rectifying, sterilising, pasteurising, steaming, drying, evaporating, vaporising, condensing or cooling (excl. those used for domestic purposes); instantaneous or storage water heaters, non-electric; parts thereof </t>
  </si>
  <si>
    <t xml:space="preserve">Machine tools for working any material by removal of material, by laser or other light or photon beam, ultrasonic, electro-discharge, electro-chemical, electron beam, ionic-beam or plasma arc processes; water-jet cutting machines (excl. cleaning apparatus operated by ultrasonic processes, soldering and welding machines, incl. those which can be used for cutting, and material testing machines) </t>
  </si>
  <si>
    <t xml:space="preserve">Automatic data-processing machines and units thereof; magnetic or optical readers, machines for transcribing data onto data media in coded form and machines for processing such data, n.e.s. </t>
  </si>
  <si>
    <t xml:space="preserve">Knitting machines, stitch-bonding machines and machines for making gimped yarn, tulle, lace, embroidery, trimmings, braid or net and machines for tufting (excl. hem-stitching machines) </t>
  </si>
  <si>
    <t xml:space="preserve">Steam turbines and other vapour turbines; parts thereof </t>
  </si>
  <si>
    <t xml:space="preserve">Auxiliary machinery for use with machines of heading 8444, 8445, 8446 or 8447, e.g. dobbies, jacquards, automatic stop motions, shuttle changing mechanisms; parts and accessories suitable for use solely or principally with the machines of this heading or of heading 8444, 8445, 8446 or 8447, e.g. spindles and spindle flyers, card clothing, combs, extruding nipples, shuttles, healds and heald-frames, hosiery needles </t>
  </si>
  <si>
    <t xml:space="preserve">Machine tools, incl. way-type unit head machines, for drilling, boring, milling, threading or tapping (excl. lathes and turning centres of heading 8458, gear cutting machines of heading 8461 and hand-operated machines) </t>
  </si>
  <si>
    <t xml:space="preserve">Fork-lift trucks; other works trucks fitted with lifting or handling equipment (excl. straddle carriers and works trucks fitted with a crane) </t>
  </si>
  <si>
    <t xml:space="preserve">Weighing machinery, incl. weight-operated counting or checking machines (excl. balances of a sensitivity of 5 cg or better); weighing machine weights of all kinds; parts thereof </t>
  </si>
  <si>
    <t xml:space="preserve">Industrial or laboratory furnaces and ovens, non-electric, incl. incinerators (excl. drying ovens and ovens for cracking operations) </t>
  </si>
  <si>
    <t xml:space="preserve">Machines and apparatus of a kind used solely or principally for the manufacture of semiconductor boules or wafers, semiconductor devices, electronic integrated circuits or flat panel displays; machines and apparatus specified in note 11 C to chapter 84; parts and accessories, n.e.s. </t>
  </si>
  <si>
    <t xml:space="preserve">Moulding boxes for metal foundry; mould bases; moulding patterns; moulds for metal (other than ingot moulds), metal carbides, glass, mineral materials, rubber or plastics (excl. moulds of graphite or other carbons, ceramic or glass moulds and linotype moulds or matrices) </t>
  </si>
  <si>
    <t xml:space="preserve">Spark-ignition reciprocating or rotary internal combustion piston engine </t>
  </si>
  <si>
    <t xml:space="preserve">Gaskets and similar joints of metal sheeting combined with other material or of two or more layers of metal; sets or assortments of gaskets and similar joints, dissimilar in composition, put up in pouches, envelopes or similar packings; mechanical seals </t>
  </si>
  <si>
    <t xml:space="preserve">Tools for working in the hand, pneumatic, hydraulic or with self-contained electric or non-electric motor; parts thereof </t>
  </si>
  <si>
    <t xml:space="preserve">Machinery for making up paper pulp, paper or paperboard, incl. cutting machines of all kinds, n.e.s.; parts thereof </t>
  </si>
  <si>
    <t xml:space="preserve">Ships' derricks; cranes, incl. cable cranes (excl. wheel-mounted cranes and vehicle cranes for railways); mobile lifting frames, straddle carriers and works trucks fitted with a crane </t>
  </si>
  <si>
    <t xml:space="preserve">Sewing machines (other than book-sewing machines of heading 8440); furniture, bases and covers specially designed for sewing machines; sewing machine needles; parts thereof </t>
  </si>
  <si>
    <t xml:space="preserve">Machinery for sorting, screening, separating, washing, crushing, grinding, mixing or kneading earth, stone, ores or other mineral substances, in solid, incl. powder or paste, form; machinery for agglomerating, shaping or moulding solid mineral fuels, ceramic paste, unhardened cements, plastering materials or other mineral products in powder or paste form; machines for forming foundry moulds of sand; parts thereof (excl. machines for additive manufacturing) </t>
  </si>
  <si>
    <t xml:space="preserve">Machinery parts, n.e.s. in chapter 84 (excl. parts containing electrical connectors, insulators, coils, contacts or other electrical features) </t>
  </si>
  <si>
    <t xml:space="preserve">Machinery, not specified or included elsewhere in this chapter, for the industrial preparation or manufacture of food or drink (other than machinery for the extraction or preparation of animal or fixed vegetable fats or oils); parts thereof </t>
  </si>
  <si>
    <t xml:space="preserve">Pulley tackle and hoists (other than skip hoists); winches and capstans; jacks </t>
  </si>
  <si>
    <t xml:space="preserve">Machine tools for working stone, ceramics, concrete, asbestos-cement or like mineral materials or for cold-working glass (excl. machines for working in the hand) </t>
  </si>
  <si>
    <t xml:space="preserve">Machine tools for working metal, sintered metal carbides or cermets, without removing material (excl. forging, bending, folding, straightening and flattening presses, shearing machines, punching or notching machines, presses and machines for working in the hand and machines for additive manufacturing) </t>
  </si>
  <si>
    <t xml:space="preserve">Machines for extruding, drawing, texturing or cutting man-made textile materials </t>
  </si>
  <si>
    <t xml:space="preserve">Furnace burners for liquid fuel, for pulverised solid fuel or for gas; mechanical stokers, incl. their mechanical grates, mechanical ash dischargers and similar appliances; parts thereof </t>
  </si>
  <si>
    <t xml:space="preserve">Refrigerators, freezers and other refrigerating or freezing equipment, electric or other; heat pumps; parts thereof (excl. air conditioning machines of heading 8415) </t>
  </si>
  <si>
    <t xml:space="preserve">Machinery and apparatus for soldering, brazing or welding, whether or not capable of cutting (other than those of heading 8515); gas-operated surface tempering machines and appliances; parts thereof </t>
  </si>
  <si>
    <t xml:space="preserve">Machinery (excl. of heading 8450) for washing, cleaning, wringing, drying, ironing, pressing incl. fusing presses, bleaching, dyeing, dressing, finishing, coating or impregnating textile yarns, fabrics or made-up textile articles and for applying paste to the base fabric or other support used in the manufacture of floor coverings like linoleum; machines for reeling, unreeling, folding, cutting or pinking textile fabrics; parts thereof </t>
  </si>
  <si>
    <t xml:space="preserve">Moving, grading, levelling, scraping, excavating, tamping, compacting, extracting or boring machinery, for earth, minerals or ores; pile-drivers and pile-extractors; snowploughs and snowblowers (excl. those mounted on railway wagons, motor vehicle chassis or lorries, self-propelled machinery of heading 8429, lifting, handling, loading or unloading machinery of heading 8425 to 8428 and hand-operated tools) </t>
  </si>
  <si>
    <t xml:space="preserve">Automatic goods-vending machines, e.g. postage stamp, cigarette, food or beverage machines, incl. money-changing machines; parts thereof </t>
  </si>
  <si>
    <t xml:space="preserve">Machinery for preparing, tanning or working hides, skins or leather or for making or repairing footwear or other articles of hides, skins or leather (excl. drying machines, spray guns, machines for the dehairing of pigs, sewing machines and general purpose presses); parts thereof </t>
  </si>
  <si>
    <t xml:space="preserve">Machinery for making pulp of fibrous cellulosic material or for making or finishing paper or paperboard (excl. autoclaves, boilers, dryers, other heating appliances and calenders); parts thereof </t>
  </si>
  <si>
    <t xml:space="preserve">Bookbinding machinery, incl. book-sewing machines (excl. machinery of heading 8441, general-purpose presses, printing machinery of heading 8443 and machines of uses ancillary to printing); parts thereof </t>
  </si>
  <si>
    <t xml:space="preserve">Machine tools, incl. machines for nailing, stapling, glueing or otherwise assembling, for working wood, cork, bone, hard rubber, hard plastics or similar hard materials (excl. machines for working in the hand and machines for additive manufacturing) </t>
  </si>
  <si>
    <t xml:space="preserve">Office machines, e.g. hectograph or stencil duplicating machines, addressing machines, automatic banknote dispensers, coin-sorting machines, coin-counting or coin-wrapping machines, pencil-sharpening machines, perforating or stapling machines, n.e.s. </t>
  </si>
  <si>
    <t xml:space="preserve">Agricultural, horticultural or forestry machinery for soil preparation or cultivation (excl. sprayers and dusters); lawn or sports-ground rollers; parts thereof </t>
  </si>
  <si>
    <t xml:space="preserve">Machines for assembling electric or electronic lamps, tubes or valves or flashbulbs, in glass envelopes; machines for manufacturing or hot working glass or glassware (excl. furnaces and heating apparatus for manufacturing toughened glass, and machines for additive manufacturing); parts thereof </t>
  </si>
  <si>
    <t xml:space="preserve">Calendering or other rolling machines (other than for metals or glass) and cylinders therefor; parts thereof </t>
  </si>
  <si>
    <t xml:space="preserve">Machinery, apparatus and equipment (other than the machines of headings 8456 to 8465) for preparing or making plates, cylinders or other printing components; plates, cylinders and other printing components; plates, cylinders and lithographic stones, prepared for printing purposes, e.g. planed, grained or polished; parts thereof </t>
  </si>
  <si>
    <t xml:space="preserve">Machines for additive manufacturing </t>
  </si>
  <si>
    <t xml:space="preserve">Machines for cleaning, sorting or grading seed, grain or dried leguminous vegetables; machinery used in the milling industry or for the working of cereals or dried leguminous vegetables (excl. farm-type machinery, heat treatment equipment, centrifugal dryers and air filters); parts thereof </t>
  </si>
  <si>
    <t xml:space="preserve">Auxiliary plant for use with boilers of heading 8402 or 8403, e.g. economizers, superheaters, soot removers and gas recoverers; condensers for steam or other vapour power units; parts thereof </t>
  </si>
  <si>
    <t xml:space="preserve">Producer gas or water gas generators, with or without their purifiers; acetylene gas generators and similar water process gas generators, with or without their purifiers; parts thereof (excl. coke ovens, electrolytic process gas generators and carbide lamps) </t>
  </si>
  <si>
    <t xml:space="preserve">Household or laundry-type washing machines, incl. machines which both wash and dry; parts thereof </t>
  </si>
  <si>
    <t xml:space="preserve">Steam or other vapour generating boilers (excl. central heating hot water boilers capable also of producing low pressure steam); superheated water boilers; parts thereof </t>
  </si>
  <si>
    <t xml:space="preserve">Hydraulic turbines, water wheels, and regulators therefor (excl. hydraulic power engines and motors of heading 8412) </t>
  </si>
  <si>
    <t xml:space="preserve">Agricultural, horticultural, forestry, poultry-keeping or bee-keeping machinery, incl. germination plant fitted with mechanical or thermal equipment; poultry incubators and brooders; parts thereof </t>
  </si>
  <si>
    <t xml:space="preserve">Machinery for the manufacture or finishing of felt or nonwovens in the piece or in shapes, incl. machinery for making felt hats; blocks for making hats; parts thereof (excluding machinery for preparing fibres for felt and calenders) </t>
  </si>
  <si>
    <t xml:space="preserve">Machinery for preparing or making up tobacco, not specified or included elsewhere in this chapter; parts thereof </t>
  </si>
  <si>
    <t xml:space="preserve">Nuclear reactors; fuel elements "cartridges", non-irradiated, for nuclear reactors; machinery and apparatus for isotopic separation; parts thereof </t>
  </si>
  <si>
    <t xml:space="preserve">Central heating boilers, non-electric; parts thereof (excl. vapour generating boilers and superheated water boilers of heading 8402) </t>
  </si>
  <si>
    <t xml:space="preserve">Milking machines and dairy machinery (excl. refrigerating or heat treatment equipment, cream separators, clarifying centrifuges, filter presses and other filtering equipment); parts thereof </t>
  </si>
  <si>
    <t xml:space="preserve">Presses, crushers and similar machinery used in the manufacture of wine, cider, fruit juices or similar beverages (excl. machinery for the treatment of these beverages, incl. centrifuges, filter presses, other filtering equipment and domestic appliances); parts thereof </t>
  </si>
  <si>
    <t xml:space="preserve">Typewriters and word-processing machines (excluding automatic data-processing machines and units thereof of heading 8443 and laser, thermal and electrosensitive printers) </t>
  </si>
  <si>
    <t xml:space="preserve">Calculating machines and pocket-size "dimensions &lt;= 170 mm x 100 mm x 45 mm" data recording, reproducing and displaying machines with calculating functions; accounting machines, postage-franking machines, ticket-issuing machines and similar machines, incorporating a calculating device; cash registers (excl. data-processing machines of heading 8471 and automatic goods-vending machines) </t>
  </si>
  <si>
    <t>Ekta Category</t>
  </si>
  <si>
    <t>Business Function</t>
  </si>
  <si>
    <t>Plastics</t>
  </si>
  <si>
    <t>Decorative Materials</t>
  </si>
  <si>
    <t>Sanitary</t>
  </si>
  <si>
    <t>Hardware</t>
  </si>
  <si>
    <t>Electrical</t>
  </si>
  <si>
    <t>Kitchen Fittings</t>
  </si>
  <si>
    <t>Electrical Supplies</t>
  </si>
  <si>
    <t>Building Hardware</t>
  </si>
  <si>
    <t>Kitchen &amp; Mechanical Solutions</t>
  </si>
  <si>
    <t>Bathroom &amp; Sanitary Solutions</t>
  </si>
  <si>
    <t>Interior &amp; Building Materials</t>
  </si>
  <si>
    <t>Plumbing &amp; Plastic Products</t>
  </si>
  <si>
    <t>Product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</si>
</sst>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sz val="8"/>
      <color rgb="FF002B54"/>
      <name val="Arial"/>
      <family val="2"/>
    </font>
    <font>
      <b/>
      <sz val="12"/>
      <color theme="3" tint="-0.499984740745262"/>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horizontal="center" vertical="center"/>
    </xf>
    <xf numFmtId="49" fontId="0" fillId="0" borderId="0" xfId="0" applyNumberFormat="1" applyAlignment="1">
      <alignment horizontal="center" vertical="center"/>
    </xf>
    <xf numFmtId="0" fontId="0" fillId="0" borderId="0" xfId="0" applyAlignment="1"/>
    <xf numFmtId="49" fontId="3" fillId="0" borderId="0" xfId="0" applyNumberFormat="1"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49" fontId="0" fillId="0" borderId="1" xfId="0" applyNumberFormat="1" applyBorder="1" applyAlignment="1">
      <alignment horizontal="center" vertical="center"/>
    </xf>
    <xf numFmtId="49" fontId="2" fillId="0" borderId="1" xfId="0" applyNumberFormat="1" applyFont="1" applyFill="1" applyBorder="1" applyAlignment="1">
      <alignment horizontal="left" vertical="center" wrapText="1" indent="1"/>
    </xf>
    <xf numFmtId="49" fontId="2" fillId="0" borderId="1" xfId="0" applyNumberFormat="1" applyFont="1" applyFill="1" applyBorder="1" applyAlignment="1">
      <alignment horizontal="left" vertical="center"/>
    </xf>
    <xf numFmtId="0" fontId="0" fillId="0" borderId="1" xfId="0"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vertical="center" wrapText="1"/>
    </xf>
    <xf numFmtId="0" fontId="1" fillId="0" borderId="1" xfId="0" applyFont="1" applyBorder="1" applyAlignment="1">
      <alignment horizontal="center" vertical="center"/>
    </xf>
    <xf numFmtId="0" fontId="0" fillId="0" borderId="1" xfId="0" applyBorder="1" applyAlignment="1">
      <alignment vertical="center"/>
    </xf>
  </cellXfs>
  <cellStyles count="1">
    <cellStyle name="Normal" xfId="0" builtinId="0"/>
  </cellStyles>
  <dxfs count="7">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rgb="FF002B54"/>
        <name val="Arial"/>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rgb="FF002B54"/>
        <name val="Arial"/>
        <scheme val="none"/>
      </font>
      <numFmt numFmtId="30" formatCode="@"/>
      <fill>
        <patternFill patternType="none">
          <fgColor indexed="64"/>
          <bgColor indexed="65"/>
        </patternFill>
      </fill>
      <alignment horizontal="left" vertical="center" textRotation="0" wrapText="1"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font>
        <b/>
        <i val="0"/>
        <strike val="0"/>
        <condense val="0"/>
        <extend val="0"/>
        <outline val="0"/>
        <shadow val="0"/>
        <u val="none"/>
        <vertAlign val="baseline"/>
        <sz val="12"/>
        <color theme="3" tint="-0.499984740745262"/>
        <name val="Calibri"/>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1" displayName="Table1" ref="A1:E259" totalsRowShown="0" headerRowDxfId="6" dataDxfId="5">
  <autoFilter ref="A1:E259"/>
  <tableColumns count="5">
    <tableColumn id="1" name="HS Chapter" dataDxfId="4"/>
    <tableColumn id="2" name="HS6 Code" dataDxfId="3"/>
    <tableColumn id="3" name="Product Description" dataDxfId="2"/>
    <tableColumn id="4" name="Product Category" dataDxfId="1">
      <calculatedColumnFormula>VLOOKUP(A2,HS_Category_Map!$A$2:$B$10,2,FALSE)</calculatedColumnFormula>
    </tableColumn>
    <tableColumn id="5" name="Business Function" dataDxfId="0">
      <calculatedColumnFormula>VLOOKUP(D2,Category_Function_Map!$A$2:$B$7,2,FALSE)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9"/>
  <sheetViews>
    <sheetView tabSelected="1" workbookViewId="0">
      <selection activeCell="E10" sqref="E10"/>
    </sheetView>
  </sheetViews>
  <sheetFormatPr defaultRowHeight="14.4" x14ac:dyDescent="0.3"/>
  <cols>
    <col min="1" max="1" width="12.21875" style="2" customWidth="1"/>
    <col min="2" max="2" width="10.88671875" customWidth="1"/>
    <col min="3" max="3" width="19.44140625" style="3" customWidth="1"/>
    <col min="4" max="4" width="18.21875" bestFit="1" customWidth="1"/>
    <col min="5" max="5" width="26.88671875" style="1" bestFit="1" customWidth="1"/>
  </cols>
  <sheetData>
    <row r="1" spans="1:5" ht="15.6" x14ac:dyDescent="0.3">
      <c r="A1" s="4" t="s">
        <v>0</v>
      </c>
      <c r="B1" s="5" t="s">
        <v>1</v>
      </c>
      <c r="C1" s="6" t="s">
        <v>2</v>
      </c>
      <c r="D1" s="5" t="s">
        <v>275</v>
      </c>
      <c r="E1" s="5" t="s">
        <v>262</v>
      </c>
    </row>
    <row r="2" spans="1:5" x14ac:dyDescent="0.3">
      <c r="A2" s="7">
        <v>85</v>
      </c>
      <c r="B2" s="8">
        <v>8542</v>
      </c>
      <c r="C2" s="9" t="s">
        <v>3</v>
      </c>
      <c r="D2" s="10" t="str">
        <f>VLOOKUP(A2,HS_Category_Map!$A$2:$B$10,2,FALSE)</f>
        <v>Electrical</v>
      </c>
      <c r="E2" s="10" t="str">
        <f>VLOOKUP(D2,Category_Function_Map!$A$2:$B$7,2,FALSE)</f>
        <v>Electrical Supplies</v>
      </c>
    </row>
    <row r="3" spans="1:5" x14ac:dyDescent="0.3">
      <c r="A3" s="7">
        <v>85</v>
      </c>
      <c r="B3" s="8">
        <v>8536</v>
      </c>
      <c r="C3" s="9" t="s">
        <v>4</v>
      </c>
      <c r="D3" s="10" t="str">
        <f>VLOOKUP(A3,HS_Category_Map!$A$2:$B$10,2,FALSE)</f>
        <v>Electrical</v>
      </c>
      <c r="E3" s="10" t="str">
        <f>VLOOKUP(D3,Category_Function_Map!$A$2:$B$7,2,FALSE)</f>
        <v>Electrical Supplies</v>
      </c>
    </row>
    <row r="4" spans="1:5" x14ac:dyDescent="0.3">
      <c r="A4" s="7">
        <v>85</v>
      </c>
      <c r="B4" s="8">
        <v>8541</v>
      </c>
      <c r="C4" s="9" t="s">
        <v>5</v>
      </c>
      <c r="D4" s="10" t="str">
        <f>VLOOKUP(A4,HS_Category_Map!$A$2:$B$10,2,FALSE)</f>
        <v>Electrical</v>
      </c>
      <c r="E4" s="10" t="str">
        <f>VLOOKUP(D4,Category_Function_Map!$A$2:$B$7,2,FALSE)</f>
        <v>Electrical Supplies</v>
      </c>
    </row>
    <row r="5" spans="1:5" x14ac:dyDescent="0.3">
      <c r="A5" s="7">
        <v>85</v>
      </c>
      <c r="B5" s="8">
        <v>8504</v>
      </c>
      <c r="C5" s="9" t="s">
        <v>6</v>
      </c>
      <c r="D5" s="10" t="str">
        <f>VLOOKUP(A5,HS_Category_Map!$A$2:$B$10,2,FALSE)</f>
        <v>Electrical</v>
      </c>
      <c r="E5" s="10" t="str">
        <f>VLOOKUP(D5,Category_Function_Map!$A$2:$B$7,2,FALSE)</f>
        <v>Electrical Supplies</v>
      </c>
    </row>
    <row r="6" spans="1:5" x14ac:dyDescent="0.3">
      <c r="A6" s="7">
        <v>85</v>
      </c>
      <c r="B6" s="8">
        <v>8537</v>
      </c>
      <c r="C6" s="9" t="s">
        <v>7</v>
      </c>
      <c r="D6" s="10" t="str">
        <f>VLOOKUP(A6,HS_Category_Map!$A$2:$B$10,2,FALSE)</f>
        <v>Electrical</v>
      </c>
      <c r="E6" s="10" t="str">
        <f>VLOOKUP(D6,Category_Function_Map!$A$2:$B$7,2,FALSE)</f>
        <v>Electrical Supplies</v>
      </c>
    </row>
    <row r="7" spans="1:5" x14ac:dyDescent="0.3">
      <c r="A7" s="7">
        <v>85</v>
      </c>
      <c r="B7" s="8">
        <v>8515</v>
      </c>
      <c r="C7" s="9" t="s">
        <v>8</v>
      </c>
      <c r="D7" s="10" t="str">
        <f>VLOOKUP(A7,HS_Category_Map!$A$2:$B$10,2,FALSE)</f>
        <v>Electrical</v>
      </c>
      <c r="E7" s="10" t="str">
        <f>VLOOKUP(D7,Category_Function_Map!$A$2:$B$7,2,FALSE)</f>
        <v>Electrical Supplies</v>
      </c>
    </row>
    <row r="8" spans="1:5" x14ac:dyDescent="0.3">
      <c r="A8" s="7">
        <v>85</v>
      </c>
      <c r="B8" s="8">
        <v>8532</v>
      </c>
      <c r="C8" s="9" t="s">
        <v>9</v>
      </c>
      <c r="D8" s="10" t="str">
        <f>VLOOKUP(A8,HS_Category_Map!$A$2:$B$10,2,FALSE)</f>
        <v>Electrical</v>
      </c>
      <c r="E8" s="10" t="str">
        <f>VLOOKUP(D8,Category_Function_Map!$A$2:$B$7,2,FALSE)</f>
        <v>Electrical Supplies</v>
      </c>
    </row>
    <row r="9" spans="1:5" x14ac:dyDescent="0.3">
      <c r="A9" s="7">
        <v>85</v>
      </c>
      <c r="B9" s="8">
        <v>8511</v>
      </c>
      <c r="C9" s="9" t="s">
        <v>10</v>
      </c>
      <c r="D9" s="10" t="str">
        <f>VLOOKUP(A9,HS_Category_Map!$A$2:$B$10,2,FALSE)</f>
        <v>Electrical</v>
      </c>
      <c r="E9" s="10" t="str">
        <f>VLOOKUP(D9,Category_Function_Map!$A$2:$B$7,2,FALSE)</f>
        <v>Electrical Supplies</v>
      </c>
    </row>
    <row r="10" spans="1:5" x14ac:dyDescent="0.3">
      <c r="A10" s="7">
        <v>85</v>
      </c>
      <c r="B10" s="8">
        <v>8507</v>
      </c>
      <c r="C10" s="9" t="s">
        <v>11</v>
      </c>
      <c r="D10" s="10" t="str">
        <f>VLOOKUP(A10,HS_Category_Map!$A$2:$B$10,2,FALSE)</f>
        <v>Electrical</v>
      </c>
      <c r="E10" s="10" t="str">
        <f>VLOOKUP(D10,Category_Function_Map!$A$2:$B$7,2,FALSE)</f>
        <v>Electrical Supplies</v>
      </c>
    </row>
    <row r="11" spans="1:5" x14ac:dyDescent="0.3">
      <c r="A11" s="7">
        <v>85</v>
      </c>
      <c r="B11" s="8">
        <v>8501</v>
      </c>
      <c r="C11" s="9" t="s">
        <v>12</v>
      </c>
      <c r="D11" s="10" t="str">
        <f>VLOOKUP(A11,HS_Category_Map!$A$2:$B$10,2,FALSE)</f>
        <v>Electrical</v>
      </c>
      <c r="E11" s="10" t="str">
        <f>VLOOKUP(D11,Category_Function_Map!$A$2:$B$7,2,FALSE)</f>
        <v>Electrical Supplies</v>
      </c>
    </row>
    <row r="12" spans="1:5" x14ac:dyDescent="0.3">
      <c r="A12" s="7">
        <v>85</v>
      </c>
      <c r="B12" s="8">
        <v>8525</v>
      </c>
      <c r="C12" s="9" t="s">
        <v>13</v>
      </c>
      <c r="D12" s="10" t="str">
        <f>VLOOKUP(A12,HS_Category_Map!$A$2:$B$10,2,FALSE)</f>
        <v>Electrical</v>
      </c>
      <c r="E12" s="10" t="str">
        <f>VLOOKUP(D12,Category_Function_Map!$A$2:$B$7,2,FALSE)</f>
        <v>Electrical Supplies</v>
      </c>
    </row>
    <row r="13" spans="1:5" x14ac:dyDescent="0.3">
      <c r="A13" s="7">
        <v>85</v>
      </c>
      <c r="B13" s="8">
        <v>8538</v>
      </c>
      <c r="C13" s="9" t="s">
        <v>14</v>
      </c>
      <c r="D13" s="10" t="str">
        <f>VLOOKUP(A13,HS_Category_Map!$A$2:$B$10,2,FALSE)</f>
        <v>Electrical</v>
      </c>
      <c r="E13" s="10" t="str">
        <f>VLOOKUP(D13,Category_Function_Map!$A$2:$B$7,2,FALSE)</f>
        <v>Electrical Supplies</v>
      </c>
    </row>
    <row r="14" spans="1:5" x14ac:dyDescent="0.3">
      <c r="A14" s="7">
        <v>85</v>
      </c>
      <c r="B14" s="8">
        <v>8544</v>
      </c>
      <c r="C14" s="9" t="s">
        <v>15</v>
      </c>
      <c r="D14" s="10" t="str">
        <f>VLOOKUP(A14,HS_Category_Map!$A$2:$B$10,2,FALSE)</f>
        <v>Electrical</v>
      </c>
      <c r="E14" s="10" t="str">
        <f>VLOOKUP(D14,Category_Function_Map!$A$2:$B$7,2,FALSE)</f>
        <v>Electrical Supplies</v>
      </c>
    </row>
    <row r="15" spans="1:5" x14ac:dyDescent="0.3">
      <c r="A15" s="7">
        <v>85</v>
      </c>
      <c r="B15" s="8">
        <v>8524</v>
      </c>
      <c r="C15" s="9" t="s">
        <v>16</v>
      </c>
      <c r="D15" s="10" t="str">
        <f>VLOOKUP(A15,HS_Category_Map!$A$2:$B$10,2,FALSE)</f>
        <v>Electrical</v>
      </c>
      <c r="E15" s="10" t="str">
        <f>VLOOKUP(D15,Category_Function_Map!$A$2:$B$7,2,FALSE)</f>
        <v>Electrical Supplies</v>
      </c>
    </row>
    <row r="16" spans="1:5" x14ac:dyDescent="0.3">
      <c r="A16" s="7">
        <v>85</v>
      </c>
      <c r="B16" s="8">
        <v>8517</v>
      </c>
      <c r="C16" s="9" t="s">
        <v>17</v>
      </c>
      <c r="D16" s="10" t="str">
        <f>VLOOKUP(A16,HS_Category_Map!$A$2:$B$10,2,FALSE)</f>
        <v>Electrical</v>
      </c>
      <c r="E16" s="10" t="str">
        <f>VLOOKUP(D16,Category_Function_Map!$A$2:$B$7,2,FALSE)</f>
        <v>Electrical Supplies</v>
      </c>
    </row>
    <row r="17" spans="1:5" x14ac:dyDescent="0.3">
      <c r="A17" s="7">
        <v>85</v>
      </c>
      <c r="B17" s="8">
        <v>8547</v>
      </c>
      <c r="C17" s="9" t="s">
        <v>18</v>
      </c>
      <c r="D17" s="10" t="str">
        <f>VLOOKUP(A17,HS_Category_Map!$A$2:$B$10,2,FALSE)</f>
        <v>Electrical</v>
      </c>
      <c r="E17" s="10" t="str">
        <f>VLOOKUP(D17,Category_Function_Map!$A$2:$B$7,2,FALSE)</f>
        <v>Electrical Supplies</v>
      </c>
    </row>
    <row r="18" spans="1:5" x14ac:dyDescent="0.3">
      <c r="A18" s="7">
        <v>85</v>
      </c>
      <c r="B18" s="8">
        <v>8543</v>
      </c>
      <c r="C18" s="9" t="s">
        <v>19</v>
      </c>
      <c r="D18" s="10" t="str">
        <f>VLOOKUP(A18,HS_Category_Map!$A$2:$B$10,2,FALSE)</f>
        <v>Electrical</v>
      </c>
      <c r="E18" s="10" t="str">
        <f>VLOOKUP(D18,Category_Function_Map!$A$2:$B$7,2,FALSE)</f>
        <v>Electrical Supplies</v>
      </c>
    </row>
    <row r="19" spans="1:5" x14ac:dyDescent="0.3">
      <c r="A19" s="7">
        <v>85</v>
      </c>
      <c r="B19" s="8">
        <v>8533</v>
      </c>
      <c r="C19" s="9" t="s">
        <v>20</v>
      </c>
      <c r="D19" s="10" t="str">
        <f>VLOOKUP(A19,HS_Category_Map!$A$2:$B$10,2,FALSE)</f>
        <v>Electrical</v>
      </c>
      <c r="E19" s="10" t="str">
        <f>VLOOKUP(D19,Category_Function_Map!$A$2:$B$7,2,FALSE)</f>
        <v>Electrical Supplies</v>
      </c>
    </row>
    <row r="20" spans="1:5" x14ac:dyDescent="0.3">
      <c r="A20" s="7">
        <v>85</v>
      </c>
      <c r="B20" s="8">
        <v>8512</v>
      </c>
      <c r="C20" s="9" t="s">
        <v>21</v>
      </c>
      <c r="D20" s="10" t="str">
        <f>VLOOKUP(A20,HS_Category_Map!$A$2:$B$10,2,FALSE)</f>
        <v>Electrical</v>
      </c>
      <c r="E20" s="10" t="str">
        <f>VLOOKUP(D20,Category_Function_Map!$A$2:$B$7,2,FALSE)</f>
        <v>Electrical Supplies</v>
      </c>
    </row>
    <row r="21" spans="1:5" x14ac:dyDescent="0.3">
      <c r="A21" s="7">
        <v>85</v>
      </c>
      <c r="B21" s="8">
        <v>8523</v>
      </c>
      <c r="C21" s="9" t="s">
        <v>22</v>
      </c>
      <c r="D21" s="10" t="str">
        <f>VLOOKUP(A21,HS_Category_Map!$A$2:$B$10,2,FALSE)</f>
        <v>Electrical</v>
      </c>
      <c r="E21" s="10" t="str">
        <f>VLOOKUP(D21,Category_Function_Map!$A$2:$B$7,2,FALSE)</f>
        <v>Electrical Supplies</v>
      </c>
    </row>
    <row r="22" spans="1:5" x14ac:dyDescent="0.3">
      <c r="A22" s="7">
        <v>85</v>
      </c>
      <c r="B22" s="8">
        <v>8503</v>
      </c>
      <c r="C22" s="9" t="s">
        <v>23</v>
      </c>
      <c r="D22" s="10" t="str">
        <f>VLOOKUP(A22,HS_Category_Map!$A$2:$B$10,2,FALSE)</f>
        <v>Electrical</v>
      </c>
      <c r="E22" s="10" t="str">
        <f>VLOOKUP(D22,Category_Function_Map!$A$2:$B$7,2,FALSE)</f>
        <v>Electrical Supplies</v>
      </c>
    </row>
    <row r="23" spans="1:5" x14ac:dyDescent="0.3">
      <c r="A23" s="7">
        <v>85</v>
      </c>
      <c r="B23" s="8">
        <v>8505</v>
      </c>
      <c r="C23" s="9" t="s">
        <v>24</v>
      </c>
      <c r="D23" s="10" t="str">
        <f>VLOOKUP(A23,HS_Category_Map!$A$2:$B$10,2,FALSE)</f>
        <v>Electrical</v>
      </c>
      <c r="E23" s="10" t="str">
        <f>VLOOKUP(D23,Category_Function_Map!$A$2:$B$7,2,FALSE)</f>
        <v>Electrical Supplies</v>
      </c>
    </row>
    <row r="24" spans="1:5" x14ac:dyDescent="0.3">
      <c r="A24" s="7">
        <v>85</v>
      </c>
      <c r="B24" s="8">
        <v>8539</v>
      </c>
      <c r="C24" s="9" t="s">
        <v>25</v>
      </c>
      <c r="D24" s="10" t="str">
        <f>VLOOKUP(A24,HS_Category_Map!$A$2:$B$10,2,FALSE)</f>
        <v>Electrical</v>
      </c>
      <c r="E24" s="10" t="str">
        <f>VLOOKUP(D24,Category_Function_Map!$A$2:$B$7,2,FALSE)</f>
        <v>Electrical Supplies</v>
      </c>
    </row>
    <row r="25" spans="1:5" x14ac:dyDescent="0.3">
      <c r="A25" s="7">
        <v>85</v>
      </c>
      <c r="B25" s="8">
        <v>8534</v>
      </c>
      <c r="C25" s="9" t="s">
        <v>26</v>
      </c>
      <c r="D25" s="10" t="str">
        <f>VLOOKUP(A25,HS_Category_Map!$A$2:$B$10,2,FALSE)</f>
        <v>Electrical</v>
      </c>
      <c r="E25" s="10" t="str">
        <f>VLOOKUP(D25,Category_Function_Map!$A$2:$B$7,2,FALSE)</f>
        <v>Electrical Supplies</v>
      </c>
    </row>
    <row r="26" spans="1:5" x14ac:dyDescent="0.3">
      <c r="A26" s="7">
        <v>85</v>
      </c>
      <c r="B26" s="8">
        <v>8514</v>
      </c>
      <c r="C26" s="9" t="s">
        <v>27</v>
      </c>
      <c r="D26" s="10" t="str">
        <f>VLOOKUP(A26,HS_Category_Map!$A$2:$B$10,2,FALSE)</f>
        <v>Electrical</v>
      </c>
      <c r="E26" s="10" t="str">
        <f>VLOOKUP(D26,Category_Function_Map!$A$2:$B$7,2,FALSE)</f>
        <v>Electrical Supplies</v>
      </c>
    </row>
    <row r="27" spans="1:5" x14ac:dyDescent="0.3">
      <c r="A27" s="7">
        <v>85</v>
      </c>
      <c r="B27" s="8">
        <v>8529</v>
      </c>
      <c r="C27" s="9" t="s">
        <v>28</v>
      </c>
      <c r="D27" s="10" t="str">
        <f>VLOOKUP(A27,HS_Category_Map!$A$2:$B$10,2,FALSE)</f>
        <v>Electrical</v>
      </c>
      <c r="E27" s="10" t="str">
        <f>VLOOKUP(D27,Category_Function_Map!$A$2:$B$7,2,FALSE)</f>
        <v>Electrical Supplies</v>
      </c>
    </row>
    <row r="28" spans="1:5" x14ac:dyDescent="0.3">
      <c r="A28" s="7">
        <v>85</v>
      </c>
      <c r="B28" s="8">
        <v>8540</v>
      </c>
      <c r="C28" s="9" t="s">
        <v>29</v>
      </c>
      <c r="D28" s="10" t="str">
        <f>VLOOKUP(A28,HS_Category_Map!$A$2:$B$10,2,FALSE)</f>
        <v>Electrical</v>
      </c>
      <c r="E28" s="10" t="str">
        <f>VLOOKUP(D28,Category_Function_Map!$A$2:$B$7,2,FALSE)</f>
        <v>Electrical Supplies</v>
      </c>
    </row>
    <row r="29" spans="1:5" x14ac:dyDescent="0.3">
      <c r="A29" s="7">
        <v>85</v>
      </c>
      <c r="B29" s="8">
        <v>8516</v>
      </c>
      <c r="C29" s="9" t="s">
        <v>30</v>
      </c>
      <c r="D29" s="10" t="str">
        <f>VLOOKUP(A29,HS_Category_Map!$A$2:$B$10,2,FALSE)</f>
        <v>Electrical</v>
      </c>
      <c r="E29" s="10" t="str">
        <f>VLOOKUP(D29,Category_Function_Map!$A$2:$B$7,2,FALSE)</f>
        <v>Electrical Supplies</v>
      </c>
    </row>
    <row r="30" spans="1:5" x14ac:dyDescent="0.3">
      <c r="A30" s="7">
        <v>85</v>
      </c>
      <c r="B30" s="8">
        <v>8545</v>
      </c>
      <c r="C30" s="9" t="s">
        <v>31</v>
      </c>
      <c r="D30" s="10" t="str">
        <f>VLOOKUP(A30,HS_Category_Map!$A$2:$B$10,2,FALSE)</f>
        <v>Electrical</v>
      </c>
      <c r="E30" s="10" t="str">
        <f>VLOOKUP(D30,Category_Function_Map!$A$2:$B$7,2,FALSE)</f>
        <v>Electrical Supplies</v>
      </c>
    </row>
    <row r="31" spans="1:5" x14ac:dyDescent="0.3">
      <c r="A31" s="7">
        <v>85</v>
      </c>
      <c r="B31" s="8">
        <v>8528</v>
      </c>
      <c r="C31" s="9" t="s">
        <v>32</v>
      </c>
      <c r="D31" s="10" t="str">
        <f>VLOOKUP(A31,HS_Category_Map!$A$2:$B$10,2,FALSE)</f>
        <v>Electrical</v>
      </c>
      <c r="E31" s="10" t="str">
        <f>VLOOKUP(D31,Category_Function_Map!$A$2:$B$7,2,FALSE)</f>
        <v>Electrical Supplies</v>
      </c>
    </row>
    <row r="32" spans="1:5" x14ac:dyDescent="0.3">
      <c r="A32" s="7">
        <v>85</v>
      </c>
      <c r="B32" s="8">
        <v>8530</v>
      </c>
      <c r="C32" s="9" t="s">
        <v>33</v>
      </c>
      <c r="D32" s="10" t="str">
        <f>VLOOKUP(A32,HS_Category_Map!$A$2:$B$10,2,FALSE)</f>
        <v>Electrical</v>
      </c>
      <c r="E32" s="10" t="str">
        <f>VLOOKUP(D32,Category_Function_Map!$A$2:$B$7,2,FALSE)</f>
        <v>Electrical Supplies</v>
      </c>
    </row>
    <row r="33" spans="1:5" x14ac:dyDescent="0.3">
      <c r="A33" s="7">
        <v>85</v>
      </c>
      <c r="B33" s="8">
        <v>8518</v>
      </c>
      <c r="C33" s="9" t="s">
        <v>34</v>
      </c>
      <c r="D33" s="10" t="str">
        <f>VLOOKUP(A33,HS_Category_Map!$A$2:$B$10,2,FALSE)</f>
        <v>Electrical</v>
      </c>
      <c r="E33" s="10" t="str">
        <f>VLOOKUP(D33,Category_Function_Map!$A$2:$B$7,2,FALSE)</f>
        <v>Electrical Supplies</v>
      </c>
    </row>
    <row r="34" spans="1:5" x14ac:dyDescent="0.3">
      <c r="A34" s="7">
        <v>85</v>
      </c>
      <c r="B34" s="8">
        <v>8506</v>
      </c>
      <c r="C34" s="9" t="s">
        <v>35</v>
      </c>
      <c r="D34" s="10" t="str">
        <f>VLOOKUP(A34,HS_Category_Map!$A$2:$B$10,2,FALSE)</f>
        <v>Electrical</v>
      </c>
      <c r="E34" s="10" t="str">
        <f>VLOOKUP(D34,Category_Function_Map!$A$2:$B$7,2,FALSE)</f>
        <v>Electrical Supplies</v>
      </c>
    </row>
    <row r="35" spans="1:5" x14ac:dyDescent="0.3">
      <c r="A35" s="7">
        <v>85</v>
      </c>
      <c r="B35" s="8">
        <v>8531</v>
      </c>
      <c r="C35" s="9" t="s">
        <v>36</v>
      </c>
      <c r="D35" s="10" t="str">
        <f>VLOOKUP(A35,HS_Category_Map!$A$2:$B$10,2,FALSE)</f>
        <v>Electrical</v>
      </c>
      <c r="E35" s="10" t="str">
        <f>VLOOKUP(D35,Category_Function_Map!$A$2:$B$7,2,FALSE)</f>
        <v>Electrical Supplies</v>
      </c>
    </row>
    <row r="36" spans="1:5" x14ac:dyDescent="0.3">
      <c r="A36" s="7">
        <v>85</v>
      </c>
      <c r="B36" s="8">
        <v>8546</v>
      </c>
      <c r="C36" s="9" t="s">
        <v>37</v>
      </c>
      <c r="D36" s="10" t="str">
        <f>VLOOKUP(A36,HS_Category_Map!$A$2:$B$10,2,FALSE)</f>
        <v>Electrical</v>
      </c>
      <c r="E36" s="10" t="str">
        <f>VLOOKUP(D36,Category_Function_Map!$A$2:$B$7,2,FALSE)</f>
        <v>Electrical Supplies</v>
      </c>
    </row>
    <row r="37" spans="1:5" x14ac:dyDescent="0.3">
      <c r="A37" s="7">
        <v>85</v>
      </c>
      <c r="B37" s="8">
        <v>8535</v>
      </c>
      <c r="C37" s="9" t="s">
        <v>38</v>
      </c>
      <c r="D37" s="10" t="str">
        <f>VLOOKUP(A37,HS_Category_Map!$A$2:$B$10,2,FALSE)</f>
        <v>Electrical</v>
      </c>
      <c r="E37" s="10" t="str">
        <f>VLOOKUP(D37,Category_Function_Map!$A$2:$B$7,2,FALSE)</f>
        <v>Electrical Supplies</v>
      </c>
    </row>
    <row r="38" spans="1:5" x14ac:dyDescent="0.3">
      <c r="A38" s="7">
        <v>85</v>
      </c>
      <c r="B38" s="8">
        <v>8527</v>
      </c>
      <c r="C38" s="9" t="s">
        <v>39</v>
      </c>
      <c r="D38" s="10" t="str">
        <f>VLOOKUP(A38,HS_Category_Map!$A$2:$B$10,2,FALSE)</f>
        <v>Electrical</v>
      </c>
      <c r="E38" s="10" t="str">
        <f>VLOOKUP(D38,Category_Function_Map!$A$2:$B$7,2,FALSE)</f>
        <v>Electrical Supplies</v>
      </c>
    </row>
    <row r="39" spans="1:5" x14ac:dyDescent="0.3">
      <c r="A39" s="7">
        <v>85</v>
      </c>
      <c r="B39" s="8">
        <v>8526</v>
      </c>
      <c r="C39" s="9" t="s">
        <v>40</v>
      </c>
      <c r="D39" s="10" t="str">
        <f>VLOOKUP(A39,HS_Category_Map!$A$2:$B$10,2,FALSE)</f>
        <v>Electrical</v>
      </c>
      <c r="E39" s="10" t="str">
        <f>VLOOKUP(D39,Category_Function_Map!$A$2:$B$7,2,FALSE)</f>
        <v>Electrical Supplies</v>
      </c>
    </row>
    <row r="40" spans="1:5" x14ac:dyDescent="0.3">
      <c r="A40" s="7">
        <v>85</v>
      </c>
      <c r="B40" s="8">
        <v>8521</v>
      </c>
      <c r="C40" s="9" t="s">
        <v>41</v>
      </c>
      <c r="D40" s="10" t="str">
        <f>VLOOKUP(A40,HS_Category_Map!$A$2:$B$10,2,FALSE)</f>
        <v>Electrical</v>
      </c>
      <c r="E40" s="10" t="str">
        <f>VLOOKUP(D40,Category_Function_Map!$A$2:$B$7,2,FALSE)</f>
        <v>Electrical Supplies</v>
      </c>
    </row>
    <row r="41" spans="1:5" x14ac:dyDescent="0.3">
      <c r="A41" s="7">
        <v>85</v>
      </c>
      <c r="B41" s="8">
        <v>8502</v>
      </c>
      <c r="C41" s="9" t="s">
        <v>42</v>
      </c>
      <c r="D41" s="10" t="str">
        <f>VLOOKUP(A41,HS_Category_Map!$A$2:$B$10,2,FALSE)</f>
        <v>Electrical</v>
      </c>
      <c r="E41" s="10" t="str">
        <f>VLOOKUP(D41,Category_Function_Map!$A$2:$B$7,2,FALSE)</f>
        <v>Electrical Supplies</v>
      </c>
    </row>
    <row r="42" spans="1:5" x14ac:dyDescent="0.3">
      <c r="A42" s="7">
        <v>85</v>
      </c>
      <c r="B42" s="8">
        <v>8522</v>
      </c>
      <c r="C42" s="9" t="s">
        <v>43</v>
      </c>
      <c r="D42" s="10" t="str">
        <f>VLOOKUP(A42,HS_Category_Map!$A$2:$B$10,2,FALSE)</f>
        <v>Electrical</v>
      </c>
      <c r="E42" s="10" t="str">
        <f>VLOOKUP(D42,Category_Function_Map!$A$2:$B$7,2,FALSE)</f>
        <v>Electrical Supplies</v>
      </c>
    </row>
    <row r="43" spans="1:5" x14ac:dyDescent="0.3">
      <c r="A43" s="7">
        <v>85</v>
      </c>
      <c r="B43" s="8">
        <v>8508</v>
      </c>
      <c r="C43" s="9" t="s">
        <v>44</v>
      </c>
      <c r="D43" s="10" t="str">
        <f>VLOOKUP(A43,HS_Category_Map!$A$2:$B$10,2,FALSE)</f>
        <v>Electrical</v>
      </c>
      <c r="E43" s="10" t="str">
        <f>VLOOKUP(D43,Category_Function_Map!$A$2:$B$7,2,FALSE)</f>
        <v>Electrical Supplies</v>
      </c>
    </row>
    <row r="44" spans="1:5" x14ac:dyDescent="0.3">
      <c r="A44" s="7">
        <v>85</v>
      </c>
      <c r="B44" s="8">
        <v>8513</v>
      </c>
      <c r="C44" s="9" t="s">
        <v>45</v>
      </c>
      <c r="D44" s="10" t="str">
        <f>VLOOKUP(A44,HS_Category_Map!$A$2:$B$10,2,FALSE)</f>
        <v>Electrical</v>
      </c>
      <c r="E44" s="10" t="str">
        <f>VLOOKUP(D44,Category_Function_Map!$A$2:$B$7,2,FALSE)</f>
        <v>Electrical Supplies</v>
      </c>
    </row>
    <row r="45" spans="1:5" x14ac:dyDescent="0.3">
      <c r="A45" s="7">
        <v>85</v>
      </c>
      <c r="B45" s="8">
        <v>8519</v>
      </c>
      <c r="C45" s="9" t="s">
        <v>46</v>
      </c>
      <c r="D45" s="10" t="str">
        <f>VLOOKUP(A45,HS_Category_Map!$A$2:$B$10,2,FALSE)</f>
        <v>Electrical</v>
      </c>
      <c r="E45" s="10" t="str">
        <f>VLOOKUP(D45,Category_Function_Map!$A$2:$B$7,2,FALSE)</f>
        <v>Electrical Supplies</v>
      </c>
    </row>
    <row r="46" spans="1:5" x14ac:dyDescent="0.3">
      <c r="A46" s="7">
        <v>85</v>
      </c>
      <c r="B46" s="8">
        <v>8509</v>
      </c>
      <c r="C46" s="9" t="s">
        <v>47</v>
      </c>
      <c r="D46" s="10" t="str">
        <f>VLOOKUP(A46,HS_Category_Map!$A$2:$B$10,2,FALSE)</f>
        <v>Electrical</v>
      </c>
      <c r="E46" s="10" t="str">
        <f>VLOOKUP(D46,Category_Function_Map!$A$2:$B$7,2,FALSE)</f>
        <v>Electrical Supplies</v>
      </c>
    </row>
    <row r="47" spans="1:5" x14ac:dyDescent="0.3">
      <c r="A47" s="7">
        <v>85</v>
      </c>
      <c r="B47" s="8">
        <v>8548</v>
      </c>
      <c r="C47" s="9" t="s">
        <v>48</v>
      </c>
      <c r="D47" s="10" t="str">
        <f>VLOOKUP(A47,HS_Category_Map!$A$2:$B$10,2,FALSE)</f>
        <v>Electrical</v>
      </c>
      <c r="E47" s="10" t="str">
        <f>VLOOKUP(D47,Category_Function_Map!$A$2:$B$7,2,FALSE)</f>
        <v>Electrical Supplies</v>
      </c>
    </row>
    <row r="48" spans="1:5" x14ac:dyDescent="0.3">
      <c r="A48" s="7">
        <v>85</v>
      </c>
      <c r="B48" s="8">
        <v>8549</v>
      </c>
      <c r="C48" s="9" t="s">
        <v>49</v>
      </c>
      <c r="D48" s="10" t="str">
        <f>VLOOKUP(A48,HS_Category_Map!$A$2:$B$10,2,FALSE)</f>
        <v>Electrical</v>
      </c>
      <c r="E48" s="10" t="str">
        <f>VLOOKUP(D48,Category_Function_Map!$A$2:$B$7,2,FALSE)</f>
        <v>Electrical Supplies</v>
      </c>
    </row>
    <row r="49" spans="1:5" x14ac:dyDescent="0.3">
      <c r="A49" s="7">
        <v>85</v>
      </c>
      <c r="B49" s="8">
        <v>8510</v>
      </c>
      <c r="C49" s="9" t="s">
        <v>50</v>
      </c>
      <c r="D49" s="10" t="str">
        <f>VLOOKUP(A49,HS_Category_Map!$A$2:$B$10,2,FALSE)</f>
        <v>Electrical</v>
      </c>
      <c r="E49" s="10" t="str">
        <f>VLOOKUP(D49,Category_Function_Map!$A$2:$B$7,2,FALSE)</f>
        <v>Electrical Supplies</v>
      </c>
    </row>
    <row r="50" spans="1:5" x14ac:dyDescent="0.3">
      <c r="A50" s="7">
        <v>39</v>
      </c>
      <c r="B50" s="8">
        <v>3904</v>
      </c>
      <c r="C50" s="9" t="s">
        <v>51</v>
      </c>
      <c r="D50" s="10" t="str">
        <f>VLOOKUP(A50,HS_Category_Map!$A$2:$B$10,2,FALSE)</f>
        <v>Plastics</v>
      </c>
      <c r="E50" s="10" t="str">
        <f>VLOOKUP(D50,Category_Function_Map!$A$2:$B$7,2,FALSE)</f>
        <v>Plumbing &amp; Plastic Products</v>
      </c>
    </row>
    <row r="51" spans="1:5" x14ac:dyDescent="0.3">
      <c r="A51" s="7">
        <v>39</v>
      </c>
      <c r="B51" s="8">
        <v>3906</v>
      </c>
      <c r="C51" s="9" t="s">
        <v>52</v>
      </c>
      <c r="D51" s="10" t="str">
        <f>VLOOKUP(A51,HS_Category_Map!$A$2:$B$10,2,FALSE)</f>
        <v>Plastics</v>
      </c>
      <c r="E51" s="10" t="str">
        <f>VLOOKUP(D51,Category_Function_Map!$A$2:$B$7,2,FALSE)</f>
        <v>Plumbing &amp; Plastic Products</v>
      </c>
    </row>
    <row r="52" spans="1:5" x14ac:dyDescent="0.3">
      <c r="A52" s="7">
        <v>39</v>
      </c>
      <c r="B52" s="8">
        <v>3926</v>
      </c>
      <c r="C52" s="9" t="s">
        <v>53</v>
      </c>
      <c r="D52" s="10" t="str">
        <f>VLOOKUP(A52,HS_Category_Map!$A$2:$B$10,2,FALSE)</f>
        <v>Plastics</v>
      </c>
      <c r="E52" s="10" t="str">
        <f>VLOOKUP(D52,Category_Function_Map!$A$2:$B$7,2,FALSE)</f>
        <v>Plumbing &amp; Plastic Products</v>
      </c>
    </row>
    <row r="53" spans="1:5" x14ac:dyDescent="0.3">
      <c r="A53" s="7">
        <v>39</v>
      </c>
      <c r="B53" s="8">
        <v>3909</v>
      </c>
      <c r="C53" s="9" t="s">
        <v>54</v>
      </c>
      <c r="D53" s="10" t="str">
        <f>VLOOKUP(A53,HS_Category_Map!$A$2:$B$10,2,FALSE)</f>
        <v>Plastics</v>
      </c>
      <c r="E53" s="10" t="str">
        <f>VLOOKUP(D53,Category_Function_Map!$A$2:$B$7,2,FALSE)</f>
        <v>Plumbing &amp; Plastic Products</v>
      </c>
    </row>
    <row r="54" spans="1:5" x14ac:dyDescent="0.3">
      <c r="A54" s="7">
        <v>39</v>
      </c>
      <c r="B54" s="8">
        <v>3901</v>
      </c>
      <c r="C54" s="9" t="s">
        <v>55</v>
      </c>
      <c r="D54" s="10" t="str">
        <f>VLOOKUP(A54,HS_Category_Map!$A$2:$B$10,2,FALSE)</f>
        <v>Plastics</v>
      </c>
      <c r="E54" s="10" t="str">
        <f>VLOOKUP(D54,Category_Function_Map!$A$2:$B$7,2,FALSE)</f>
        <v>Plumbing &amp; Plastic Products</v>
      </c>
    </row>
    <row r="55" spans="1:5" x14ac:dyDescent="0.3">
      <c r="A55" s="7">
        <v>39</v>
      </c>
      <c r="B55" s="8">
        <v>3912</v>
      </c>
      <c r="C55" s="9" t="s">
        <v>56</v>
      </c>
      <c r="D55" s="10" t="str">
        <f>VLOOKUP(A55,HS_Category_Map!$A$2:$B$10,2,FALSE)</f>
        <v>Plastics</v>
      </c>
      <c r="E55" s="10" t="str">
        <f>VLOOKUP(D55,Category_Function_Map!$A$2:$B$7,2,FALSE)</f>
        <v>Plumbing &amp; Plastic Products</v>
      </c>
    </row>
    <row r="56" spans="1:5" x14ac:dyDescent="0.3">
      <c r="A56" s="7">
        <v>39</v>
      </c>
      <c r="B56" s="8">
        <v>3907</v>
      </c>
      <c r="C56" s="9" t="s">
        <v>57</v>
      </c>
      <c r="D56" s="10" t="str">
        <f>VLOOKUP(A56,HS_Category_Map!$A$2:$B$10,2,FALSE)</f>
        <v>Plastics</v>
      </c>
      <c r="E56" s="10" t="str">
        <f>VLOOKUP(D56,Category_Function_Map!$A$2:$B$7,2,FALSE)</f>
        <v>Plumbing &amp; Plastic Products</v>
      </c>
    </row>
    <row r="57" spans="1:5" x14ac:dyDescent="0.3">
      <c r="A57" s="7">
        <v>39</v>
      </c>
      <c r="B57" s="8">
        <v>3902</v>
      </c>
      <c r="C57" s="9" t="s">
        <v>58</v>
      </c>
      <c r="D57" s="10" t="str">
        <f>VLOOKUP(A57,HS_Category_Map!$A$2:$B$10,2,FALSE)</f>
        <v>Plastics</v>
      </c>
      <c r="E57" s="10" t="str">
        <f>VLOOKUP(D57,Category_Function_Map!$A$2:$B$7,2,FALSE)</f>
        <v>Plumbing &amp; Plastic Products</v>
      </c>
    </row>
    <row r="58" spans="1:5" x14ac:dyDescent="0.3">
      <c r="A58" s="7">
        <v>39</v>
      </c>
      <c r="B58" s="8">
        <v>3919</v>
      </c>
      <c r="C58" s="9" t="s">
        <v>59</v>
      </c>
      <c r="D58" s="10" t="str">
        <f>VLOOKUP(A58,HS_Category_Map!$A$2:$B$10,2,FALSE)</f>
        <v>Plastics</v>
      </c>
      <c r="E58" s="10" t="str">
        <f>VLOOKUP(D58,Category_Function_Map!$A$2:$B$7,2,FALSE)</f>
        <v>Plumbing &amp; Plastic Products</v>
      </c>
    </row>
    <row r="59" spans="1:5" x14ac:dyDescent="0.3">
      <c r="A59" s="7">
        <v>39</v>
      </c>
      <c r="B59" s="8">
        <v>3920</v>
      </c>
      <c r="C59" s="9" t="s">
        <v>60</v>
      </c>
      <c r="D59" s="10" t="str">
        <f>VLOOKUP(A59,HS_Category_Map!$A$2:$B$10,2,FALSE)</f>
        <v>Plastics</v>
      </c>
      <c r="E59" s="10" t="str">
        <f>VLOOKUP(D59,Category_Function_Map!$A$2:$B$7,2,FALSE)</f>
        <v>Plumbing &amp; Plastic Products</v>
      </c>
    </row>
    <row r="60" spans="1:5" x14ac:dyDescent="0.3">
      <c r="A60" s="7">
        <v>39</v>
      </c>
      <c r="B60" s="8">
        <v>3905</v>
      </c>
      <c r="C60" s="9" t="s">
        <v>61</v>
      </c>
      <c r="D60" s="10" t="str">
        <f>VLOOKUP(A60,HS_Category_Map!$A$2:$B$10,2,FALSE)</f>
        <v>Plastics</v>
      </c>
      <c r="E60" s="10" t="str">
        <f>VLOOKUP(D60,Category_Function_Map!$A$2:$B$7,2,FALSE)</f>
        <v>Plumbing &amp; Plastic Products</v>
      </c>
    </row>
    <row r="61" spans="1:5" x14ac:dyDescent="0.3">
      <c r="A61" s="7">
        <v>39</v>
      </c>
      <c r="B61" s="8">
        <v>3911</v>
      </c>
      <c r="C61" s="9" t="s">
        <v>62</v>
      </c>
      <c r="D61" s="10" t="str">
        <f>VLOOKUP(A61,HS_Category_Map!$A$2:$B$10,2,FALSE)</f>
        <v>Plastics</v>
      </c>
      <c r="E61" s="10" t="str">
        <f>VLOOKUP(D61,Category_Function_Map!$A$2:$B$7,2,FALSE)</f>
        <v>Plumbing &amp; Plastic Products</v>
      </c>
    </row>
    <row r="62" spans="1:5" x14ac:dyDescent="0.3">
      <c r="A62" s="7">
        <v>39</v>
      </c>
      <c r="B62" s="8">
        <v>3903</v>
      </c>
      <c r="C62" s="9" t="s">
        <v>63</v>
      </c>
      <c r="D62" s="10" t="str">
        <f>VLOOKUP(A62,HS_Category_Map!$A$2:$B$10,2,FALSE)</f>
        <v>Plastics</v>
      </c>
      <c r="E62" s="10" t="str">
        <f>VLOOKUP(D62,Category_Function_Map!$A$2:$B$7,2,FALSE)</f>
        <v>Plumbing &amp; Plastic Products</v>
      </c>
    </row>
    <row r="63" spans="1:5" x14ac:dyDescent="0.3">
      <c r="A63" s="7">
        <v>39</v>
      </c>
      <c r="B63" s="8">
        <v>3908</v>
      </c>
      <c r="C63" s="9" t="s">
        <v>64</v>
      </c>
      <c r="D63" s="10" t="str">
        <f>VLOOKUP(A63,HS_Category_Map!$A$2:$B$10,2,FALSE)</f>
        <v>Plastics</v>
      </c>
      <c r="E63" s="10" t="str">
        <f>VLOOKUP(D63,Category_Function_Map!$A$2:$B$7,2,FALSE)</f>
        <v>Plumbing &amp; Plastic Products</v>
      </c>
    </row>
    <row r="64" spans="1:5" x14ac:dyDescent="0.3">
      <c r="A64" s="7">
        <v>39</v>
      </c>
      <c r="B64" s="8">
        <v>3923</v>
      </c>
      <c r="C64" s="9" t="s">
        <v>65</v>
      </c>
      <c r="D64" s="10" t="str">
        <f>VLOOKUP(A64,HS_Category_Map!$A$2:$B$10,2,FALSE)</f>
        <v>Plastics</v>
      </c>
      <c r="E64" s="10" t="str">
        <f>VLOOKUP(D64,Category_Function_Map!$A$2:$B$7,2,FALSE)</f>
        <v>Plumbing &amp; Plastic Products</v>
      </c>
    </row>
    <row r="65" spans="1:5" x14ac:dyDescent="0.3">
      <c r="A65" s="7">
        <v>39</v>
      </c>
      <c r="B65" s="8">
        <v>3910</v>
      </c>
      <c r="C65" s="9" t="s">
        <v>66</v>
      </c>
      <c r="D65" s="10" t="str">
        <f>VLOOKUP(A65,HS_Category_Map!$A$2:$B$10,2,FALSE)</f>
        <v>Plastics</v>
      </c>
      <c r="E65" s="10" t="str">
        <f>VLOOKUP(D65,Category_Function_Map!$A$2:$B$7,2,FALSE)</f>
        <v>Plumbing &amp; Plastic Products</v>
      </c>
    </row>
    <row r="66" spans="1:5" x14ac:dyDescent="0.3">
      <c r="A66" s="7">
        <v>39</v>
      </c>
      <c r="B66" s="8">
        <v>3917</v>
      </c>
      <c r="C66" s="9" t="s">
        <v>67</v>
      </c>
      <c r="D66" s="10" t="str">
        <f>VLOOKUP(A66,HS_Category_Map!$A$2:$B$10,2,FALSE)</f>
        <v>Plastics</v>
      </c>
      <c r="E66" s="10" t="str">
        <f>VLOOKUP(D66,Category_Function_Map!$A$2:$B$7,2,FALSE)</f>
        <v>Plumbing &amp; Plastic Products</v>
      </c>
    </row>
    <row r="67" spans="1:5" x14ac:dyDescent="0.3">
      <c r="A67" s="7">
        <v>39</v>
      </c>
      <c r="B67" s="8">
        <v>3921</v>
      </c>
      <c r="C67" s="9" t="s">
        <v>68</v>
      </c>
      <c r="D67" s="10" t="str">
        <f>VLOOKUP(A67,HS_Category_Map!$A$2:$B$10,2,FALSE)</f>
        <v>Plastics</v>
      </c>
      <c r="E67" s="10" t="str">
        <f>VLOOKUP(D67,Category_Function_Map!$A$2:$B$7,2,FALSE)</f>
        <v>Plumbing &amp; Plastic Products</v>
      </c>
    </row>
    <row r="68" spans="1:5" x14ac:dyDescent="0.3">
      <c r="A68" s="7">
        <v>39</v>
      </c>
      <c r="B68" s="8">
        <v>3914</v>
      </c>
      <c r="C68" s="9" t="s">
        <v>69</v>
      </c>
      <c r="D68" s="10" t="str">
        <f>VLOOKUP(A68,HS_Category_Map!$A$2:$B$10,2,FALSE)</f>
        <v>Plastics</v>
      </c>
      <c r="E68" s="10" t="str">
        <f>VLOOKUP(D68,Category_Function_Map!$A$2:$B$7,2,FALSE)</f>
        <v>Plumbing &amp; Plastic Products</v>
      </c>
    </row>
    <row r="69" spans="1:5" x14ac:dyDescent="0.3">
      <c r="A69" s="7">
        <v>39</v>
      </c>
      <c r="B69" s="8">
        <v>3913</v>
      </c>
      <c r="C69" s="9" t="s">
        <v>70</v>
      </c>
      <c r="D69" s="10" t="str">
        <f>VLOOKUP(A69,HS_Category_Map!$A$2:$B$10,2,FALSE)</f>
        <v>Plastics</v>
      </c>
      <c r="E69" s="10" t="str">
        <f>VLOOKUP(D69,Category_Function_Map!$A$2:$B$7,2,FALSE)</f>
        <v>Plumbing &amp; Plastic Products</v>
      </c>
    </row>
    <row r="70" spans="1:5" x14ac:dyDescent="0.3">
      <c r="A70" s="7">
        <v>39</v>
      </c>
      <c r="B70" s="8">
        <v>3916</v>
      </c>
      <c r="C70" s="9" t="s">
        <v>71</v>
      </c>
      <c r="D70" s="10" t="str">
        <f>VLOOKUP(A70,HS_Category_Map!$A$2:$B$10,2,FALSE)</f>
        <v>Plastics</v>
      </c>
      <c r="E70" s="10" t="str">
        <f>VLOOKUP(D70,Category_Function_Map!$A$2:$B$7,2,FALSE)</f>
        <v>Plumbing &amp; Plastic Products</v>
      </c>
    </row>
    <row r="71" spans="1:5" x14ac:dyDescent="0.3">
      <c r="A71" s="7">
        <v>39</v>
      </c>
      <c r="B71" s="8">
        <v>3924</v>
      </c>
      <c r="C71" s="9" t="s">
        <v>72</v>
      </c>
      <c r="D71" s="10" t="str">
        <f>VLOOKUP(A71,HS_Category_Map!$A$2:$B$10,2,FALSE)</f>
        <v>Plastics</v>
      </c>
      <c r="E71" s="10" t="str">
        <f>VLOOKUP(D71,Category_Function_Map!$A$2:$B$7,2,FALSE)</f>
        <v>Plumbing &amp; Plastic Products</v>
      </c>
    </row>
    <row r="72" spans="1:5" x14ac:dyDescent="0.3">
      <c r="A72" s="7">
        <v>39</v>
      </c>
      <c r="B72" s="8">
        <v>3925</v>
      </c>
      <c r="C72" s="9" t="s">
        <v>73</v>
      </c>
      <c r="D72" s="10" t="str">
        <f>VLOOKUP(A72,HS_Category_Map!$A$2:$B$10,2,FALSE)</f>
        <v>Plastics</v>
      </c>
      <c r="E72" s="10" t="str">
        <f>VLOOKUP(D72,Category_Function_Map!$A$2:$B$7,2,FALSE)</f>
        <v>Plumbing &amp; Plastic Products</v>
      </c>
    </row>
    <row r="73" spans="1:5" x14ac:dyDescent="0.3">
      <c r="A73" s="7">
        <v>39</v>
      </c>
      <c r="B73" s="8">
        <v>3922</v>
      </c>
      <c r="C73" s="9" t="s">
        <v>74</v>
      </c>
      <c r="D73" s="10" t="str">
        <f>VLOOKUP(A73,HS_Category_Map!$A$2:$B$10,2,FALSE)</f>
        <v>Plastics</v>
      </c>
      <c r="E73" s="10" t="str">
        <f>VLOOKUP(D73,Category_Function_Map!$A$2:$B$7,2,FALSE)</f>
        <v>Plumbing &amp; Plastic Products</v>
      </c>
    </row>
    <row r="74" spans="1:5" x14ac:dyDescent="0.3">
      <c r="A74" s="7">
        <v>39</v>
      </c>
      <c r="B74" s="8">
        <v>3918</v>
      </c>
      <c r="C74" s="9" t="s">
        <v>75</v>
      </c>
      <c r="D74" s="10" t="str">
        <f>VLOOKUP(A74,HS_Category_Map!$A$2:$B$10,2,FALSE)</f>
        <v>Plastics</v>
      </c>
      <c r="E74" s="10" t="str">
        <f>VLOOKUP(D74,Category_Function_Map!$A$2:$B$7,2,FALSE)</f>
        <v>Plumbing &amp; Plastic Products</v>
      </c>
    </row>
    <row r="75" spans="1:5" x14ac:dyDescent="0.3">
      <c r="A75" s="7">
        <v>39</v>
      </c>
      <c r="B75" s="8">
        <v>3915</v>
      </c>
      <c r="C75" s="9" t="s">
        <v>76</v>
      </c>
      <c r="D75" s="10" t="str">
        <f>VLOOKUP(A75,HS_Category_Map!$A$2:$B$10,2,FALSE)</f>
        <v>Plastics</v>
      </c>
      <c r="E75" s="10" t="str">
        <f>VLOOKUP(D75,Category_Function_Map!$A$2:$B$7,2,FALSE)</f>
        <v>Plumbing &amp; Plastic Products</v>
      </c>
    </row>
    <row r="76" spans="1:5" x14ac:dyDescent="0.3">
      <c r="A76" s="7">
        <v>68</v>
      </c>
      <c r="B76" s="8">
        <v>6813</v>
      </c>
      <c r="C76" s="9" t="s">
        <v>77</v>
      </c>
      <c r="D76" s="10" t="str">
        <f>VLOOKUP(A76,HS_Category_Map!$A$2:$B$10,2,FALSE)</f>
        <v>Decorative Materials</v>
      </c>
      <c r="E76" s="10" t="str">
        <f>VLOOKUP(D76,Category_Function_Map!$A$2:$B$7,2,FALSE)</f>
        <v>Interior &amp; Building Materials</v>
      </c>
    </row>
    <row r="77" spans="1:5" x14ac:dyDescent="0.3">
      <c r="A77" s="7">
        <v>68</v>
      </c>
      <c r="B77" s="8">
        <v>6804</v>
      </c>
      <c r="C77" s="9" t="s">
        <v>78</v>
      </c>
      <c r="D77" s="10" t="str">
        <f>VLOOKUP(A77,HS_Category_Map!$A$2:$B$10,2,FALSE)</f>
        <v>Decorative Materials</v>
      </c>
      <c r="E77" s="10" t="str">
        <f>VLOOKUP(D77,Category_Function_Map!$A$2:$B$7,2,FALSE)</f>
        <v>Interior &amp; Building Materials</v>
      </c>
    </row>
    <row r="78" spans="1:5" x14ac:dyDescent="0.3">
      <c r="A78" s="7">
        <v>68</v>
      </c>
      <c r="B78" s="8">
        <v>6815</v>
      </c>
      <c r="C78" s="9" t="s">
        <v>79</v>
      </c>
      <c r="D78" s="10" t="str">
        <f>VLOOKUP(A78,HS_Category_Map!$A$2:$B$10,2,FALSE)</f>
        <v>Decorative Materials</v>
      </c>
      <c r="E78" s="10" t="str">
        <f>VLOOKUP(D78,Category_Function_Map!$A$2:$B$7,2,FALSE)</f>
        <v>Interior &amp; Building Materials</v>
      </c>
    </row>
    <row r="79" spans="1:5" x14ac:dyDescent="0.3">
      <c r="A79" s="7">
        <v>68</v>
      </c>
      <c r="B79" s="8">
        <v>6806</v>
      </c>
      <c r="C79" s="9" t="s">
        <v>80</v>
      </c>
      <c r="D79" s="10" t="str">
        <f>VLOOKUP(A79,HS_Category_Map!$A$2:$B$10,2,FALSE)</f>
        <v>Decorative Materials</v>
      </c>
      <c r="E79" s="10" t="str">
        <f>VLOOKUP(D79,Category_Function_Map!$A$2:$B$7,2,FALSE)</f>
        <v>Interior &amp; Building Materials</v>
      </c>
    </row>
    <row r="80" spans="1:5" x14ac:dyDescent="0.3">
      <c r="A80" s="7">
        <v>68</v>
      </c>
      <c r="B80" s="8">
        <v>6805</v>
      </c>
      <c r="C80" s="9" t="s">
        <v>81</v>
      </c>
      <c r="D80" s="10" t="str">
        <f>VLOOKUP(A80,HS_Category_Map!$A$2:$B$10,2,FALSE)</f>
        <v>Decorative Materials</v>
      </c>
      <c r="E80" s="10" t="str">
        <f>VLOOKUP(D80,Category_Function_Map!$A$2:$B$7,2,FALSE)</f>
        <v>Interior &amp; Building Materials</v>
      </c>
    </row>
    <row r="81" spans="1:5" x14ac:dyDescent="0.3">
      <c r="A81" s="7">
        <v>68</v>
      </c>
      <c r="B81" s="8">
        <v>6814</v>
      </c>
      <c r="C81" s="9" t="s">
        <v>82</v>
      </c>
      <c r="D81" s="10" t="str">
        <f>VLOOKUP(A81,HS_Category_Map!$A$2:$B$10,2,FALSE)</f>
        <v>Decorative Materials</v>
      </c>
      <c r="E81" s="10" t="str">
        <f>VLOOKUP(D81,Category_Function_Map!$A$2:$B$7,2,FALSE)</f>
        <v>Interior &amp; Building Materials</v>
      </c>
    </row>
    <row r="82" spans="1:5" x14ac:dyDescent="0.3">
      <c r="A82" s="7">
        <v>68</v>
      </c>
      <c r="B82" s="8">
        <v>6812</v>
      </c>
      <c r="C82" s="9" t="s">
        <v>83</v>
      </c>
      <c r="D82" s="10" t="str">
        <f>VLOOKUP(A82,HS_Category_Map!$A$2:$B$10,2,FALSE)</f>
        <v>Decorative Materials</v>
      </c>
      <c r="E82" s="10" t="str">
        <f>VLOOKUP(D82,Category_Function_Map!$A$2:$B$7,2,FALSE)</f>
        <v>Interior &amp; Building Materials</v>
      </c>
    </row>
    <row r="83" spans="1:5" x14ac:dyDescent="0.3">
      <c r="A83" s="7">
        <v>68</v>
      </c>
      <c r="B83" s="8">
        <v>6811</v>
      </c>
      <c r="C83" s="9" t="s">
        <v>84</v>
      </c>
      <c r="D83" s="10" t="str">
        <f>VLOOKUP(A83,HS_Category_Map!$A$2:$B$10,2,FALSE)</f>
        <v>Decorative Materials</v>
      </c>
      <c r="E83" s="10" t="str">
        <f>VLOOKUP(D83,Category_Function_Map!$A$2:$B$7,2,FALSE)</f>
        <v>Interior &amp; Building Materials</v>
      </c>
    </row>
    <row r="84" spans="1:5" x14ac:dyDescent="0.3">
      <c r="A84" s="7">
        <v>68</v>
      </c>
      <c r="B84" s="8">
        <v>6810</v>
      </c>
      <c r="C84" s="9" t="s">
        <v>85</v>
      </c>
      <c r="D84" s="10" t="str">
        <f>VLOOKUP(A84,HS_Category_Map!$A$2:$B$10,2,FALSE)</f>
        <v>Decorative Materials</v>
      </c>
      <c r="E84" s="10" t="str">
        <f>VLOOKUP(D84,Category_Function_Map!$A$2:$B$7,2,FALSE)</f>
        <v>Interior &amp; Building Materials</v>
      </c>
    </row>
    <row r="85" spans="1:5" x14ac:dyDescent="0.3">
      <c r="A85" s="7">
        <v>68</v>
      </c>
      <c r="B85" s="8">
        <v>6802</v>
      </c>
      <c r="C85" s="9" t="s">
        <v>86</v>
      </c>
      <c r="D85" s="10" t="str">
        <f>VLOOKUP(A85,HS_Category_Map!$A$2:$B$10,2,FALSE)</f>
        <v>Decorative Materials</v>
      </c>
      <c r="E85" s="10" t="str">
        <f>VLOOKUP(D85,Category_Function_Map!$A$2:$B$7,2,FALSE)</f>
        <v>Interior &amp; Building Materials</v>
      </c>
    </row>
    <row r="86" spans="1:5" x14ac:dyDescent="0.3">
      <c r="A86" s="7">
        <v>68</v>
      </c>
      <c r="B86" s="8">
        <v>6803</v>
      </c>
      <c r="C86" s="9" t="s">
        <v>87</v>
      </c>
      <c r="D86" s="10" t="str">
        <f>VLOOKUP(A86,HS_Category_Map!$A$2:$B$10,2,FALSE)</f>
        <v>Decorative Materials</v>
      </c>
      <c r="E86" s="10" t="str">
        <f>VLOOKUP(D86,Category_Function_Map!$A$2:$B$7,2,FALSE)</f>
        <v>Interior &amp; Building Materials</v>
      </c>
    </row>
    <row r="87" spans="1:5" x14ac:dyDescent="0.3">
      <c r="A87" s="7">
        <v>68</v>
      </c>
      <c r="B87" s="8">
        <v>6807</v>
      </c>
      <c r="C87" s="9" t="s">
        <v>88</v>
      </c>
      <c r="D87" s="10" t="str">
        <f>VLOOKUP(A87,HS_Category_Map!$A$2:$B$10,2,FALSE)</f>
        <v>Decorative Materials</v>
      </c>
      <c r="E87" s="10" t="str">
        <f>VLOOKUP(D87,Category_Function_Map!$A$2:$B$7,2,FALSE)</f>
        <v>Interior &amp; Building Materials</v>
      </c>
    </row>
    <row r="88" spans="1:5" x14ac:dyDescent="0.3">
      <c r="A88" s="7">
        <v>68</v>
      </c>
      <c r="B88" s="8">
        <v>6808</v>
      </c>
      <c r="C88" s="9" t="s">
        <v>89</v>
      </c>
      <c r="D88" s="10" t="str">
        <f>VLOOKUP(A88,HS_Category_Map!$A$2:$B$10,2,FALSE)</f>
        <v>Decorative Materials</v>
      </c>
      <c r="E88" s="10" t="str">
        <f>VLOOKUP(D88,Category_Function_Map!$A$2:$B$7,2,FALSE)</f>
        <v>Interior &amp; Building Materials</v>
      </c>
    </row>
    <row r="89" spans="1:5" x14ac:dyDescent="0.3">
      <c r="A89" s="7">
        <v>68</v>
      </c>
      <c r="B89" s="8">
        <v>6809</v>
      </c>
      <c r="C89" s="9" t="s">
        <v>90</v>
      </c>
      <c r="D89" s="10" t="str">
        <f>VLOOKUP(A89,HS_Category_Map!$A$2:$B$10,2,FALSE)</f>
        <v>Decorative Materials</v>
      </c>
      <c r="E89" s="10" t="str">
        <f>VLOOKUP(D89,Category_Function_Map!$A$2:$B$7,2,FALSE)</f>
        <v>Interior &amp; Building Materials</v>
      </c>
    </row>
    <row r="90" spans="1:5" x14ac:dyDescent="0.3">
      <c r="A90" s="7">
        <v>69</v>
      </c>
      <c r="B90" s="8">
        <v>6909</v>
      </c>
      <c r="C90" s="9" t="s">
        <v>91</v>
      </c>
      <c r="D90" s="10" t="str">
        <f>VLOOKUP(A90,HS_Category_Map!$A$2:$B$10,2,FALSE)</f>
        <v>Sanitary</v>
      </c>
      <c r="E90" s="10" t="str">
        <f>VLOOKUP(D90,Category_Function_Map!$A$2:$B$7,2,FALSE)</f>
        <v>Bathroom &amp; Sanitary Solutions</v>
      </c>
    </row>
    <row r="91" spans="1:5" x14ac:dyDescent="0.3">
      <c r="A91" s="7">
        <v>69</v>
      </c>
      <c r="B91" s="8">
        <v>6903</v>
      </c>
      <c r="C91" s="9" t="s">
        <v>92</v>
      </c>
      <c r="D91" s="10" t="str">
        <f>VLOOKUP(A91,HS_Category_Map!$A$2:$B$10,2,FALSE)</f>
        <v>Sanitary</v>
      </c>
      <c r="E91" s="10" t="str">
        <f>VLOOKUP(D91,Category_Function_Map!$A$2:$B$7,2,FALSE)</f>
        <v>Bathroom &amp; Sanitary Solutions</v>
      </c>
    </row>
    <row r="92" spans="1:5" x14ac:dyDescent="0.3">
      <c r="A92" s="7">
        <v>69</v>
      </c>
      <c r="B92" s="8">
        <v>6902</v>
      </c>
      <c r="C92" s="9" t="s">
        <v>93</v>
      </c>
      <c r="D92" s="10" t="str">
        <f>VLOOKUP(A92,HS_Category_Map!$A$2:$B$10,2,FALSE)</f>
        <v>Sanitary</v>
      </c>
      <c r="E92" s="10" t="str">
        <f>VLOOKUP(D92,Category_Function_Map!$A$2:$B$7,2,FALSE)</f>
        <v>Bathroom &amp; Sanitary Solutions</v>
      </c>
    </row>
    <row r="93" spans="1:5" x14ac:dyDescent="0.3">
      <c r="A93" s="7">
        <v>69</v>
      </c>
      <c r="B93" s="8">
        <v>6914</v>
      </c>
      <c r="C93" s="9" t="s">
        <v>94</v>
      </c>
      <c r="D93" s="10" t="str">
        <f>VLOOKUP(A93,HS_Category_Map!$A$2:$B$10,2,FALSE)</f>
        <v>Sanitary</v>
      </c>
      <c r="E93" s="10" t="str">
        <f>VLOOKUP(D93,Category_Function_Map!$A$2:$B$7,2,FALSE)</f>
        <v>Bathroom &amp; Sanitary Solutions</v>
      </c>
    </row>
    <row r="94" spans="1:5" x14ac:dyDescent="0.3">
      <c r="A94" s="7">
        <v>69</v>
      </c>
      <c r="B94" s="8">
        <v>6910</v>
      </c>
      <c r="C94" s="9" t="s">
        <v>95</v>
      </c>
      <c r="D94" s="10" t="str">
        <f>VLOOKUP(A94,HS_Category_Map!$A$2:$B$10,2,FALSE)</f>
        <v>Sanitary</v>
      </c>
      <c r="E94" s="10" t="str">
        <f>VLOOKUP(D94,Category_Function_Map!$A$2:$B$7,2,FALSE)</f>
        <v>Bathroom &amp; Sanitary Solutions</v>
      </c>
    </row>
    <row r="95" spans="1:5" x14ac:dyDescent="0.3">
      <c r="A95" s="7">
        <v>69</v>
      </c>
      <c r="B95" s="8">
        <v>6911</v>
      </c>
      <c r="C95" s="9" t="s">
        <v>96</v>
      </c>
      <c r="D95" s="10" t="str">
        <f>VLOOKUP(A95,HS_Category_Map!$A$2:$B$10,2,FALSE)</f>
        <v>Sanitary</v>
      </c>
      <c r="E95" s="10" t="str">
        <f>VLOOKUP(D95,Category_Function_Map!$A$2:$B$7,2,FALSE)</f>
        <v>Bathroom &amp; Sanitary Solutions</v>
      </c>
    </row>
    <row r="96" spans="1:5" x14ac:dyDescent="0.3">
      <c r="A96" s="7">
        <v>69</v>
      </c>
      <c r="B96" s="8">
        <v>6912</v>
      </c>
      <c r="C96" s="9" t="s">
        <v>97</v>
      </c>
      <c r="D96" s="10" t="str">
        <f>VLOOKUP(A96,HS_Category_Map!$A$2:$B$10,2,FALSE)</f>
        <v>Sanitary</v>
      </c>
      <c r="E96" s="10" t="str">
        <f>VLOOKUP(D96,Category_Function_Map!$A$2:$B$7,2,FALSE)</f>
        <v>Bathroom &amp; Sanitary Solutions</v>
      </c>
    </row>
    <row r="97" spans="1:5" x14ac:dyDescent="0.3">
      <c r="A97" s="7">
        <v>69</v>
      </c>
      <c r="B97" s="8">
        <v>6907</v>
      </c>
      <c r="C97" s="9" t="s">
        <v>98</v>
      </c>
      <c r="D97" s="10" t="str">
        <f>VLOOKUP(A97,HS_Category_Map!$A$2:$B$10,2,FALSE)</f>
        <v>Sanitary</v>
      </c>
      <c r="E97" s="10" t="str">
        <f>VLOOKUP(D97,Category_Function_Map!$A$2:$B$7,2,FALSE)</f>
        <v>Bathroom &amp; Sanitary Solutions</v>
      </c>
    </row>
    <row r="98" spans="1:5" x14ac:dyDescent="0.3">
      <c r="A98" s="7">
        <v>69</v>
      </c>
      <c r="B98" s="8">
        <v>6905</v>
      </c>
      <c r="C98" s="9" t="s">
        <v>99</v>
      </c>
      <c r="D98" s="10" t="str">
        <f>VLOOKUP(A98,HS_Category_Map!$A$2:$B$10,2,FALSE)</f>
        <v>Sanitary</v>
      </c>
      <c r="E98" s="10" t="str">
        <f>VLOOKUP(D98,Category_Function_Map!$A$2:$B$7,2,FALSE)</f>
        <v>Bathroom &amp; Sanitary Solutions</v>
      </c>
    </row>
    <row r="99" spans="1:5" x14ac:dyDescent="0.3">
      <c r="A99" s="7">
        <v>69</v>
      </c>
      <c r="B99" s="8">
        <v>6906</v>
      </c>
      <c r="C99" s="9" t="s">
        <v>100</v>
      </c>
      <c r="D99" s="10" t="str">
        <f>VLOOKUP(A99,HS_Category_Map!$A$2:$B$10,2,FALSE)</f>
        <v>Sanitary</v>
      </c>
      <c r="E99" s="10" t="str">
        <f>VLOOKUP(D99,Category_Function_Map!$A$2:$B$7,2,FALSE)</f>
        <v>Bathroom &amp; Sanitary Solutions</v>
      </c>
    </row>
    <row r="100" spans="1:5" x14ac:dyDescent="0.3">
      <c r="A100" s="7">
        <v>69</v>
      </c>
      <c r="B100" s="8">
        <v>6904</v>
      </c>
      <c r="C100" s="9" t="s">
        <v>101</v>
      </c>
      <c r="D100" s="10" t="str">
        <f>VLOOKUP(A100,HS_Category_Map!$A$2:$B$10,2,FALSE)</f>
        <v>Sanitary</v>
      </c>
      <c r="E100" s="10" t="str">
        <f>VLOOKUP(D100,Category_Function_Map!$A$2:$B$7,2,FALSE)</f>
        <v>Bathroom &amp; Sanitary Solutions</v>
      </c>
    </row>
    <row r="101" spans="1:5" x14ac:dyDescent="0.3">
      <c r="A101" s="7">
        <v>69</v>
      </c>
      <c r="B101" s="8">
        <v>6913</v>
      </c>
      <c r="C101" s="9" t="s">
        <v>102</v>
      </c>
      <c r="D101" s="10" t="str">
        <f>VLOOKUP(A101,HS_Category_Map!$A$2:$B$10,2,FALSE)</f>
        <v>Sanitary</v>
      </c>
      <c r="E101" s="10" t="str">
        <f>VLOOKUP(D101,Category_Function_Map!$A$2:$B$7,2,FALSE)</f>
        <v>Bathroom &amp; Sanitary Solutions</v>
      </c>
    </row>
    <row r="102" spans="1:5" x14ac:dyDescent="0.3">
      <c r="A102" s="7">
        <v>69</v>
      </c>
      <c r="B102" s="8">
        <v>6901</v>
      </c>
      <c r="C102" s="9" t="s">
        <v>103</v>
      </c>
      <c r="D102" s="10" t="str">
        <f>VLOOKUP(A102,HS_Category_Map!$A$2:$B$10,2,FALSE)</f>
        <v>Sanitary</v>
      </c>
      <c r="E102" s="10" t="str">
        <f>VLOOKUP(D102,Category_Function_Map!$A$2:$B$7,2,FALSE)</f>
        <v>Bathroom &amp; Sanitary Solutions</v>
      </c>
    </row>
    <row r="103" spans="1:5" x14ac:dyDescent="0.3">
      <c r="A103" s="7">
        <v>69</v>
      </c>
      <c r="B103" s="8">
        <v>6908</v>
      </c>
      <c r="C103" s="9" t="s">
        <v>104</v>
      </c>
      <c r="D103" s="10" t="str">
        <f>VLOOKUP(A103,HS_Category_Map!$A$2:$B$10,2,FALSE)</f>
        <v>Sanitary</v>
      </c>
      <c r="E103" s="10" t="str">
        <f>VLOOKUP(D103,Category_Function_Map!$A$2:$B$7,2,FALSE)</f>
        <v>Bathroom &amp; Sanitary Solutions</v>
      </c>
    </row>
    <row r="104" spans="1:5" x14ac:dyDescent="0.3">
      <c r="A104" s="7">
        <v>73</v>
      </c>
      <c r="B104" s="8">
        <v>7318</v>
      </c>
      <c r="C104" s="9" t="s">
        <v>105</v>
      </c>
      <c r="D104" s="10" t="str">
        <f>VLOOKUP(A104,HS_Category_Map!$A$2:$B$10,2,FALSE)</f>
        <v>Hardware</v>
      </c>
      <c r="E104" s="10" t="str">
        <f>VLOOKUP(D104,Category_Function_Map!$A$2:$B$7,2,FALSE)</f>
        <v>Building Hardware</v>
      </c>
    </row>
    <row r="105" spans="1:5" x14ac:dyDescent="0.3">
      <c r="A105" s="7">
        <v>73</v>
      </c>
      <c r="B105" s="8">
        <v>7302</v>
      </c>
      <c r="C105" s="9" t="s">
        <v>106</v>
      </c>
      <c r="D105" s="10" t="str">
        <f>VLOOKUP(A105,HS_Category_Map!$A$2:$B$10,2,FALSE)</f>
        <v>Hardware</v>
      </c>
      <c r="E105" s="10" t="str">
        <f>VLOOKUP(D105,Category_Function_Map!$A$2:$B$7,2,FALSE)</f>
        <v>Building Hardware</v>
      </c>
    </row>
    <row r="106" spans="1:5" x14ac:dyDescent="0.3">
      <c r="A106" s="7">
        <v>73</v>
      </c>
      <c r="B106" s="8">
        <v>7326</v>
      </c>
      <c r="C106" s="9" t="s">
        <v>107</v>
      </c>
      <c r="D106" s="10" t="str">
        <f>VLOOKUP(A106,HS_Category_Map!$A$2:$B$10,2,FALSE)</f>
        <v>Hardware</v>
      </c>
      <c r="E106" s="10" t="str">
        <f>VLOOKUP(D106,Category_Function_Map!$A$2:$B$7,2,FALSE)</f>
        <v>Building Hardware</v>
      </c>
    </row>
    <row r="107" spans="1:5" x14ac:dyDescent="0.3">
      <c r="A107" s="7">
        <v>73</v>
      </c>
      <c r="B107" s="8">
        <v>7304</v>
      </c>
      <c r="C107" s="9" t="s">
        <v>108</v>
      </c>
      <c r="D107" s="10" t="str">
        <f>VLOOKUP(A107,HS_Category_Map!$A$2:$B$10,2,FALSE)</f>
        <v>Hardware</v>
      </c>
      <c r="E107" s="10" t="str">
        <f>VLOOKUP(D107,Category_Function_Map!$A$2:$B$7,2,FALSE)</f>
        <v>Building Hardware</v>
      </c>
    </row>
    <row r="108" spans="1:5" x14ac:dyDescent="0.3">
      <c r="A108" s="7">
        <v>73</v>
      </c>
      <c r="B108" s="8">
        <v>7307</v>
      </c>
      <c r="C108" s="9" t="s">
        <v>109</v>
      </c>
      <c r="D108" s="10" t="str">
        <f>VLOOKUP(A108,HS_Category_Map!$A$2:$B$10,2,FALSE)</f>
        <v>Hardware</v>
      </c>
      <c r="E108" s="10" t="str">
        <f>VLOOKUP(D108,Category_Function_Map!$A$2:$B$7,2,FALSE)</f>
        <v>Building Hardware</v>
      </c>
    </row>
    <row r="109" spans="1:5" x14ac:dyDescent="0.3">
      <c r="A109" s="7">
        <v>73</v>
      </c>
      <c r="B109" s="8">
        <v>7320</v>
      </c>
      <c r="C109" s="9" t="s">
        <v>110</v>
      </c>
      <c r="D109" s="10" t="str">
        <f>VLOOKUP(A109,HS_Category_Map!$A$2:$B$10,2,FALSE)</f>
        <v>Hardware</v>
      </c>
      <c r="E109" s="10" t="str">
        <f>VLOOKUP(D109,Category_Function_Map!$A$2:$B$7,2,FALSE)</f>
        <v>Building Hardware</v>
      </c>
    </row>
    <row r="110" spans="1:5" x14ac:dyDescent="0.3">
      <c r="A110" s="7">
        <v>73</v>
      </c>
      <c r="B110" s="8">
        <v>7315</v>
      </c>
      <c r="C110" s="9" t="s">
        <v>111</v>
      </c>
      <c r="D110" s="10" t="str">
        <f>VLOOKUP(A110,HS_Category_Map!$A$2:$B$10,2,FALSE)</f>
        <v>Hardware</v>
      </c>
      <c r="E110" s="10" t="str">
        <f>VLOOKUP(D110,Category_Function_Map!$A$2:$B$7,2,FALSE)</f>
        <v>Building Hardware</v>
      </c>
    </row>
    <row r="111" spans="1:5" x14ac:dyDescent="0.3">
      <c r="A111" s="7">
        <v>73</v>
      </c>
      <c r="B111" s="8">
        <v>7308</v>
      </c>
      <c r="C111" s="9" t="s">
        <v>112</v>
      </c>
      <c r="D111" s="10" t="str">
        <f>VLOOKUP(A111,HS_Category_Map!$A$2:$B$10,2,FALSE)</f>
        <v>Hardware</v>
      </c>
      <c r="E111" s="10" t="str">
        <f>VLOOKUP(D111,Category_Function_Map!$A$2:$B$7,2,FALSE)</f>
        <v>Building Hardware</v>
      </c>
    </row>
    <row r="112" spans="1:5" x14ac:dyDescent="0.3">
      <c r="A112" s="7">
        <v>73</v>
      </c>
      <c r="B112" s="8">
        <v>7306</v>
      </c>
      <c r="C112" s="9" t="s">
        <v>113</v>
      </c>
      <c r="D112" s="10" t="str">
        <f>VLOOKUP(A112,HS_Category_Map!$A$2:$B$10,2,FALSE)</f>
        <v>Hardware</v>
      </c>
      <c r="E112" s="10" t="str">
        <f>VLOOKUP(D112,Category_Function_Map!$A$2:$B$7,2,FALSE)</f>
        <v>Building Hardware</v>
      </c>
    </row>
    <row r="113" spans="1:5" x14ac:dyDescent="0.3">
      <c r="A113" s="7">
        <v>73</v>
      </c>
      <c r="B113" s="8">
        <v>7325</v>
      </c>
      <c r="C113" s="9" t="s">
        <v>114</v>
      </c>
      <c r="D113" s="10" t="str">
        <f>VLOOKUP(A113,HS_Category_Map!$A$2:$B$10,2,FALSE)</f>
        <v>Hardware</v>
      </c>
      <c r="E113" s="10" t="str">
        <f>VLOOKUP(D113,Category_Function_Map!$A$2:$B$7,2,FALSE)</f>
        <v>Building Hardware</v>
      </c>
    </row>
    <row r="114" spans="1:5" x14ac:dyDescent="0.3">
      <c r="A114" s="7">
        <v>73</v>
      </c>
      <c r="B114" s="8">
        <v>7319</v>
      </c>
      <c r="C114" s="9" t="s">
        <v>115</v>
      </c>
      <c r="D114" s="10" t="str">
        <f>VLOOKUP(A114,HS_Category_Map!$A$2:$B$10,2,FALSE)</f>
        <v>Hardware</v>
      </c>
      <c r="E114" s="10" t="str">
        <f>VLOOKUP(D114,Category_Function_Map!$A$2:$B$7,2,FALSE)</f>
        <v>Building Hardware</v>
      </c>
    </row>
    <row r="115" spans="1:5" x14ac:dyDescent="0.3">
      <c r="A115" s="7">
        <v>73</v>
      </c>
      <c r="B115" s="8">
        <v>7310</v>
      </c>
      <c r="C115" s="9" t="s">
        <v>116</v>
      </c>
      <c r="D115" s="10" t="str">
        <f>VLOOKUP(A115,HS_Category_Map!$A$2:$B$10,2,FALSE)</f>
        <v>Hardware</v>
      </c>
      <c r="E115" s="10" t="str">
        <f>VLOOKUP(D115,Category_Function_Map!$A$2:$B$7,2,FALSE)</f>
        <v>Building Hardware</v>
      </c>
    </row>
    <row r="116" spans="1:5" x14ac:dyDescent="0.3">
      <c r="A116" s="7">
        <v>73</v>
      </c>
      <c r="B116" s="8">
        <v>7314</v>
      </c>
      <c r="C116" s="9" t="s">
        <v>117</v>
      </c>
      <c r="D116" s="10" t="str">
        <f>VLOOKUP(A116,HS_Category_Map!$A$2:$B$10,2,FALSE)</f>
        <v>Hardware</v>
      </c>
      <c r="E116" s="10" t="str">
        <f>VLOOKUP(D116,Category_Function_Map!$A$2:$B$7,2,FALSE)</f>
        <v>Building Hardware</v>
      </c>
    </row>
    <row r="117" spans="1:5" x14ac:dyDescent="0.3">
      <c r="A117" s="7">
        <v>73</v>
      </c>
      <c r="B117" s="8">
        <v>7312</v>
      </c>
      <c r="C117" s="9" t="s">
        <v>118</v>
      </c>
      <c r="D117" s="10" t="str">
        <f>VLOOKUP(A117,HS_Category_Map!$A$2:$B$10,2,FALSE)</f>
        <v>Hardware</v>
      </c>
      <c r="E117" s="10" t="str">
        <f>VLOOKUP(D117,Category_Function_Map!$A$2:$B$7,2,FALSE)</f>
        <v>Building Hardware</v>
      </c>
    </row>
    <row r="118" spans="1:5" x14ac:dyDescent="0.3">
      <c r="A118" s="7">
        <v>73</v>
      </c>
      <c r="B118" s="8">
        <v>7309</v>
      </c>
      <c r="C118" s="9" t="s">
        <v>119</v>
      </c>
      <c r="D118" s="10" t="str">
        <f>VLOOKUP(A118,HS_Category_Map!$A$2:$B$10,2,FALSE)</f>
        <v>Hardware</v>
      </c>
      <c r="E118" s="10" t="str">
        <f>VLOOKUP(D118,Category_Function_Map!$A$2:$B$7,2,FALSE)</f>
        <v>Building Hardware</v>
      </c>
    </row>
    <row r="119" spans="1:5" x14ac:dyDescent="0.3">
      <c r="A119" s="7">
        <v>73</v>
      </c>
      <c r="B119" s="8">
        <v>7322</v>
      </c>
      <c r="C119" s="9" t="s">
        <v>120</v>
      </c>
      <c r="D119" s="10" t="str">
        <f>VLOOKUP(A119,HS_Category_Map!$A$2:$B$10,2,FALSE)</f>
        <v>Hardware</v>
      </c>
      <c r="E119" s="10" t="str">
        <f>VLOOKUP(D119,Category_Function_Map!$A$2:$B$7,2,FALSE)</f>
        <v>Building Hardware</v>
      </c>
    </row>
    <row r="120" spans="1:5" x14ac:dyDescent="0.3">
      <c r="A120" s="7">
        <v>73</v>
      </c>
      <c r="B120" s="8">
        <v>7311</v>
      </c>
      <c r="C120" s="9" t="s">
        <v>121</v>
      </c>
      <c r="D120" s="10" t="str">
        <f>VLOOKUP(A120,HS_Category_Map!$A$2:$B$10,2,FALSE)</f>
        <v>Hardware</v>
      </c>
      <c r="E120" s="10" t="str">
        <f>VLOOKUP(D120,Category_Function_Map!$A$2:$B$7,2,FALSE)</f>
        <v>Building Hardware</v>
      </c>
    </row>
    <row r="121" spans="1:5" x14ac:dyDescent="0.3">
      <c r="A121" s="7">
        <v>73</v>
      </c>
      <c r="B121" s="8">
        <v>7321</v>
      </c>
      <c r="C121" s="9" t="s">
        <v>122</v>
      </c>
      <c r="D121" s="10" t="str">
        <f>VLOOKUP(A121,HS_Category_Map!$A$2:$B$10,2,FALSE)</f>
        <v>Hardware</v>
      </c>
      <c r="E121" s="10" t="str">
        <f>VLOOKUP(D121,Category_Function_Map!$A$2:$B$7,2,FALSE)</f>
        <v>Building Hardware</v>
      </c>
    </row>
    <row r="122" spans="1:5" x14ac:dyDescent="0.3">
      <c r="A122" s="7">
        <v>73</v>
      </c>
      <c r="B122" s="8">
        <v>7323</v>
      </c>
      <c r="C122" s="9" t="s">
        <v>123</v>
      </c>
      <c r="D122" s="10" t="str">
        <f>VLOOKUP(A122,HS_Category_Map!$A$2:$B$10,2,FALSE)</f>
        <v>Hardware</v>
      </c>
      <c r="E122" s="10" t="str">
        <f>VLOOKUP(D122,Category_Function_Map!$A$2:$B$7,2,FALSE)</f>
        <v>Building Hardware</v>
      </c>
    </row>
    <row r="123" spans="1:5" x14ac:dyDescent="0.3">
      <c r="A123" s="7">
        <v>73</v>
      </c>
      <c r="B123" s="8">
        <v>7317</v>
      </c>
      <c r="C123" s="9" t="s">
        <v>124</v>
      </c>
      <c r="D123" s="10" t="str">
        <f>VLOOKUP(A123,HS_Category_Map!$A$2:$B$10,2,FALSE)</f>
        <v>Hardware</v>
      </c>
      <c r="E123" s="10" t="str">
        <f>VLOOKUP(D123,Category_Function_Map!$A$2:$B$7,2,FALSE)</f>
        <v>Building Hardware</v>
      </c>
    </row>
    <row r="124" spans="1:5" x14ac:dyDescent="0.3">
      <c r="A124" s="7">
        <v>73</v>
      </c>
      <c r="B124" s="8">
        <v>7324</v>
      </c>
      <c r="C124" s="9" t="s">
        <v>125</v>
      </c>
      <c r="D124" s="10" t="str">
        <f>VLOOKUP(A124,HS_Category_Map!$A$2:$B$10,2,FALSE)</f>
        <v>Hardware</v>
      </c>
      <c r="E124" s="10" t="str">
        <f>VLOOKUP(D124,Category_Function_Map!$A$2:$B$7,2,FALSE)</f>
        <v>Building Hardware</v>
      </c>
    </row>
    <row r="125" spans="1:5" x14ac:dyDescent="0.3">
      <c r="A125" s="7">
        <v>73</v>
      </c>
      <c r="B125" s="8">
        <v>7303</v>
      </c>
      <c r="C125" s="9" t="s">
        <v>126</v>
      </c>
      <c r="D125" s="10" t="str">
        <f>VLOOKUP(A125,HS_Category_Map!$A$2:$B$10,2,FALSE)</f>
        <v>Hardware</v>
      </c>
      <c r="E125" s="10" t="str">
        <f>VLOOKUP(D125,Category_Function_Map!$A$2:$B$7,2,FALSE)</f>
        <v>Building Hardware</v>
      </c>
    </row>
    <row r="126" spans="1:5" x14ac:dyDescent="0.3">
      <c r="A126" s="7">
        <v>73</v>
      </c>
      <c r="B126" s="8">
        <v>7316</v>
      </c>
      <c r="C126" s="9" t="s">
        <v>127</v>
      </c>
      <c r="D126" s="10" t="str">
        <f>VLOOKUP(A126,HS_Category_Map!$A$2:$B$10,2,FALSE)</f>
        <v>Hardware</v>
      </c>
      <c r="E126" s="10" t="str">
        <f>VLOOKUP(D126,Category_Function_Map!$A$2:$B$7,2,FALSE)</f>
        <v>Building Hardware</v>
      </c>
    </row>
    <row r="127" spans="1:5" x14ac:dyDescent="0.3">
      <c r="A127" s="7">
        <v>73</v>
      </c>
      <c r="B127" s="8">
        <v>7301</v>
      </c>
      <c r="C127" s="9" t="s">
        <v>128</v>
      </c>
      <c r="D127" s="10" t="str">
        <f>VLOOKUP(A127,HS_Category_Map!$A$2:$B$10,2,FALSE)</f>
        <v>Hardware</v>
      </c>
      <c r="E127" s="10" t="str">
        <f>VLOOKUP(D127,Category_Function_Map!$A$2:$B$7,2,FALSE)</f>
        <v>Building Hardware</v>
      </c>
    </row>
    <row r="128" spans="1:5" x14ac:dyDescent="0.3">
      <c r="A128" s="7">
        <v>73</v>
      </c>
      <c r="B128" s="8">
        <v>7305</v>
      </c>
      <c r="C128" s="9" t="s">
        <v>129</v>
      </c>
      <c r="D128" s="10" t="str">
        <f>VLOOKUP(A128,HS_Category_Map!$A$2:$B$10,2,FALSE)</f>
        <v>Hardware</v>
      </c>
      <c r="E128" s="10" t="str">
        <f>VLOOKUP(D128,Category_Function_Map!$A$2:$B$7,2,FALSE)</f>
        <v>Building Hardware</v>
      </c>
    </row>
    <row r="129" spans="1:5" x14ac:dyDescent="0.3">
      <c r="A129" s="7">
        <v>73</v>
      </c>
      <c r="B129" s="8">
        <v>7313</v>
      </c>
      <c r="C129" s="9" t="s">
        <v>130</v>
      </c>
      <c r="D129" s="10" t="str">
        <f>VLOOKUP(A129,HS_Category_Map!$A$2:$B$10,2,FALSE)</f>
        <v>Hardware</v>
      </c>
      <c r="E129" s="10" t="str">
        <f>VLOOKUP(D129,Category_Function_Map!$A$2:$B$7,2,FALSE)</f>
        <v>Building Hardware</v>
      </c>
    </row>
    <row r="130" spans="1:5" x14ac:dyDescent="0.3">
      <c r="A130" s="7">
        <v>74</v>
      </c>
      <c r="B130" s="8">
        <v>7403</v>
      </c>
      <c r="C130" s="9" t="s">
        <v>131</v>
      </c>
      <c r="D130" s="10" t="str">
        <f>VLOOKUP(A130,HS_Category_Map!$A$2:$B$10,2,FALSE)</f>
        <v>Electrical</v>
      </c>
      <c r="E130" s="10" t="str">
        <f>VLOOKUP(D130,Category_Function_Map!$A$2:$B$7,2,FALSE)</f>
        <v>Electrical Supplies</v>
      </c>
    </row>
    <row r="131" spans="1:5" x14ac:dyDescent="0.3">
      <c r="A131" s="7">
        <v>74</v>
      </c>
      <c r="B131" s="8">
        <v>7408</v>
      </c>
      <c r="C131" s="9" t="s">
        <v>132</v>
      </c>
      <c r="D131" s="10" t="str">
        <f>VLOOKUP(A131,HS_Category_Map!$A$2:$B$10,2,FALSE)</f>
        <v>Electrical</v>
      </c>
      <c r="E131" s="10" t="str">
        <f>VLOOKUP(D131,Category_Function_Map!$A$2:$B$7,2,FALSE)</f>
        <v>Electrical Supplies</v>
      </c>
    </row>
    <row r="132" spans="1:5" x14ac:dyDescent="0.3">
      <c r="A132" s="7">
        <v>74</v>
      </c>
      <c r="B132" s="8">
        <v>7409</v>
      </c>
      <c r="C132" s="9" t="s">
        <v>133</v>
      </c>
      <c r="D132" s="10" t="str">
        <f>VLOOKUP(A132,HS_Category_Map!$A$2:$B$10,2,FALSE)</f>
        <v>Electrical</v>
      </c>
      <c r="E132" s="10" t="str">
        <f>VLOOKUP(D132,Category_Function_Map!$A$2:$B$7,2,FALSE)</f>
        <v>Electrical Supplies</v>
      </c>
    </row>
    <row r="133" spans="1:5" x14ac:dyDescent="0.3">
      <c r="A133" s="7">
        <v>74</v>
      </c>
      <c r="B133" s="8">
        <v>7419</v>
      </c>
      <c r="C133" s="9" t="s">
        <v>134</v>
      </c>
      <c r="D133" s="10" t="str">
        <f>VLOOKUP(A133,HS_Category_Map!$A$2:$B$10,2,FALSE)</f>
        <v>Electrical</v>
      </c>
      <c r="E133" s="10" t="str">
        <f>VLOOKUP(D133,Category_Function_Map!$A$2:$B$7,2,FALSE)</f>
        <v>Electrical Supplies</v>
      </c>
    </row>
    <row r="134" spans="1:5" x14ac:dyDescent="0.3">
      <c r="A134" s="7">
        <v>74</v>
      </c>
      <c r="B134" s="8">
        <v>7407</v>
      </c>
      <c r="C134" s="9" t="s">
        <v>135</v>
      </c>
      <c r="D134" s="10" t="str">
        <f>VLOOKUP(A134,HS_Category_Map!$A$2:$B$10,2,FALSE)</f>
        <v>Electrical</v>
      </c>
      <c r="E134" s="10" t="str">
        <f>VLOOKUP(D134,Category_Function_Map!$A$2:$B$7,2,FALSE)</f>
        <v>Electrical Supplies</v>
      </c>
    </row>
    <row r="135" spans="1:5" x14ac:dyDescent="0.3">
      <c r="A135" s="7">
        <v>74</v>
      </c>
      <c r="B135" s="8">
        <v>7404</v>
      </c>
      <c r="C135" s="9" t="s">
        <v>136</v>
      </c>
      <c r="D135" s="10" t="str">
        <f>VLOOKUP(A135,HS_Category_Map!$A$2:$B$10,2,FALSE)</f>
        <v>Electrical</v>
      </c>
      <c r="E135" s="10" t="str">
        <f>VLOOKUP(D135,Category_Function_Map!$A$2:$B$7,2,FALSE)</f>
        <v>Electrical Supplies</v>
      </c>
    </row>
    <row r="136" spans="1:5" x14ac:dyDescent="0.3">
      <c r="A136" s="7">
        <v>74</v>
      </c>
      <c r="B136" s="8">
        <v>7402</v>
      </c>
      <c r="C136" s="9" t="s">
        <v>137</v>
      </c>
      <c r="D136" s="10" t="str">
        <f>VLOOKUP(A136,HS_Category_Map!$A$2:$B$10,2,FALSE)</f>
        <v>Electrical</v>
      </c>
      <c r="E136" s="10" t="str">
        <f>VLOOKUP(D136,Category_Function_Map!$A$2:$B$7,2,FALSE)</f>
        <v>Electrical Supplies</v>
      </c>
    </row>
    <row r="137" spans="1:5" x14ac:dyDescent="0.3">
      <c r="A137" s="7">
        <v>74</v>
      </c>
      <c r="B137" s="8">
        <v>7410</v>
      </c>
      <c r="C137" s="9" t="s">
        <v>138</v>
      </c>
      <c r="D137" s="10" t="str">
        <f>VLOOKUP(A137,HS_Category_Map!$A$2:$B$10,2,FALSE)</f>
        <v>Electrical</v>
      </c>
      <c r="E137" s="10" t="str">
        <f>VLOOKUP(D137,Category_Function_Map!$A$2:$B$7,2,FALSE)</f>
        <v>Electrical Supplies</v>
      </c>
    </row>
    <row r="138" spans="1:5" x14ac:dyDescent="0.3">
      <c r="A138" s="7">
        <v>74</v>
      </c>
      <c r="B138" s="8">
        <v>7412</v>
      </c>
      <c r="C138" s="9" t="s">
        <v>139</v>
      </c>
      <c r="D138" s="10" t="str">
        <f>VLOOKUP(A138,HS_Category_Map!$A$2:$B$10,2,FALSE)</f>
        <v>Electrical</v>
      </c>
      <c r="E138" s="10" t="str">
        <f>VLOOKUP(D138,Category_Function_Map!$A$2:$B$7,2,FALSE)</f>
        <v>Electrical Supplies</v>
      </c>
    </row>
    <row r="139" spans="1:5" x14ac:dyDescent="0.3">
      <c r="A139" s="7">
        <v>74</v>
      </c>
      <c r="B139" s="8">
        <v>7406</v>
      </c>
      <c r="C139" s="9" t="s">
        <v>140</v>
      </c>
      <c r="D139" s="10" t="str">
        <f>VLOOKUP(A139,HS_Category_Map!$A$2:$B$10,2,FALSE)</f>
        <v>Electrical</v>
      </c>
      <c r="E139" s="10" t="str">
        <f>VLOOKUP(D139,Category_Function_Map!$A$2:$B$7,2,FALSE)</f>
        <v>Electrical Supplies</v>
      </c>
    </row>
    <row r="140" spans="1:5" x14ac:dyDescent="0.3">
      <c r="A140" s="7">
        <v>74</v>
      </c>
      <c r="B140" s="8">
        <v>7411</v>
      </c>
      <c r="C140" s="9" t="s">
        <v>141</v>
      </c>
      <c r="D140" s="10" t="str">
        <f>VLOOKUP(A140,HS_Category_Map!$A$2:$B$10,2,FALSE)</f>
        <v>Electrical</v>
      </c>
      <c r="E140" s="10" t="str">
        <f>VLOOKUP(D140,Category_Function_Map!$A$2:$B$7,2,FALSE)</f>
        <v>Electrical Supplies</v>
      </c>
    </row>
    <row r="141" spans="1:5" x14ac:dyDescent="0.3">
      <c r="A141" s="7">
        <v>74</v>
      </c>
      <c r="B141" s="8">
        <v>7413</v>
      </c>
      <c r="C141" s="9" t="s">
        <v>142</v>
      </c>
      <c r="D141" s="10" t="str">
        <f>VLOOKUP(A141,HS_Category_Map!$A$2:$B$10,2,FALSE)</f>
        <v>Electrical</v>
      </c>
      <c r="E141" s="10" t="str">
        <f>VLOOKUP(D141,Category_Function_Map!$A$2:$B$7,2,FALSE)</f>
        <v>Electrical Supplies</v>
      </c>
    </row>
    <row r="142" spans="1:5" x14ac:dyDescent="0.3">
      <c r="A142" s="7">
        <v>74</v>
      </c>
      <c r="B142" s="8">
        <v>7415</v>
      </c>
      <c r="C142" s="9" t="s">
        <v>143</v>
      </c>
      <c r="D142" s="10" t="str">
        <f>VLOOKUP(A142,HS_Category_Map!$A$2:$B$10,2,FALSE)</f>
        <v>Electrical</v>
      </c>
      <c r="E142" s="10" t="str">
        <f>VLOOKUP(D142,Category_Function_Map!$A$2:$B$7,2,FALSE)</f>
        <v>Electrical Supplies</v>
      </c>
    </row>
    <row r="143" spans="1:5" x14ac:dyDescent="0.3">
      <c r="A143" s="7">
        <v>74</v>
      </c>
      <c r="B143" s="8">
        <v>7418</v>
      </c>
      <c r="C143" s="9" t="s">
        <v>144</v>
      </c>
      <c r="D143" s="10" t="str">
        <f>VLOOKUP(A143,HS_Category_Map!$A$2:$B$10,2,FALSE)</f>
        <v>Electrical</v>
      </c>
      <c r="E143" s="10" t="str">
        <f>VLOOKUP(D143,Category_Function_Map!$A$2:$B$7,2,FALSE)</f>
        <v>Electrical Supplies</v>
      </c>
    </row>
    <row r="144" spans="1:5" x14ac:dyDescent="0.3">
      <c r="A144" s="7">
        <v>74</v>
      </c>
      <c r="B144" s="8">
        <v>7401</v>
      </c>
      <c r="C144" s="9" t="s">
        <v>145</v>
      </c>
      <c r="D144" s="10" t="str">
        <f>VLOOKUP(A144,HS_Category_Map!$A$2:$B$10,2,FALSE)</f>
        <v>Electrical</v>
      </c>
      <c r="E144" s="10" t="str">
        <f>VLOOKUP(D144,Category_Function_Map!$A$2:$B$7,2,FALSE)</f>
        <v>Electrical Supplies</v>
      </c>
    </row>
    <row r="145" spans="1:5" x14ac:dyDescent="0.3">
      <c r="A145" s="7">
        <v>74</v>
      </c>
      <c r="B145" s="8">
        <v>7405</v>
      </c>
      <c r="C145" s="9" t="s">
        <v>146</v>
      </c>
      <c r="D145" s="10" t="str">
        <f>VLOOKUP(A145,HS_Category_Map!$A$2:$B$10,2,FALSE)</f>
        <v>Electrical</v>
      </c>
      <c r="E145" s="10" t="str">
        <f>VLOOKUP(D145,Category_Function_Map!$A$2:$B$7,2,FALSE)</f>
        <v>Electrical Supplies</v>
      </c>
    </row>
    <row r="146" spans="1:5" x14ac:dyDescent="0.3">
      <c r="A146" s="7">
        <v>76</v>
      </c>
      <c r="B146" s="8">
        <v>7602</v>
      </c>
      <c r="C146" s="9" t="s">
        <v>147</v>
      </c>
      <c r="D146" s="10" t="str">
        <f>VLOOKUP(A146,HS_Category_Map!$A$2:$B$10,2,FALSE)</f>
        <v>Hardware</v>
      </c>
      <c r="E146" s="10" t="str">
        <f>VLOOKUP(D146,Category_Function_Map!$A$2:$B$7,2,FALSE)</f>
        <v>Building Hardware</v>
      </c>
    </row>
    <row r="147" spans="1:5" x14ac:dyDescent="0.3">
      <c r="A147" s="7">
        <v>76</v>
      </c>
      <c r="B147" s="8">
        <v>7606</v>
      </c>
      <c r="C147" s="9" t="s">
        <v>148</v>
      </c>
      <c r="D147" s="10" t="str">
        <f>VLOOKUP(A147,HS_Category_Map!$A$2:$B$10,2,FALSE)</f>
        <v>Hardware</v>
      </c>
      <c r="E147" s="10" t="str">
        <f>VLOOKUP(D147,Category_Function_Map!$A$2:$B$7,2,FALSE)</f>
        <v>Building Hardware</v>
      </c>
    </row>
    <row r="148" spans="1:5" x14ac:dyDescent="0.3">
      <c r="A148" s="7">
        <v>76</v>
      </c>
      <c r="B148" s="8">
        <v>7616</v>
      </c>
      <c r="C148" s="9" t="s">
        <v>149</v>
      </c>
      <c r="D148" s="10" t="str">
        <f>VLOOKUP(A148,HS_Category_Map!$A$2:$B$10,2,FALSE)</f>
        <v>Hardware</v>
      </c>
      <c r="E148" s="10" t="str">
        <f>VLOOKUP(D148,Category_Function_Map!$A$2:$B$7,2,FALSE)</f>
        <v>Building Hardware</v>
      </c>
    </row>
    <row r="149" spans="1:5" x14ac:dyDescent="0.3">
      <c r="A149" s="7">
        <v>76</v>
      </c>
      <c r="B149" s="8">
        <v>7607</v>
      </c>
      <c r="C149" s="9" t="s">
        <v>150</v>
      </c>
      <c r="D149" s="10" t="str">
        <f>VLOOKUP(A149,HS_Category_Map!$A$2:$B$10,2,FALSE)</f>
        <v>Hardware</v>
      </c>
      <c r="E149" s="10" t="str">
        <f>VLOOKUP(D149,Category_Function_Map!$A$2:$B$7,2,FALSE)</f>
        <v>Building Hardware</v>
      </c>
    </row>
    <row r="150" spans="1:5" x14ac:dyDescent="0.3">
      <c r="A150" s="7">
        <v>76</v>
      </c>
      <c r="B150" s="8">
        <v>7604</v>
      </c>
      <c r="C150" s="9" t="s">
        <v>151</v>
      </c>
      <c r="D150" s="10" t="str">
        <f>VLOOKUP(A150,HS_Category_Map!$A$2:$B$10,2,FALSE)</f>
        <v>Hardware</v>
      </c>
      <c r="E150" s="10" t="str">
        <f>VLOOKUP(D150,Category_Function_Map!$A$2:$B$7,2,FALSE)</f>
        <v>Building Hardware</v>
      </c>
    </row>
    <row r="151" spans="1:5" x14ac:dyDescent="0.3">
      <c r="A151" s="7">
        <v>76</v>
      </c>
      <c r="B151" s="8">
        <v>7605</v>
      </c>
      <c r="C151" s="9" t="s">
        <v>152</v>
      </c>
      <c r="D151" s="10" t="str">
        <f>VLOOKUP(A151,HS_Category_Map!$A$2:$B$10,2,FALSE)</f>
        <v>Hardware</v>
      </c>
      <c r="E151" s="10" t="str">
        <f>VLOOKUP(D151,Category_Function_Map!$A$2:$B$7,2,FALSE)</f>
        <v>Building Hardware</v>
      </c>
    </row>
    <row r="152" spans="1:5" x14ac:dyDescent="0.3">
      <c r="A152" s="7">
        <v>76</v>
      </c>
      <c r="B152" s="8">
        <v>7608</v>
      </c>
      <c r="C152" s="9" t="s">
        <v>153</v>
      </c>
      <c r="D152" s="10" t="str">
        <f>VLOOKUP(A152,HS_Category_Map!$A$2:$B$10,2,FALSE)</f>
        <v>Hardware</v>
      </c>
      <c r="E152" s="10" t="str">
        <f>VLOOKUP(D152,Category_Function_Map!$A$2:$B$7,2,FALSE)</f>
        <v>Building Hardware</v>
      </c>
    </row>
    <row r="153" spans="1:5" x14ac:dyDescent="0.3">
      <c r="A153" s="7">
        <v>76</v>
      </c>
      <c r="B153" s="8">
        <v>7610</v>
      </c>
      <c r="C153" s="9" t="s">
        <v>154</v>
      </c>
      <c r="D153" s="10" t="str">
        <f>VLOOKUP(A153,HS_Category_Map!$A$2:$B$10,2,FALSE)</f>
        <v>Hardware</v>
      </c>
      <c r="E153" s="10" t="str">
        <f>VLOOKUP(D153,Category_Function_Map!$A$2:$B$7,2,FALSE)</f>
        <v>Building Hardware</v>
      </c>
    </row>
    <row r="154" spans="1:5" x14ac:dyDescent="0.3">
      <c r="A154" s="7">
        <v>76</v>
      </c>
      <c r="B154" s="8">
        <v>7603</v>
      </c>
      <c r="C154" s="9" t="s">
        <v>155</v>
      </c>
      <c r="D154" s="10" t="str">
        <f>VLOOKUP(A154,HS_Category_Map!$A$2:$B$10,2,FALSE)</f>
        <v>Hardware</v>
      </c>
      <c r="E154" s="10" t="str">
        <f>VLOOKUP(D154,Category_Function_Map!$A$2:$B$7,2,FALSE)</f>
        <v>Building Hardware</v>
      </c>
    </row>
    <row r="155" spans="1:5" x14ac:dyDescent="0.3">
      <c r="A155" s="7">
        <v>76</v>
      </c>
      <c r="B155" s="8">
        <v>7609</v>
      </c>
      <c r="C155" s="9" t="s">
        <v>156</v>
      </c>
      <c r="D155" s="10" t="str">
        <f>VLOOKUP(A155,HS_Category_Map!$A$2:$B$10,2,FALSE)</f>
        <v>Hardware</v>
      </c>
      <c r="E155" s="10" t="str">
        <f>VLOOKUP(D155,Category_Function_Map!$A$2:$B$7,2,FALSE)</f>
        <v>Building Hardware</v>
      </c>
    </row>
    <row r="156" spans="1:5" x14ac:dyDescent="0.3">
      <c r="A156" s="7">
        <v>76</v>
      </c>
      <c r="B156" s="8">
        <v>7612</v>
      </c>
      <c r="C156" s="9" t="s">
        <v>157</v>
      </c>
      <c r="D156" s="10" t="str">
        <f>VLOOKUP(A156,HS_Category_Map!$A$2:$B$10,2,FALSE)</f>
        <v>Hardware</v>
      </c>
      <c r="E156" s="10" t="str">
        <f>VLOOKUP(D156,Category_Function_Map!$A$2:$B$7,2,FALSE)</f>
        <v>Building Hardware</v>
      </c>
    </row>
    <row r="157" spans="1:5" x14ac:dyDescent="0.3">
      <c r="A157" s="7">
        <v>76</v>
      </c>
      <c r="B157" s="8">
        <v>7601</v>
      </c>
      <c r="C157" s="9" t="s">
        <v>158</v>
      </c>
      <c r="D157" s="10" t="str">
        <f>VLOOKUP(A157,HS_Category_Map!$A$2:$B$10,2,FALSE)</f>
        <v>Hardware</v>
      </c>
      <c r="E157" s="10" t="str">
        <f>VLOOKUP(D157,Category_Function_Map!$A$2:$B$7,2,FALSE)</f>
        <v>Building Hardware</v>
      </c>
    </row>
    <row r="158" spans="1:5" x14ac:dyDescent="0.3">
      <c r="A158" s="7">
        <v>76</v>
      </c>
      <c r="B158" s="8">
        <v>7615</v>
      </c>
      <c r="C158" s="9" t="s">
        <v>159</v>
      </c>
      <c r="D158" s="10" t="str">
        <f>VLOOKUP(A158,HS_Category_Map!$A$2:$B$10,2,FALSE)</f>
        <v>Hardware</v>
      </c>
      <c r="E158" s="10" t="str">
        <f>VLOOKUP(D158,Category_Function_Map!$A$2:$B$7,2,FALSE)</f>
        <v>Building Hardware</v>
      </c>
    </row>
    <row r="159" spans="1:5" x14ac:dyDescent="0.3">
      <c r="A159" s="7">
        <v>76</v>
      </c>
      <c r="B159" s="8">
        <v>7613</v>
      </c>
      <c r="C159" s="9" t="s">
        <v>160</v>
      </c>
      <c r="D159" s="10" t="str">
        <f>VLOOKUP(A159,HS_Category_Map!$A$2:$B$10,2,FALSE)</f>
        <v>Hardware</v>
      </c>
      <c r="E159" s="10" t="str">
        <f>VLOOKUP(D159,Category_Function_Map!$A$2:$B$7,2,FALSE)</f>
        <v>Building Hardware</v>
      </c>
    </row>
    <row r="160" spans="1:5" x14ac:dyDescent="0.3">
      <c r="A160" s="7">
        <v>76</v>
      </c>
      <c r="B160" s="8">
        <v>7611</v>
      </c>
      <c r="C160" s="9" t="s">
        <v>161</v>
      </c>
      <c r="D160" s="10" t="str">
        <f>VLOOKUP(A160,HS_Category_Map!$A$2:$B$10,2,FALSE)</f>
        <v>Hardware</v>
      </c>
      <c r="E160" s="10" t="str">
        <f>VLOOKUP(D160,Category_Function_Map!$A$2:$B$7,2,FALSE)</f>
        <v>Building Hardware</v>
      </c>
    </row>
    <row r="161" spans="1:5" x14ac:dyDescent="0.3">
      <c r="A161" s="7">
        <v>76</v>
      </c>
      <c r="B161" s="8">
        <v>7614</v>
      </c>
      <c r="C161" s="9" t="s">
        <v>162</v>
      </c>
      <c r="D161" s="10" t="str">
        <f>VLOOKUP(A161,HS_Category_Map!$A$2:$B$10,2,FALSE)</f>
        <v>Hardware</v>
      </c>
      <c r="E161" s="10" t="str">
        <f>VLOOKUP(D161,Category_Function_Map!$A$2:$B$7,2,FALSE)</f>
        <v>Building Hardware</v>
      </c>
    </row>
    <row r="162" spans="1:5" x14ac:dyDescent="0.3">
      <c r="A162" s="7">
        <v>83</v>
      </c>
      <c r="B162" s="8">
        <v>8311</v>
      </c>
      <c r="C162" s="9" t="s">
        <v>163</v>
      </c>
      <c r="D162" s="10" t="str">
        <f>VLOOKUP(A162,HS_Category_Map!$A$2:$B$10,2,FALSE)</f>
        <v>Hardware</v>
      </c>
      <c r="E162" s="10" t="str">
        <f>VLOOKUP(D162,Category_Function_Map!$A$2:$B$7,2,FALSE)</f>
        <v>Building Hardware</v>
      </c>
    </row>
    <row r="163" spans="1:5" x14ac:dyDescent="0.3">
      <c r="A163" s="7">
        <v>83</v>
      </c>
      <c r="B163" s="8">
        <v>8301</v>
      </c>
      <c r="C163" s="9" t="s">
        <v>164</v>
      </c>
      <c r="D163" s="10" t="str">
        <f>VLOOKUP(A163,HS_Category_Map!$A$2:$B$10,2,FALSE)</f>
        <v>Hardware</v>
      </c>
      <c r="E163" s="10" t="str">
        <f>VLOOKUP(D163,Category_Function_Map!$A$2:$B$7,2,FALSE)</f>
        <v>Building Hardware</v>
      </c>
    </row>
    <row r="164" spans="1:5" x14ac:dyDescent="0.3">
      <c r="A164" s="7">
        <v>83</v>
      </c>
      <c r="B164" s="8">
        <v>8302</v>
      </c>
      <c r="C164" s="9" t="s">
        <v>165</v>
      </c>
      <c r="D164" s="10" t="str">
        <f>VLOOKUP(A164,HS_Category_Map!$A$2:$B$10,2,FALSE)</f>
        <v>Hardware</v>
      </c>
      <c r="E164" s="10" t="str">
        <f>VLOOKUP(D164,Category_Function_Map!$A$2:$B$7,2,FALSE)</f>
        <v>Building Hardware</v>
      </c>
    </row>
    <row r="165" spans="1:5" x14ac:dyDescent="0.3">
      <c r="A165" s="7">
        <v>83</v>
      </c>
      <c r="B165" s="8">
        <v>8307</v>
      </c>
      <c r="C165" s="9" t="s">
        <v>166</v>
      </c>
      <c r="D165" s="10" t="str">
        <f>VLOOKUP(A165,HS_Category_Map!$A$2:$B$10,2,FALSE)</f>
        <v>Hardware</v>
      </c>
      <c r="E165" s="10" t="str">
        <f>VLOOKUP(D165,Category_Function_Map!$A$2:$B$7,2,FALSE)</f>
        <v>Building Hardware</v>
      </c>
    </row>
    <row r="166" spans="1:5" x14ac:dyDescent="0.3">
      <c r="A166" s="7">
        <v>83</v>
      </c>
      <c r="B166" s="8">
        <v>8310</v>
      </c>
      <c r="C166" s="9" t="s">
        <v>167</v>
      </c>
      <c r="D166" s="10" t="str">
        <f>VLOOKUP(A166,HS_Category_Map!$A$2:$B$10,2,FALSE)</f>
        <v>Hardware</v>
      </c>
      <c r="E166" s="10" t="str">
        <f>VLOOKUP(D166,Category_Function_Map!$A$2:$B$7,2,FALSE)</f>
        <v>Building Hardware</v>
      </c>
    </row>
    <row r="167" spans="1:5" x14ac:dyDescent="0.3">
      <c r="A167" s="7">
        <v>83</v>
      </c>
      <c r="B167" s="8">
        <v>8309</v>
      </c>
      <c r="C167" s="9" t="s">
        <v>168</v>
      </c>
      <c r="D167" s="10" t="str">
        <f>VLOOKUP(A167,HS_Category_Map!$A$2:$B$10,2,FALSE)</f>
        <v>Hardware</v>
      </c>
      <c r="E167" s="10" t="str">
        <f>VLOOKUP(D167,Category_Function_Map!$A$2:$B$7,2,FALSE)</f>
        <v>Building Hardware</v>
      </c>
    </row>
    <row r="168" spans="1:5" x14ac:dyDescent="0.3">
      <c r="A168" s="7">
        <v>83</v>
      </c>
      <c r="B168" s="8">
        <v>8308</v>
      </c>
      <c r="C168" s="9" t="s">
        <v>169</v>
      </c>
      <c r="D168" s="10" t="str">
        <f>VLOOKUP(A168,HS_Category_Map!$A$2:$B$10,2,FALSE)</f>
        <v>Hardware</v>
      </c>
      <c r="E168" s="10" t="str">
        <f>VLOOKUP(D168,Category_Function_Map!$A$2:$B$7,2,FALSE)</f>
        <v>Building Hardware</v>
      </c>
    </row>
    <row r="169" spans="1:5" x14ac:dyDescent="0.3">
      <c r="A169" s="7">
        <v>83</v>
      </c>
      <c r="B169" s="8">
        <v>8305</v>
      </c>
      <c r="C169" s="9" t="s">
        <v>170</v>
      </c>
      <c r="D169" s="10" t="str">
        <f>VLOOKUP(A169,HS_Category_Map!$A$2:$B$10,2,FALSE)</f>
        <v>Hardware</v>
      </c>
      <c r="E169" s="10" t="str">
        <f>VLOOKUP(D169,Category_Function_Map!$A$2:$B$7,2,FALSE)</f>
        <v>Building Hardware</v>
      </c>
    </row>
    <row r="170" spans="1:5" x14ac:dyDescent="0.3">
      <c r="A170" s="7">
        <v>83</v>
      </c>
      <c r="B170" s="8">
        <v>8303</v>
      </c>
      <c r="C170" s="9" t="s">
        <v>171</v>
      </c>
      <c r="D170" s="10" t="str">
        <f>VLOOKUP(A170,HS_Category_Map!$A$2:$B$10,2,FALSE)</f>
        <v>Hardware</v>
      </c>
      <c r="E170" s="10" t="str">
        <f>VLOOKUP(D170,Category_Function_Map!$A$2:$B$7,2,FALSE)</f>
        <v>Building Hardware</v>
      </c>
    </row>
    <row r="171" spans="1:5" x14ac:dyDescent="0.3">
      <c r="A171" s="7">
        <v>83</v>
      </c>
      <c r="B171" s="8">
        <v>8306</v>
      </c>
      <c r="C171" s="9" t="s">
        <v>172</v>
      </c>
      <c r="D171" s="10" t="str">
        <f>VLOOKUP(A171,HS_Category_Map!$A$2:$B$10,2,FALSE)</f>
        <v>Hardware</v>
      </c>
      <c r="E171" s="10" t="str">
        <f>VLOOKUP(D171,Category_Function_Map!$A$2:$B$7,2,FALSE)</f>
        <v>Building Hardware</v>
      </c>
    </row>
    <row r="172" spans="1:5" x14ac:dyDescent="0.3">
      <c r="A172" s="7">
        <v>83</v>
      </c>
      <c r="B172" s="8">
        <v>8304</v>
      </c>
      <c r="C172" s="9" t="s">
        <v>173</v>
      </c>
      <c r="D172" s="10" t="str">
        <f>VLOOKUP(A172,HS_Category_Map!$A$2:$B$10,2,FALSE)</f>
        <v>Hardware</v>
      </c>
      <c r="E172" s="10" t="str">
        <f>VLOOKUP(D172,Category_Function_Map!$A$2:$B$7,2,FALSE)</f>
        <v>Building Hardware</v>
      </c>
    </row>
    <row r="173" spans="1:5" x14ac:dyDescent="0.3">
      <c r="A173" s="7">
        <v>84</v>
      </c>
      <c r="B173" s="8">
        <v>8479</v>
      </c>
      <c r="C173" s="9" t="s">
        <v>174</v>
      </c>
      <c r="D173" s="10" t="str">
        <f>VLOOKUP(A173,HS_Category_Map!$A$2:$B$10,2,FALSE)</f>
        <v>Kitchen Fittings</v>
      </c>
      <c r="E173" s="10" t="str">
        <f>VLOOKUP(D173,Category_Function_Map!$A$2:$B$7,2,FALSE)</f>
        <v>Kitchen &amp; Mechanical Solutions</v>
      </c>
    </row>
    <row r="174" spans="1:5" x14ac:dyDescent="0.3">
      <c r="A174" s="7">
        <v>84</v>
      </c>
      <c r="B174" s="8">
        <v>8457</v>
      </c>
      <c r="C174" s="9" t="s">
        <v>175</v>
      </c>
      <c r="D174" s="10" t="str">
        <f>VLOOKUP(A174,HS_Category_Map!$A$2:$B$10,2,FALSE)</f>
        <v>Kitchen Fittings</v>
      </c>
      <c r="E174" s="10" t="str">
        <f>VLOOKUP(D174,Category_Function_Map!$A$2:$B$7,2,FALSE)</f>
        <v>Kitchen &amp; Mechanical Solutions</v>
      </c>
    </row>
    <row r="175" spans="1:5" x14ac:dyDescent="0.3">
      <c r="A175" s="7">
        <v>84</v>
      </c>
      <c r="B175" s="8">
        <v>8411</v>
      </c>
      <c r="C175" s="9" t="s">
        <v>176</v>
      </c>
      <c r="D175" s="10" t="str">
        <f>VLOOKUP(A175,HS_Category_Map!$A$2:$B$10,2,FALSE)</f>
        <v>Kitchen Fittings</v>
      </c>
      <c r="E175" s="10" t="str">
        <f>VLOOKUP(D175,Category_Function_Map!$A$2:$B$7,2,FALSE)</f>
        <v>Kitchen &amp; Mechanical Solutions</v>
      </c>
    </row>
    <row r="176" spans="1:5" x14ac:dyDescent="0.3">
      <c r="A176" s="7">
        <v>84</v>
      </c>
      <c r="B176" s="8">
        <v>8443</v>
      </c>
      <c r="C176" s="9" t="s">
        <v>177</v>
      </c>
      <c r="D176" s="10" t="str">
        <f>VLOOKUP(A176,HS_Category_Map!$A$2:$B$10,2,FALSE)</f>
        <v>Kitchen Fittings</v>
      </c>
      <c r="E176" s="10" t="str">
        <f>VLOOKUP(D176,Category_Function_Map!$A$2:$B$7,2,FALSE)</f>
        <v>Kitchen &amp; Mechanical Solutions</v>
      </c>
    </row>
    <row r="177" spans="1:5" x14ac:dyDescent="0.3">
      <c r="A177" s="7">
        <v>84</v>
      </c>
      <c r="B177" s="8">
        <v>8409</v>
      </c>
      <c r="C177" s="9" t="s">
        <v>178</v>
      </c>
      <c r="D177" s="10" t="str">
        <f>VLOOKUP(A177,HS_Category_Map!$A$2:$B$10,2,FALSE)</f>
        <v>Kitchen Fittings</v>
      </c>
      <c r="E177" s="10" t="str">
        <f>VLOOKUP(D177,Category_Function_Map!$A$2:$B$7,2,FALSE)</f>
        <v>Kitchen &amp; Mechanical Solutions</v>
      </c>
    </row>
    <row r="178" spans="1:5" x14ac:dyDescent="0.3">
      <c r="A178" s="7">
        <v>84</v>
      </c>
      <c r="B178" s="8">
        <v>8481</v>
      </c>
      <c r="C178" s="9" t="s">
        <v>179</v>
      </c>
      <c r="D178" s="10" t="str">
        <f>VLOOKUP(A178,HS_Category_Map!$A$2:$B$10,2,FALSE)</f>
        <v>Kitchen Fittings</v>
      </c>
      <c r="E178" s="10" t="str">
        <f>VLOOKUP(D178,Category_Function_Map!$A$2:$B$7,2,FALSE)</f>
        <v>Kitchen &amp; Mechanical Solutions</v>
      </c>
    </row>
    <row r="179" spans="1:5" x14ac:dyDescent="0.3">
      <c r="A179" s="7">
        <v>84</v>
      </c>
      <c r="B179" s="8">
        <v>8477</v>
      </c>
      <c r="C179" s="9" t="s">
        <v>180</v>
      </c>
      <c r="D179" s="10" t="str">
        <f>VLOOKUP(A179,HS_Category_Map!$A$2:$B$10,2,FALSE)</f>
        <v>Kitchen Fittings</v>
      </c>
      <c r="E179" s="10" t="str">
        <f>VLOOKUP(D179,Category_Function_Map!$A$2:$B$7,2,FALSE)</f>
        <v>Kitchen &amp; Mechanical Solutions</v>
      </c>
    </row>
    <row r="180" spans="1:5" x14ac:dyDescent="0.3">
      <c r="A180" s="7">
        <v>84</v>
      </c>
      <c r="B180" s="8">
        <v>8414</v>
      </c>
      <c r="C180" s="9" t="s">
        <v>181</v>
      </c>
      <c r="D180" s="10" t="str">
        <f>VLOOKUP(A180,HS_Category_Map!$A$2:$B$10,2,FALSE)</f>
        <v>Kitchen Fittings</v>
      </c>
      <c r="E180" s="10" t="str">
        <f>VLOOKUP(D180,Category_Function_Map!$A$2:$B$7,2,FALSE)</f>
        <v>Kitchen &amp; Mechanical Solutions</v>
      </c>
    </row>
    <row r="181" spans="1:5" x14ac:dyDescent="0.3">
      <c r="A181" s="7">
        <v>84</v>
      </c>
      <c r="B181" s="8">
        <v>8482</v>
      </c>
      <c r="C181" s="9" t="s">
        <v>182</v>
      </c>
      <c r="D181" s="10" t="str">
        <f>VLOOKUP(A181,HS_Category_Map!$A$2:$B$10,2,FALSE)</f>
        <v>Kitchen Fittings</v>
      </c>
      <c r="E181" s="10" t="str">
        <f>VLOOKUP(D181,Category_Function_Map!$A$2:$B$7,2,FALSE)</f>
        <v>Kitchen &amp; Mechanical Solutions</v>
      </c>
    </row>
    <row r="182" spans="1:5" x14ac:dyDescent="0.3">
      <c r="A182" s="7">
        <v>84</v>
      </c>
      <c r="B182" s="8">
        <v>8431</v>
      </c>
      <c r="C182" s="9" t="s">
        <v>183</v>
      </c>
      <c r="D182" s="10" t="str">
        <f>VLOOKUP(A182,HS_Category_Map!$A$2:$B$10,2,FALSE)</f>
        <v>Kitchen Fittings</v>
      </c>
      <c r="E182" s="10" t="str">
        <f>VLOOKUP(D182,Category_Function_Map!$A$2:$B$7,2,FALSE)</f>
        <v>Kitchen &amp; Mechanical Solutions</v>
      </c>
    </row>
    <row r="183" spans="1:5" x14ac:dyDescent="0.3">
      <c r="A183" s="7">
        <v>84</v>
      </c>
      <c r="B183" s="8">
        <v>8413</v>
      </c>
      <c r="C183" s="9" t="s">
        <v>184</v>
      </c>
      <c r="D183" s="10" t="str">
        <f>VLOOKUP(A183,HS_Category_Map!$A$2:$B$10,2,FALSE)</f>
        <v>Kitchen Fittings</v>
      </c>
      <c r="E183" s="10" t="str">
        <f>VLOOKUP(D183,Category_Function_Map!$A$2:$B$7,2,FALSE)</f>
        <v>Kitchen &amp; Mechanical Solutions</v>
      </c>
    </row>
    <row r="184" spans="1:5" x14ac:dyDescent="0.3">
      <c r="A184" s="7">
        <v>84</v>
      </c>
      <c r="B184" s="8">
        <v>8462</v>
      </c>
      <c r="C184" s="9" t="s">
        <v>185</v>
      </c>
      <c r="D184" s="10" t="str">
        <f>VLOOKUP(A184,HS_Category_Map!$A$2:$B$10,2,FALSE)</f>
        <v>Kitchen Fittings</v>
      </c>
      <c r="E184" s="10" t="str">
        <f>VLOOKUP(D184,Category_Function_Map!$A$2:$B$7,2,FALSE)</f>
        <v>Kitchen &amp; Mechanical Solutions</v>
      </c>
    </row>
    <row r="185" spans="1:5" x14ac:dyDescent="0.3">
      <c r="A185" s="7">
        <v>84</v>
      </c>
      <c r="B185" s="8">
        <v>8446</v>
      </c>
      <c r="C185" s="9" t="s">
        <v>186</v>
      </c>
      <c r="D185" s="10" t="str">
        <f>VLOOKUP(A185,HS_Category_Map!$A$2:$B$10,2,FALSE)</f>
        <v>Kitchen Fittings</v>
      </c>
      <c r="E185" s="10" t="str">
        <f>VLOOKUP(D185,Category_Function_Map!$A$2:$B$7,2,FALSE)</f>
        <v>Kitchen &amp; Mechanical Solutions</v>
      </c>
    </row>
    <row r="186" spans="1:5" x14ac:dyDescent="0.3">
      <c r="A186" s="7">
        <v>84</v>
      </c>
      <c r="B186" s="8">
        <v>8421</v>
      </c>
      <c r="C186" s="9" t="s">
        <v>187</v>
      </c>
      <c r="D186" s="10" t="str">
        <f>VLOOKUP(A186,HS_Category_Map!$A$2:$B$10,2,FALSE)</f>
        <v>Kitchen Fittings</v>
      </c>
      <c r="E186" s="10" t="str">
        <f>VLOOKUP(D186,Category_Function_Map!$A$2:$B$7,2,FALSE)</f>
        <v>Kitchen &amp; Mechanical Solutions</v>
      </c>
    </row>
    <row r="187" spans="1:5" x14ac:dyDescent="0.3">
      <c r="A187" s="7">
        <v>84</v>
      </c>
      <c r="B187" s="8">
        <v>8466</v>
      </c>
      <c r="C187" s="9" t="s">
        <v>188</v>
      </c>
      <c r="D187" s="10" t="str">
        <f>VLOOKUP(A187,HS_Category_Map!$A$2:$B$10,2,FALSE)</f>
        <v>Kitchen Fittings</v>
      </c>
      <c r="E187" s="10" t="str">
        <f>VLOOKUP(D187,Category_Function_Map!$A$2:$B$7,2,FALSE)</f>
        <v>Kitchen &amp; Mechanical Solutions</v>
      </c>
    </row>
    <row r="188" spans="1:5" x14ac:dyDescent="0.3">
      <c r="A188" s="7">
        <v>84</v>
      </c>
      <c r="B188" s="8">
        <v>8483</v>
      </c>
      <c r="C188" s="9" t="s">
        <v>189</v>
      </c>
      <c r="D188" s="10" t="str">
        <f>VLOOKUP(A188,HS_Category_Map!$A$2:$B$10,2,FALSE)</f>
        <v>Kitchen Fittings</v>
      </c>
      <c r="E188" s="10" t="str">
        <f>VLOOKUP(D188,Category_Function_Map!$A$2:$B$7,2,FALSE)</f>
        <v>Kitchen &amp; Mechanical Solutions</v>
      </c>
    </row>
    <row r="189" spans="1:5" x14ac:dyDescent="0.3">
      <c r="A189" s="7">
        <v>84</v>
      </c>
      <c r="B189" s="8">
        <v>8408</v>
      </c>
      <c r="C189" s="9" t="s">
        <v>190</v>
      </c>
      <c r="D189" s="10" t="str">
        <f>VLOOKUP(A189,HS_Category_Map!$A$2:$B$10,2,FALSE)</f>
        <v>Kitchen Fittings</v>
      </c>
      <c r="E189" s="10" t="str">
        <f>VLOOKUP(D189,Category_Function_Map!$A$2:$B$7,2,FALSE)</f>
        <v>Kitchen &amp; Mechanical Solutions</v>
      </c>
    </row>
    <row r="190" spans="1:5" x14ac:dyDescent="0.3">
      <c r="A190" s="7">
        <v>84</v>
      </c>
      <c r="B190" s="8">
        <v>8429</v>
      </c>
      <c r="C190" s="9" t="s">
        <v>191</v>
      </c>
      <c r="D190" s="10" t="str">
        <f>VLOOKUP(A190,HS_Category_Map!$A$2:$B$10,2,FALSE)</f>
        <v>Kitchen Fittings</v>
      </c>
      <c r="E190" s="10" t="str">
        <f>VLOOKUP(D190,Category_Function_Map!$A$2:$B$7,2,FALSE)</f>
        <v>Kitchen &amp; Mechanical Solutions</v>
      </c>
    </row>
    <row r="191" spans="1:5" x14ac:dyDescent="0.3">
      <c r="A191" s="7">
        <v>84</v>
      </c>
      <c r="B191" s="8">
        <v>8460</v>
      </c>
      <c r="C191" s="9" t="s">
        <v>192</v>
      </c>
      <c r="D191" s="10" t="str">
        <f>VLOOKUP(A191,HS_Category_Map!$A$2:$B$10,2,FALSE)</f>
        <v>Kitchen Fittings</v>
      </c>
      <c r="E191" s="10" t="str">
        <f>VLOOKUP(D191,Category_Function_Map!$A$2:$B$7,2,FALSE)</f>
        <v>Kitchen &amp; Mechanical Solutions</v>
      </c>
    </row>
    <row r="192" spans="1:5" x14ac:dyDescent="0.3">
      <c r="A192" s="7">
        <v>84</v>
      </c>
      <c r="B192" s="8">
        <v>8458</v>
      </c>
      <c r="C192" s="9" t="s">
        <v>193</v>
      </c>
      <c r="D192" s="10" t="str">
        <f>VLOOKUP(A192,HS_Category_Map!$A$2:$B$10,2,FALSE)</f>
        <v>Kitchen Fittings</v>
      </c>
      <c r="E192" s="10" t="str">
        <f>VLOOKUP(D192,Category_Function_Map!$A$2:$B$7,2,FALSE)</f>
        <v>Kitchen &amp; Mechanical Solutions</v>
      </c>
    </row>
    <row r="193" spans="1:5" x14ac:dyDescent="0.3">
      <c r="A193" s="7">
        <v>84</v>
      </c>
      <c r="B193" s="8">
        <v>8445</v>
      </c>
      <c r="C193" s="9" t="s">
        <v>194</v>
      </c>
      <c r="D193" s="10" t="str">
        <f>VLOOKUP(A193,HS_Category_Map!$A$2:$B$10,2,FALSE)</f>
        <v>Kitchen Fittings</v>
      </c>
      <c r="E193" s="10" t="str">
        <f>VLOOKUP(D193,Category_Function_Map!$A$2:$B$7,2,FALSE)</f>
        <v>Kitchen &amp; Mechanical Solutions</v>
      </c>
    </row>
    <row r="194" spans="1:5" x14ac:dyDescent="0.3">
      <c r="A194" s="7">
        <v>84</v>
      </c>
      <c r="B194" s="8">
        <v>8412</v>
      </c>
      <c r="C194" s="9" t="s">
        <v>195</v>
      </c>
      <c r="D194" s="10" t="str">
        <f>VLOOKUP(A194,HS_Category_Map!$A$2:$B$10,2,FALSE)</f>
        <v>Kitchen Fittings</v>
      </c>
      <c r="E194" s="10" t="str">
        <f>VLOOKUP(D194,Category_Function_Map!$A$2:$B$7,2,FALSE)</f>
        <v>Kitchen &amp; Mechanical Solutions</v>
      </c>
    </row>
    <row r="195" spans="1:5" x14ac:dyDescent="0.3">
      <c r="A195" s="7">
        <v>84</v>
      </c>
      <c r="B195" s="8">
        <v>8455</v>
      </c>
      <c r="C195" s="9" t="s">
        <v>196</v>
      </c>
      <c r="D195" s="10" t="str">
        <f>VLOOKUP(A195,HS_Category_Map!$A$2:$B$10,2,FALSE)</f>
        <v>Kitchen Fittings</v>
      </c>
      <c r="E195" s="10" t="str">
        <f>VLOOKUP(D195,Category_Function_Map!$A$2:$B$7,2,FALSE)</f>
        <v>Kitchen &amp; Mechanical Solutions</v>
      </c>
    </row>
    <row r="196" spans="1:5" x14ac:dyDescent="0.3">
      <c r="A196" s="7">
        <v>84</v>
      </c>
      <c r="B196" s="8">
        <v>8428</v>
      </c>
      <c r="C196" s="9" t="s">
        <v>197</v>
      </c>
      <c r="D196" s="10" t="str">
        <f>VLOOKUP(A196,HS_Category_Map!$A$2:$B$10,2,FALSE)</f>
        <v>Kitchen Fittings</v>
      </c>
      <c r="E196" s="10" t="str">
        <f>VLOOKUP(D196,Category_Function_Map!$A$2:$B$7,2,FALSE)</f>
        <v>Kitchen &amp; Mechanical Solutions</v>
      </c>
    </row>
    <row r="197" spans="1:5" x14ac:dyDescent="0.3">
      <c r="A197" s="7">
        <v>84</v>
      </c>
      <c r="B197" s="8">
        <v>8415</v>
      </c>
      <c r="C197" s="9" t="s">
        <v>198</v>
      </c>
      <c r="D197" s="10" t="str">
        <f>VLOOKUP(A197,HS_Category_Map!$A$2:$B$10,2,FALSE)</f>
        <v>Kitchen Fittings</v>
      </c>
      <c r="E197" s="10" t="str">
        <f>VLOOKUP(D197,Category_Function_Map!$A$2:$B$7,2,FALSE)</f>
        <v>Kitchen &amp; Mechanical Solutions</v>
      </c>
    </row>
    <row r="198" spans="1:5" x14ac:dyDescent="0.3">
      <c r="A198" s="7">
        <v>84</v>
      </c>
      <c r="B198" s="8">
        <v>8433</v>
      </c>
      <c r="C198" s="9" t="s">
        <v>199</v>
      </c>
      <c r="D198" s="10" t="str">
        <f>VLOOKUP(A198,HS_Category_Map!$A$2:$B$10,2,FALSE)</f>
        <v>Kitchen Fittings</v>
      </c>
      <c r="E198" s="10" t="str">
        <f>VLOOKUP(D198,Category_Function_Map!$A$2:$B$7,2,FALSE)</f>
        <v>Kitchen &amp; Mechanical Solutions</v>
      </c>
    </row>
    <row r="199" spans="1:5" x14ac:dyDescent="0.3">
      <c r="A199" s="7">
        <v>84</v>
      </c>
      <c r="B199" s="8">
        <v>8454</v>
      </c>
      <c r="C199" s="9" t="s">
        <v>200</v>
      </c>
      <c r="D199" s="10" t="str">
        <f>VLOOKUP(A199,HS_Category_Map!$A$2:$B$10,2,FALSE)</f>
        <v>Kitchen Fittings</v>
      </c>
      <c r="E199" s="10" t="str">
        <f>VLOOKUP(D199,Category_Function_Map!$A$2:$B$7,2,FALSE)</f>
        <v>Kitchen &amp; Mechanical Solutions</v>
      </c>
    </row>
    <row r="200" spans="1:5" x14ac:dyDescent="0.3">
      <c r="A200" s="7">
        <v>84</v>
      </c>
      <c r="B200" s="8">
        <v>8473</v>
      </c>
      <c r="C200" s="9" t="s">
        <v>201</v>
      </c>
      <c r="D200" s="10" t="str">
        <f>VLOOKUP(A200,HS_Category_Map!$A$2:$B$10,2,FALSE)</f>
        <v>Kitchen Fittings</v>
      </c>
      <c r="E200" s="10" t="str">
        <f>VLOOKUP(D200,Category_Function_Map!$A$2:$B$7,2,FALSE)</f>
        <v>Kitchen &amp; Mechanical Solutions</v>
      </c>
    </row>
    <row r="201" spans="1:5" x14ac:dyDescent="0.3">
      <c r="A201" s="7">
        <v>84</v>
      </c>
      <c r="B201" s="8">
        <v>8422</v>
      </c>
      <c r="C201" s="9" t="s">
        <v>202</v>
      </c>
      <c r="D201" s="10" t="str">
        <f>VLOOKUP(A201,HS_Category_Map!$A$2:$B$10,2,FALSE)</f>
        <v>Kitchen Fittings</v>
      </c>
      <c r="E201" s="10" t="str">
        <f>VLOOKUP(D201,Category_Function_Map!$A$2:$B$7,2,FALSE)</f>
        <v>Kitchen &amp; Mechanical Solutions</v>
      </c>
    </row>
    <row r="202" spans="1:5" x14ac:dyDescent="0.3">
      <c r="A202" s="7">
        <v>84</v>
      </c>
      <c r="B202" s="8">
        <v>8424</v>
      </c>
      <c r="C202" s="9" t="s">
        <v>203</v>
      </c>
      <c r="D202" s="10" t="str">
        <f>VLOOKUP(A202,HS_Category_Map!$A$2:$B$10,2,FALSE)</f>
        <v>Kitchen Fittings</v>
      </c>
      <c r="E202" s="10" t="str">
        <f>VLOOKUP(D202,Category_Function_Map!$A$2:$B$7,2,FALSE)</f>
        <v>Kitchen &amp; Mechanical Solutions</v>
      </c>
    </row>
    <row r="203" spans="1:5" x14ac:dyDescent="0.3">
      <c r="A203" s="7">
        <v>84</v>
      </c>
      <c r="B203" s="8">
        <v>8461</v>
      </c>
      <c r="C203" s="9" t="s">
        <v>204</v>
      </c>
      <c r="D203" s="10" t="str">
        <f>VLOOKUP(A203,HS_Category_Map!$A$2:$B$10,2,FALSE)</f>
        <v>Kitchen Fittings</v>
      </c>
      <c r="E203" s="10" t="str">
        <f>VLOOKUP(D203,Category_Function_Map!$A$2:$B$7,2,FALSE)</f>
        <v>Kitchen &amp; Mechanical Solutions</v>
      </c>
    </row>
    <row r="204" spans="1:5" x14ac:dyDescent="0.3">
      <c r="A204" s="7">
        <v>84</v>
      </c>
      <c r="B204" s="8">
        <v>8419</v>
      </c>
      <c r="C204" s="9" t="s">
        <v>205</v>
      </c>
      <c r="D204" s="10" t="str">
        <f>VLOOKUP(A204,HS_Category_Map!$A$2:$B$10,2,FALSE)</f>
        <v>Kitchen Fittings</v>
      </c>
      <c r="E204" s="10" t="str">
        <f>VLOOKUP(D204,Category_Function_Map!$A$2:$B$7,2,FALSE)</f>
        <v>Kitchen &amp; Mechanical Solutions</v>
      </c>
    </row>
    <row r="205" spans="1:5" x14ac:dyDescent="0.3">
      <c r="A205" s="7">
        <v>84</v>
      </c>
      <c r="B205" s="8">
        <v>8456</v>
      </c>
      <c r="C205" s="9" t="s">
        <v>206</v>
      </c>
      <c r="D205" s="10" t="str">
        <f>VLOOKUP(A205,HS_Category_Map!$A$2:$B$10,2,FALSE)</f>
        <v>Kitchen Fittings</v>
      </c>
      <c r="E205" s="10" t="str">
        <f>VLOOKUP(D205,Category_Function_Map!$A$2:$B$7,2,FALSE)</f>
        <v>Kitchen &amp; Mechanical Solutions</v>
      </c>
    </row>
    <row r="206" spans="1:5" x14ac:dyDescent="0.3">
      <c r="A206" s="7">
        <v>84</v>
      </c>
      <c r="B206" s="8">
        <v>8471</v>
      </c>
      <c r="C206" s="9" t="s">
        <v>207</v>
      </c>
      <c r="D206" s="10" t="str">
        <f>VLOOKUP(A206,HS_Category_Map!$A$2:$B$10,2,FALSE)</f>
        <v>Kitchen Fittings</v>
      </c>
      <c r="E206" s="10" t="str">
        <f>VLOOKUP(D206,Category_Function_Map!$A$2:$B$7,2,FALSE)</f>
        <v>Kitchen &amp; Mechanical Solutions</v>
      </c>
    </row>
    <row r="207" spans="1:5" x14ac:dyDescent="0.3">
      <c r="A207" s="7">
        <v>84</v>
      </c>
      <c r="B207" s="8">
        <v>8447</v>
      </c>
      <c r="C207" s="9" t="s">
        <v>208</v>
      </c>
      <c r="D207" s="10" t="str">
        <f>VLOOKUP(A207,HS_Category_Map!$A$2:$B$10,2,FALSE)</f>
        <v>Kitchen Fittings</v>
      </c>
      <c r="E207" s="10" t="str">
        <f>VLOOKUP(D207,Category_Function_Map!$A$2:$B$7,2,FALSE)</f>
        <v>Kitchen &amp; Mechanical Solutions</v>
      </c>
    </row>
    <row r="208" spans="1:5" x14ac:dyDescent="0.3">
      <c r="A208" s="7">
        <v>84</v>
      </c>
      <c r="B208" s="8">
        <v>8406</v>
      </c>
      <c r="C208" s="9" t="s">
        <v>209</v>
      </c>
      <c r="D208" s="10" t="str">
        <f>VLOOKUP(A208,HS_Category_Map!$A$2:$B$10,2,FALSE)</f>
        <v>Kitchen Fittings</v>
      </c>
      <c r="E208" s="10" t="str">
        <f>VLOOKUP(D208,Category_Function_Map!$A$2:$B$7,2,FALSE)</f>
        <v>Kitchen &amp; Mechanical Solutions</v>
      </c>
    </row>
    <row r="209" spans="1:5" x14ac:dyDescent="0.3">
      <c r="A209" s="7">
        <v>84</v>
      </c>
      <c r="B209" s="8">
        <v>8448</v>
      </c>
      <c r="C209" s="9" t="s">
        <v>210</v>
      </c>
      <c r="D209" s="10" t="str">
        <f>VLOOKUP(A209,HS_Category_Map!$A$2:$B$10,2,FALSE)</f>
        <v>Kitchen Fittings</v>
      </c>
      <c r="E209" s="10" t="str">
        <f>VLOOKUP(D209,Category_Function_Map!$A$2:$B$7,2,FALSE)</f>
        <v>Kitchen &amp; Mechanical Solutions</v>
      </c>
    </row>
    <row r="210" spans="1:5" x14ac:dyDescent="0.3">
      <c r="A210" s="7">
        <v>84</v>
      </c>
      <c r="B210" s="8">
        <v>8459</v>
      </c>
      <c r="C210" s="9" t="s">
        <v>211</v>
      </c>
      <c r="D210" s="10" t="str">
        <f>VLOOKUP(A210,HS_Category_Map!$A$2:$B$10,2,FALSE)</f>
        <v>Kitchen Fittings</v>
      </c>
      <c r="E210" s="10" t="str">
        <f>VLOOKUP(D210,Category_Function_Map!$A$2:$B$7,2,FALSE)</f>
        <v>Kitchen &amp; Mechanical Solutions</v>
      </c>
    </row>
    <row r="211" spans="1:5" x14ac:dyDescent="0.3">
      <c r="A211" s="7">
        <v>84</v>
      </c>
      <c r="B211" s="8">
        <v>8427</v>
      </c>
      <c r="C211" s="9" t="s">
        <v>212</v>
      </c>
      <c r="D211" s="10" t="str">
        <f>VLOOKUP(A211,HS_Category_Map!$A$2:$B$10,2,FALSE)</f>
        <v>Kitchen Fittings</v>
      </c>
      <c r="E211" s="10" t="str">
        <f>VLOOKUP(D211,Category_Function_Map!$A$2:$B$7,2,FALSE)</f>
        <v>Kitchen &amp; Mechanical Solutions</v>
      </c>
    </row>
    <row r="212" spans="1:5" x14ac:dyDescent="0.3">
      <c r="A212" s="7">
        <v>84</v>
      </c>
      <c r="B212" s="8">
        <v>8423</v>
      </c>
      <c r="C212" s="9" t="s">
        <v>213</v>
      </c>
      <c r="D212" s="10" t="str">
        <f>VLOOKUP(A212,HS_Category_Map!$A$2:$B$10,2,FALSE)</f>
        <v>Kitchen Fittings</v>
      </c>
      <c r="E212" s="10" t="str">
        <f>VLOOKUP(D212,Category_Function_Map!$A$2:$B$7,2,FALSE)</f>
        <v>Kitchen &amp; Mechanical Solutions</v>
      </c>
    </row>
    <row r="213" spans="1:5" x14ac:dyDescent="0.3">
      <c r="A213" s="7">
        <v>84</v>
      </c>
      <c r="B213" s="8">
        <v>8417</v>
      </c>
      <c r="C213" s="9" t="s">
        <v>214</v>
      </c>
      <c r="D213" s="10" t="str">
        <f>VLOOKUP(A213,HS_Category_Map!$A$2:$B$10,2,FALSE)</f>
        <v>Kitchen Fittings</v>
      </c>
      <c r="E213" s="10" t="str">
        <f>VLOOKUP(D213,Category_Function_Map!$A$2:$B$7,2,FALSE)</f>
        <v>Kitchen &amp; Mechanical Solutions</v>
      </c>
    </row>
    <row r="214" spans="1:5" x14ac:dyDescent="0.3">
      <c r="A214" s="7">
        <v>84</v>
      </c>
      <c r="B214" s="8">
        <v>8486</v>
      </c>
      <c r="C214" s="9" t="s">
        <v>215</v>
      </c>
      <c r="D214" s="10" t="str">
        <f>VLOOKUP(A214,HS_Category_Map!$A$2:$B$10,2,FALSE)</f>
        <v>Kitchen Fittings</v>
      </c>
      <c r="E214" s="10" t="str">
        <f>VLOOKUP(D214,Category_Function_Map!$A$2:$B$7,2,FALSE)</f>
        <v>Kitchen &amp; Mechanical Solutions</v>
      </c>
    </row>
    <row r="215" spans="1:5" x14ac:dyDescent="0.3">
      <c r="A215" s="7">
        <v>84</v>
      </c>
      <c r="B215" s="8">
        <v>8480</v>
      </c>
      <c r="C215" s="9" t="s">
        <v>216</v>
      </c>
      <c r="D215" s="10" t="str">
        <f>VLOOKUP(A215,HS_Category_Map!$A$2:$B$10,2,FALSE)</f>
        <v>Kitchen Fittings</v>
      </c>
      <c r="E215" s="10" t="str">
        <f>VLOOKUP(D215,Category_Function_Map!$A$2:$B$7,2,FALSE)</f>
        <v>Kitchen &amp; Mechanical Solutions</v>
      </c>
    </row>
    <row r="216" spans="1:5" x14ac:dyDescent="0.3">
      <c r="A216" s="7">
        <v>84</v>
      </c>
      <c r="B216" s="8">
        <v>8407</v>
      </c>
      <c r="C216" s="9" t="s">
        <v>217</v>
      </c>
      <c r="D216" s="10" t="str">
        <f>VLOOKUP(A216,HS_Category_Map!$A$2:$B$10,2,FALSE)</f>
        <v>Kitchen Fittings</v>
      </c>
      <c r="E216" s="10" t="str">
        <f>VLOOKUP(D216,Category_Function_Map!$A$2:$B$7,2,FALSE)</f>
        <v>Kitchen &amp; Mechanical Solutions</v>
      </c>
    </row>
    <row r="217" spans="1:5" x14ac:dyDescent="0.3">
      <c r="A217" s="7">
        <v>84</v>
      </c>
      <c r="B217" s="8">
        <v>8484</v>
      </c>
      <c r="C217" s="9" t="s">
        <v>218</v>
      </c>
      <c r="D217" s="10" t="str">
        <f>VLOOKUP(A217,HS_Category_Map!$A$2:$B$10,2,FALSE)</f>
        <v>Kitchen Fittings</v>
      </c>
      <c r="E217" s="10" t="str">
        <f>VLOOKUP(D217,Category_Function_Map!$A$2:$B$7,2,FALSE)</f>
        <v>Kitchen &amp; Mechanical Solutions</v>
      </c>
    </row>
    <row r="218" spans="1:5" x14ac:dyDescent="0.3">
      <c r="A218" s="7">
        <v>84</v>
      </c>
      <c r="B218" s="8">
        <v>8467</v>
      </c>
      <c r="C218" s="9" t="s">
        <v>219</v>
      </c>
      <c r="D218" s="10" t="str">
        <f>VLOOKUP(A218,HS_Category_Map!$A$2:$B$10,2,FALSE)</f>
        <v>Kitchen Fittings</v>
      </c>
      <c r="E218" s="10" t="str">
        <f>VLOOKUP(D218,Category_Function_Map!$A$2:$B$7,2,FALSE)</f>
        <v>Kitchen &amp; Mechanical Solutions</v>
      </c>
    </row>
    <row r="219" spans="1:5" x14ac:dyDescent="0.3">
      <c r="A219" s="7">
        <v>84</v>
      </c>
      <c r="B219" s="8">
        <v>8441</v>
      </c>
      <c r="C219" s="9" t="s">
        <v>220</v>
      </c>
      <c r="D219" s="10" t="str">
        <f>VLOOKUP(A219,HS_Category_Map!$A$2:$B$10,2,FALSE)</f>
        <v>Kitchen Fittings</v>
      </c>
      <c r="E219" s="10" t="str">
        <f>VLOOKUP(D219,Category_Function_Map!$A$2:$B$7,2,FALSE)</f>
        <v>Kitchen &amp; Mechanical Solutions</v>
      </c>
    </row>
    <row r="220" spans="1:5" x14ac:dyDescent="0.3">
      <c r="A220" s="7">
        <v>84</v>
      </c>
      <c r="B220" s="8">
        <v>8426</v>
      </c>
      <c r="C220" s="9" t="s">
        <v>221</v>
      </c>
      <c r="D220" s="10" t="str">
        <f>VLOOKUP(A220,HS_Category_Map!$A$2:$B$10,2,FALSE)</f>
        <v>Kitchen Fittings</v>
      </c>
      <c r="E220" s="10" t="str">
        <f>VLOOKUP(D220,Category_Function_Map!$A$2:$B$7,2,FALSE)</f>
        <v>Kitchen &amp; Mechanical Solutions</v>
      </c>
    </row>
    <row r="221" spans="1:5" x14ac:dyDescent="0.3">
      <c r="A221" s="7">
        <v>84</v>
      </c>
      <c r="B221" s="8">
        <v>8452</v>
      </c>
      <c r="C221" s="9" t="s">
        <v>222</v>
      </c>
      <c r="D221" s="10" t="str">
        <f>VLOOKUP(A221,HS_Category_Map!$A$2:$B$10,2,FALSE)</f>
        <v>Kitchen Fittings</v>
      </c>
      <c r="E221" s="10" t="str">
        <f>VLOOKUP(D221,Category_Function_Map!$A$2:$B$7,2,FALSE)</f>
        <v>Kitchen &amp; Mechanical Solutions</v>
      </c>
    </row>
    <row r="222" spans="1:5" x14ac:dyDescent="0.3">
      <c r="A222" s="7">
        <v>84</v>
      </c>
      <c r="B222" s="8">
        <v>8474</v>
      </c>
      <c r="C222" s="9" t="s">
        <v>223</v>
      </c>
      <c r="D222" s="10" t="str">
        <f>VLOOKUP(A222,HS_Category_Map!$A$2:$B$10,2,FALSE)</f>
        <v>Kitchen Fittings</v>
      </c>
      <c r="E222" s="10" t="str">
        <f>VLOOKUP(D222,Category_Function_Map!$A$2:$B$7,2,FALSE)</f>
        <v>Kitchen &amp; Mechanical Solutions</v>
      </c>
    </row>
    <row r="223" spans="1:5" x14ac:dyDescent="0.3">
      <c r="A223" s="7">
        <v>84</v>
      </c>
      <c r="B223" s="8">
        <v>8487</v>
      </c>
      <c r="C223" s="9" t="s">
        <v>224</v>
      </c>
      <c r="D223" s="10" t="str">
        <f>VLOOKUP(A223,HS_Category_Map!$A$2:$B$10,2,FALSE)</f>
        <v>Kitchen Fittings</v>
      </c>
      <c r="E223" s="10" t="str">
        <f>VLOOKUP(D223,Category_Function_Map!$A$2:$B$7,2,FALSE)</f>
        <v>Kitchen &amp; Mechanical Solutions</v>
      </c>
    </row>
    <row r="224" spans="1:5" x14ac:dyDescent="0.3">
      <c r="A224" s="7">
        <v>84</v>
      </c>
      <c r="B224" s="8">
        <v>8438</v>
      </c>
      <c r="C224" s="9" t="s">
        <v>225</v>
      </c>
      <c r="D224" s="10" t="str">
        <f>VLOOKUP(A224,HS_Category_Map!$A$2:$B$10,2,FALSE)</f>
        <v>Kitchen Fittings</v>
      </c>
      <c r="E224" s="10" t="str">
        <f>VLOOKUP(D224,Category_Function_Map!$A$2:$B$7,2,FALSE)</f>
        <v>Kitchen &amp; Mechanical Solutions</v>
      </c>
    </row>
    <row r="225" spans="1:5" x14ac:dyDescent="0.3">
      <c r="A225" s="7">
        <v>84</v>
      </c>
      <c r="B225" s="8">
        <v>8425</v>
      </c>
      <c r="C225" s="9" t="s">
        <v>226</v>
      </c>
      <c r="D225" s="10" t="str">
        <f>VLOOKUP(A225,HS_Category_Map!$A$2:$B$10,2,FALSE)</f>
        <v>Kitchen Fittings</v>
      </c>
      <c r="E225" s="10" t="str">
        <f>VLOOKUP(D225,Category_Function_Map!$A$2:$B$7,2,FALSE)</f>
        <v>Kitchen &amp; Mechanical Solutions</v>
      </c>
    </row>
    <row r="226" spans="1:5" x14ac:dyDescent="0.3">
      <c r="A226" s="7">
        <v>84</v>
      </c>
      <c r="B226" s="8">
        <v>8464</v>
      </c>
      <c r="C226" s="9" t="s">
        <v>227</v>
      </c>
      <c r="D226" s="10" t="str">
        <f>VLOOKUP(A226,HS_Category_Map!$A$2:$B$10,2,FALSE)</f>
        <v>Kitchen Fittings</v>
      </c>
      <c r="E226" s="10" t="str">
        <f>VLOOKUP(D226,Category_Function_Map!$A$2:$B$7,2,FALSE)</f>
        <v>Kitchen &amp; Mechanical Solutions</v>
      </c>
    </row>
    <row r="227" spans="1:5" x14ac:dyDescent="0.3">
      <c r="A227" s="7">
        <v>84</v>
      </c>
      <c r="B227" s="8">
        <v>8463</v>
      </c>
      <c r="C227" s="9" t="s">
        <v>228</v>
      </c>
      <c r="D227" s="10" t="str">
        <f>VLOOKUP(A227,HS_Category_Map!$A$2:$B$10,2,FALSE)</f>
        <v>Kitchen Fittings</v>
      </c>
      <c r="E227" s="10" t="str">
        <f>VLOOKUP(D227,Category_Function_Map!$A$2:$B$7,2,FALSE)</f>
        <v>Kitchen &amp; Mechanical Solutions</v>
      </c>
    </row>
    <row r="228" spans="1:5" x14ac:dyDescent="0.3">
      <c r="A228" s="7">
        <v>84</v>
      </c>
      <c r="B228" s="8">
        <v>8444</v>
      </c>
      <c r="C228" s="9" t="s">
        <v>229</v>
      </c>
      <c r="D228" s="10" t="str">
        <f>VLOOKUP(A228,HS_Category_Map!$A$2:$B$10,2,FALSE)</f>
        <v>Kitchen Fittings</v>
      </c>
      <c r="E228" s="10" t="str">
        <f>VLOOKUP(D228,Category_Function_Map!$A$2:$B$7,2,FALSE)</f>
        <v>Kitchen &amp; Mechanical Solutions</v>
      </c>
    </row>
    <row r="229" spans="1:5" x14ac:dyDescent="0.3">
      <c r="A229" s="7">
        <v>84</v>
      </c>
      <c r="B229" s="8">
        <v>8416</v>
      </c>
      <c r="C229" s="9" t="s">
        <v>230</v>
      </c>
      <c r="D229" s="10" t="str">
        <f>VLOOKUP(A229,HS_Category_Map!$A$2:$B$10,2,FALSE)</f>
        <v>Kitchen Fittings</v>
      </c>
      <c r="E229" s="10" t="str">
        <f>VLOOKUP(D229,Category_Function_Map!$A$2:$B$7,2,FALSE)</f>
        <v>Kitchen &amp; Mechanical Solutions</v>
      </c>
    </row>
    <row r="230" spans="1:5" x14ac:dyDescent="0.3">
      <c r="A230" s="7">
        <v>84</v>
      </c>
      <c r="B230" s="8">
        <v>8418</v>
      </c>
      <c r="C230" s="9" t="s">
        <v>231</v>
      </c>
      <c r="D230" s="10" t="str">
        <f>VLOOKUP(A230,HS_Category_Map!$A$2:$B$10,2,FALSE)</f>
        <v>Kitchen Fittings</v>
      </c>
      <c r="E230" s="10" t="str">
        <f>VLOOKUP(D230,Category_Function_Map!$A$2:$B$7,2,FALSE)</f>
        <v>Kitchen &amp; Mechanical Solutions</v>
      </c>
    </row>
    <row r="231" spans="1:5" x14ac:dyDescent="0.3">
      <c r="A231" s="7">
        <v>84</v>
      </c>
      <c r="B231" s="8">
        <v>8468</v>
      </c>
      <c r="C231" s="9" t="s">
        <v>232</v>
      </c>
      <c r="D231" s="10" t="str">
        <f>VLOOKUP(A231,HS_Category_Map!$A$2:$B$10,2,FALSE)</f>
        <v>Kitchen Fittings</v>
      </c>
      <c r="E231" s="10" t="str">
        <f>VLOOKUP(D231,Category_Function_Map!$A$2:$B$7,2,FALSE)</f>
        <v>Kitchen &amp; Mechanical Solutions</v>
      </c>
    </row>
    <row r="232" spans="1:5" x14ac:dyDescent="0.3">
      <c r="A232" s="7">
        <v>84</v>
      </c>
      <c r="B232" s="8">
        <v>8451</v>
      </c>
      <c r="C232" s="9" t="s">
        <v>233</v>
      </c>
      <c r="D232" s="10" t="str">
        <f>VLOOKUP(A232,HS_Category_Map!$A$2:$B$10,2,FALSE)</f>
        <v>Kitchen Fittings</v>
      </c>
      <c r="E232" s="10" t="str">
        <f>VLOOKUP(D232,Category_Function_Map!$A$2:$B$7,2,FALSE)</f>
        <v>Kitchen &amp; Mechanical Solutions</v>
      </c>
    </row>
    <row r="233" spans="1:5" x14ac:dyDescent="0.3">
      <c r="A233" s="7">
        <v>84</v>
      </c>
      <c r="B233" s="8">
        <v>8430</v>
      </c>
      <c r="C233" s="9" t="s">
        <v>234</v>
      </c>
      <c r="D233" s="10" t="str">
        <f>VLOOKUP(A233,HS_Category_Map!$A$2:$B$10,2,FALSE)</f>
        <v>Kitchen Fittings</v>
      </c>
      <c r="E233" s="10" t="str">
        <f>VLOOKUP(D233,Category_Function_Map!$A$2:$B$7,2,FALSE)</f>
        <v>Kitchen &amp; Mechanical Solutions</v>
      </c>
    </row>
    <row r="234" spans="1:5" x14ac:dyDescent="0.3">
      <c r="A234" s="7">
        <v>84</v>
      </c>
      <c r="B234" s="8">
        <v>8476</v>
      </c>
      <c r="C234" s="9" t="s">
        <v>235</v>
      </c>
      <c r="D234" s="10" t="str">
        <f>VLOOKUP(A234,HS_Category_Map!$A$2:$B$10,2,FALSE)</f>
        <v>Kitchen Fittings</v>
      </c>
      <c r="E234" s="10" t="str">
        <f>VLOOKUP(D234,Category_Function_Map!$A$2:$B$7,2,FALSE)</f>
        <v>Kitchen &amp; Mechanical Solutions</v>
      </c>
    </row>
    <row r="235" spans="1:5" x14ac:dyDescent="0.3">
      <c r="A235" s="7">
        <v>84</v>
      </c>
      <c r="B235" s="8">
        <v>8453</v>
      </c>
      <c r="C235" s="9" t="s">
        <v>236</v>
      </c>
      <c r="D235" s="10" t="str">
        <f>VLOOKUP(A235,HS_Category_Map!$A$2:$B$10,2,FALSE)</f>
        <v>Kitchen Fittings</v>
      </c>
      <c r="E235" s="10" t="str">
        <f>VLOOKUP(D235,Category_Function_Map!$A$2:$B$7,2,FALSE)</f>
        <v>Kitchen &amp; Mechanical Solutions</v>
      </c>
    </row>
    <row r="236" spans="1:5" x14ac:dyDescent="0.3">
      <c r="A236" s="7">
        <v>84</v>
      </c>
      <c r="B236" s="8">
        <v>8439</v>
      </c>
      <c r="C236" s="9" t="s">
        <v>237</v>
      </c>
      <c r="D236" s="10" t="str">
        <f>VLOOKUP(A236,HS_Category_Map!$A$2:$B$10,2,FALSE)</f>
        <v>Kitchen Fittings</v>
      </c>
      <c r="E236" s="10" t="str">
        <f>VLOOKUP(D236,Category_Function_Map!$A$2:$B$7,2,FALSE)</f>
        <v>Kitchen &amp; Mechanical Solutions</v>
      </c>
    </row>
    <row r="237" spans="1:5" x14ac:dyDescent="0.3">
      <c r="A237" s="7">
        <v>84</v>
      </c>
      <c r="B237" s="8">
        <v>8440</v>
      </c>
      <c r="C237" s="9" t="s">
        <v>238</v>
      </c>
      <c r="D237" s="10" t="str">
        <f>VLOOKUP(A237,HS_Category_Map!$A$2:$B$10,2,FALSE)</f>
        <v>Kitchen Fittings</v>
      </c>
      <c r="E237" s="10" t="str">
        <f>VLOOKUP(D237,Category_Function_Map!$A$2:$B$7,2,FALSE)</f>
        <v>Kitchen &amp; Mechanical Solutions</v>
      </c>
    </row>
    <row r="238" spans="1:5" x14ac:dyDescent="0.3">
      <c r="A238" s="7">
        <v>84</v>
      </c>
      <c r="B238" s="8">
        <v>8465</v>
      </c>
      <c r="C238" s="9" t="s">
        <v>239</v>
      </c>
      <c r="D238" s="10" t="str">
        <f>VLOOKUP(A238,HS_Category_Map!$A$2:$B$10,2,FALSE)</f>
        <v>Kitchen Fittings</v>
      </c>
      <c r="E238" s="10" t="str">
        <f>VLOOKUP(D238,Category_Function_Map!$A$2:$B$7,2,FALSE)</f>
        <v>Kitchen &amp; Mechanical Solutions</v>
      </c>
    </row>
    <row r="239" spans="1:5" x14ac:dyDescent="0.3">
      <c r="A239" s="7">
        <v>84</v>
      </c>
      <c r="B239" s="8">
        <v>8472</v>
      </c>
      <c r="C239" s="9" t="s">
        <v>240</v>
      </c>
      <c r="D239" s="10" t="str">
        <f>VLOOKUP(A239,HS_Category_Map!$A$2:$B$10,2,FALSE)</f>
        <v>Kitchen Fittings</v>
      </c>
      <c r="E239" s="10" t="str">
        <f>VLOOKUP(D239,Category_Function_Map!$A$2:$B$7,2,FALSE)</f>
        <v>Kitchen &amp; Mechanical Solutions</v>
      </c>
    </row>
    <row r="240" spans="1:5" x14ac:dyDescent="0.3">
      <c r="A240" s="7">
        <v>84</v>
      </c>
      <c r="B240" s="8">
        <v>8432</v>
      </c>
      <c r="C240" s="9" t="s">
        <v>241</v>
      </c>
      <c r="D240" s="10" t="str">
        <f>VLOOKUP(A240,HS_Category_Map!$A$2:$B$10,2,FALSE)</f>
        <v>Kitchen Fittings</v>
      </c>
      <c r="E240" s="10" t="str">
        <f>VLOOKUP(D240,Category_Function_Map!$A$2:$B$7,2,FALSE)</f>
        <v>Kitchen &amp; Mechanical Solutions</v>
      </c>
    </row>
    <row r="241" spans="1:5" x14ac:dyDescent="0.3">
      <c r="A241" s="7">
        <v>84</v>
      </c>
      <c r="B241" s="8">
        <v>8475</v>
      </c>
      <c r="C241" s="9" t="s">
        <v>242</v>
      </c>
      <c r="D241" s="10" t="str">
        <f>VLOOKUP(A241,HS_Category_Map!$A$2:$B$10,2,FALSE)</f>
        <v>Kitchen Fittings</v>
      </c>
      <c r="E241" s="10" t="str">
        <f>VLOOKUP(D241,Category_Function_Map!$A$2:$B$7,2,FALSE)</f>
        <v>Kitchen &amp; Mechanical Solutions</v>
      </c>
    </row>
    <row r="242" spans="1:5" x14ac:dyDescent="0.3">
      <c r="A242" s="7">
        <v>84</v>
      </c>
      <c r="B242" s="8">
        <v>8420</v>
      </c>
      <c r="C242" s="9" t="s">
        <v>243</v>
      </c>
      <c r="D242" s="10" t="str">
        <f>VLOOKUP(A242,HS_Category_Map!$A$2:$B$10,2,FALSE)</f>
        <v>Kitchen Fittings</v>
      </c>
      <c r="E242" s="10" t="str">
        <f>VLOOKUP(D242,Category_Function_Map!$A$2:$B$7,2,FALSE)</f>
        <v>Kitchen &amp; Mechanical Solutions</v>
      </c>
    </row>
    <row r="243" spans="1:5" x14ac:dyDescent="0.3">
      <c r="A243" s="7">
        <v>84</v>
      </c>
      <c r="B243" s="8">
        <v>8442</v>
      </c>
      <c r="C243" s="9" t="s">
        <v>244</v>
      </c>
      <c r="D243" s="10" t="str">
        <f>VLOOKUP(A243,HS_Category_Map!$A$2:$B$10,2,FALSE)</f>
        <v>Kitchen Fittings</v>
      </c>
      <c r="E243" s="10" t="str">
        <f>VLOOKUP(D243,Category_Function_Map!$A$2:$B$7,2,FALSE)</f>
        <v>Kitchen &amp; Mechanical Solutions</v>
      </c>
    </row>
    <row r="244" spans="1:5" x14ac:dyDescent="0.3">
      <c r="A244" s="7">
        <v>84</v>
      </c>
      <c r="B244" s="8">
        <v>8485</v>
      </c>
      <c r="C244" s="9" t="s">
        <v>245</v>
      </c>
      <c r="D244" s="10" t="str">
        <f>VLOOKUP(A244,HS_Category_Map!$A$2:$B$10,2,FALSE)</f>
        <v>Kitchen Fittings</v>
      </c>
      <c r="E244" s="10" t="str">
        <f>VLOOKUP(D244,Category_Function_Map!$A$2:$B$7,2,FALSE)</f>
        <v>Kitchen &amp; Mechanical Solutions</v>
      </c>
    </row>
    <row r="245" spans="1:5" x14ac:dyDescent="0.3">
      <c r="A245" s="7">
        <v>84</v>
      </c>
      <c r="B245" s="8">
        <v>8437</v>
      </c>
      <c r="C245" s="9" t="s">
        <v>246</v>
      </c>
      <c r="D245" s="10" t="str">
        <f>VLOOKUP(A245,HS_Category_Map!$A$2:$B$10,2,FALSE)</f>
        <v>Kitchen Fittings</v>
      </c>
      <c r="E245" s="10" t="str">
        <f>VLOOKUP(D245,Category_Function_Map!$A$2:$B$7,2,FALSE)</f>
        <v>Kitchen &amp; Mechanical Solutions</v>
      </c>
    </row>
    <row r="246" spans="1:5" x14ac:dyDescent="0.3">
      <c r="A246" s="7">
        <v>84</v>
      </c>
      <c r="B246" s="8">
        <v>8404</v>
      </c>
      <c r="C246" s="9" t="s">
        <v>247</v>
      </c>
      <c r="D246" s="10" t="str">
        <f>VLOOKUP(A246,HS_Category_Map!$A$2:$B$10,2,FALSE)</f>
        <v>Kitchen Fittings</v>
      </c>
      <c r="E246" s="10" t="str">
        <f>VLOOKUP(D246,Category_Function_Map!$A$2:$B$7,2,FALSE)</f>
        <v>Kitchen &amp; Mechanical Solutions</v>
      </c>
    </row>
    <row r="247" spans="1:5" x14ac:dyDescent="0.3">
      <c r="A247" s="7">
        <v>84</v>
      </c>
      <c r="B247" s="8">
        <v>8405</v>
      </c>
      <c r="C247" s="9" t="s">
        <v>248</v>
      </c>
      <c r="D247" s="10" t="str">
        <f>VLOOKUP(A247,HS_Category_Map!$A$2:$B$10,2,FALSE)</f>
        <v>Kitchen Fittings</v>
      </c>
      <c r="E247" s="10" t="str">
        <f>VLOOKUP(D247,Category_Function_Map!$A$2:$B$7,2,FALSE)</f>
        <v>Kitchen &amp; Mechanical Solutions</v>
      </c>
    </row>
    <row r="248" spans="1:5" x14ac:dyDescent="0.3">
      <c r="A248" s="7">
        <v>84</v>
      </c>
      <c r="B248" s="8">
        <v>8450</v>
      </c>
      <c r="C248" s="9" t="s">
        <v>249</v>
      </c>
      <c r="D248" s="10" t="str">
        <f>VLOOKUP(A248,HS_Category_Map!$A$2:$B$10,2,FALSE)</f>
        <v>Kitchen Fittings</v>
      </c>
      <c r="E248" s="10" t="str">
        <f>VLOOKUP(D248,Category_Function_Map!$A$2:$B$7,2,FALSE)</f>
        <v>Kitchen &amp; Mechanical Solutions</v>
      </c>
    </row>
    <row r="249" spans="1:5" x14ac:dyDescent="0.3">
      <c r="A249" s="7">
        <v>84</v>
      </c>
      <c r="B249" s="8">
        <v>8402</v>
      </c>
      <c r="C249" s="9" t="s">
        <v>250</v>
      </c>
      <c r="D249" s="10" t="str">
        <f>VLOOKUP(A249,HS_Category_Map!$A$2:$B$10,2,FALSE)</f>
        <v>Kitchen Fittings</v>
      </c>
      <c r="E249" s="10" t="str">
        <f>VLOOKUP(D249,Category_Function_Map!$A$2:$B$7,2,FALSE)</f>
        <v>Kitchen &amp; Mechanical Solutions</v>
      </c>
    </row>
    <row r="250" spans="1:5" x14ac:dyDescent="0.3">
      <c r="A250" s="7">
        <v>84</v>
      </c>
      <c r="B250" s="8">
        <v>8410</v>
      </c>
      <c r="C250" s="9" t="s">
        <v>251</v>
      </c>
      <c r="D250" s="10" t="str">
        <f>VLOOKUP(A250,HS_Category_Map!$A$2:$B$10,2,FALSE)</f>
        <v>Kitchen Fittings</v>
      </c>
      <c r="E250" s="10" t="str">
        <f>VLOOKUP(D250,Category_Function_Map!$A$2:$B$7,2,FALSE)</f>
        <v>Kitchen &amp; Mechanical Solutions</v>
      </c>
    </row>
    <row r="251" spans="1:5" x14ac:dyDescent="0.3">
      <c r="A251" s="7">
        <v>84</v>
      </c>
      <c r="B251" s="8">
        <v>8436</v>
      </c>
      <c r="C251" s="9" t="s">
        <v>252</v>
      </c>
      <c r="D251" s="10" t="str">
        <f>VLOOKUP(A251,HS_Category_Map!$A$2:$B$10,2,FALSE)</f>
        <v>Kitchen Fittings</v>
      </c>
      <c r="E251" s="10" t="str">
        <f>VLOOKUP(D251,Category_Function_Map!$A$2:$B$7,2,FALSE)</f>
        <v>Kitchen &amp; Mechanical Solutions</v>
      </c>
    </row>
    <row r="252" spans="1:5" x14ac:dyDescent="0.3">
      <c r="A252" s="7">
        <v>84</v>
      </c>
      <c r="B252" s="8">
        <v>8449</v>
      </c>
      <c r="C252" s="9" t="s">
        <v>253</v>
      </c>
      <c r="D252" s="10" t="str">
        <f>VLOOKUP(A252,HS_Category_Map!$A$2:$B$10,2,FALSE)</f>
        <v>Kitchen Fittings</v>
      </c>
      <c r="E252" s="10" t="str">
        <f>VLOOKUP(D252,Category_Function_Map!$A$2:$B$7,2,FALSE)</f>
        <v>Kitchen &amp; Mechanical Solutions</v>
      </c>
    </row>
    <row r="253" spans="1:5" x14ac:dyDescent="0.3">
      <c r="A253" s="7">
        <v>84</v>
      </c>
      <c r="B253" s="8">
        <v>8478</v>
      </c>
      <c r="C253" s="9" t="s">
        <v>254</v>
      </c>
      <c r="D253" s="10" t="str">
        <f>VLOOKUP(A253,HS_Category_Map!$A$2:$B$10,2,FALSE)</f>
        <v>Kitchen Fittings</v>
      </c>
      <c r="E253" s="10" t="str">
        <f>VLOOKUP(D253,Category_Function_Map!$A$2:$B$7,2,FALSE)</f>
        <v>Kitchen &amp; Mechanical Solutions</v>
      </c>
    </row>
    <row r="254" spans="1:5" x14ac:dyDescent="0.3">
      <c r="A254" s="7">
        <v>84</v>
      </c>
      <c r="B254" s="8">
        <v>8401</v>
      </c>
      <c r="C254" s="9" t="s">
        <v>255</v>
      </c>
      <c r="D254" s="10" t="str">
        <f>VLOOKUP(A254,HS_Category_Map!$A$2:$B$10,2,FALSE)</f>
        <v>Kitchen Fittings</v>
      </c>
      <c r="E254" s="10" t="str">
        <f>VLOOKUP(D254,Category_Function_Map!$A$2:$B$7,2,FALSE)</f>
        <v>Kitchen &amp; Mechanical Solutions</v>
      </c>
    </row>
    <row r="255" spans="1:5" x14ac:dyDescent="0.3">
      <c r="A255" s="7">
        <v>84</v>
      </c>
      <c r="B255" s="8">
        <v>8403</v>
      </c>
      <c r="C255" s="9" t="s">
        <v>256</v>
      </c>
      <c r="D255" s="10" t="str">
        <f>VLOOKUP(A255,HS_Category_Map!$A$2:$B$10,2,FALSE)</f>
        <v>Kitchen Fittings</v>
      </c>
      <c r="E255" s="10" t="str">
        <f>VLOOKUP(D255,Category_Function_Map!$A$2:$B$7,2,FALSE)</f>
        <v>Kitchen &amp; Mechanical Solutions</v>
      </c>
    </row>
    <row r="256" spans="1:5" x14ac:dyDescent="0.3">
      <c r="A256" s="7">
        <v>84</v>
      </c>
      <c r="B256" s="8">
        <v>8434</v>
      </c>
      <c r="C256" s="9" t="s">
        <v>257</v>
      </c>
      <c r="D256" s="10" t="str">
        <f>VLOOKUP(A256,HS_Category_Map!$A$2:$B$10,2,FALSE)</f>
        <v>Kitchen Fittings</v>
      </c>
      <c r="E256" s="10" t="str">
        <f>VLOOKUP(D256,Category_Function_Map!$A$2:$B$7,2,FALSE)</f>
        <v>Kitchen &amp; Mechanical Solutions</v>
      </c>
    </row>
    <row r="257" spans="1:5" x14ac:dyDescent="0.3">
      <c r="A257" s="7">
        <v>84</v>
      </c>
      <c r="B257" s="8">
        <v>8435</v>
      </c>
      <c r="C257" s="9" t="s">
        <v>258</v>
      </c>
      <c r="D257" s="10" t="str">
        <f>VLOOKUP(A257,HS_Category_Map!$A$2:$B$10,2,FALSE)</f>
        <v>Kitchen Fittings</v>
      </c>
      <c r="E257" s="10" t="str">
        <f>VLOOKUP(D257,Category_Function_Map!$A$2:$B$7,2,FALSE)</f>
        <v>Kitchen &amp; Mechanical Solutions</v>
      </c>
    </row>
    <row r="258" spans="1:5" x14ac:dyDescent="0.3">
      <c r="A258" s="7">
        <v>84</v>
      </c>
      <c r="B258" s="8">
        <v>8469</v>
      </c>
      <c r="C258" s="9" t="s">
        <v>259</v>
      </c>
      <c r="D258" s="10" t="str">
        <f>VLOOKUP(A258,HS_Category_Map!$A$2:$B$10,2,FALSE)</f>
        <v>Kitchen Fittings</v>
      </c>
      <c r="E258" s="10" t="str">
        <f>VLOOKUP(D258,Category_Function_Map!$A$2:$B$7,2,FALSE)</f>
        <v>Kitchen &amp; Mechanical Solutions</v>
      </c>
    </row>
    <row r="259" spans="1:5" x14ac:dyDescent="0.3">
      <c r="A259" s="7">
        <v>84</v>
      </c>
      <c r="B259" s="8">
        <v>8470</v>
      </c>
      <c r="C259" s="9" t="s">
        <v>260</v>
      </c>
      <c r="D259" s="10" t="str">
        <f>VLOOKUP(A259,HS_Category_Map!$A$2:$B$10,2,FALSE)</f>
        <v>Kitchen Fittings</v>
      </c>
      <c r="E259" s="10" t="str">
        <f>VLOOKUP(D259,Category_Function_Map!$A$2:$B$7,2,FALSE)</f>
        <v>Kitchen &amp; Mechanical Solutions</v>
      </c>
    </row>
  </sheetData>
  <pageMargins left="0.7" right="0.7" top="0.75" bottom="0.75" header="0.3" footer="0.3"/>
  <pageSetup paperSize="9"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B7" sqref="B7"/>
    </sheetView>
  </sheetViews>
  <sheetFormatPr defaultRowHeight="14.4" x14ac:dyDescent="0.3"/>
  <cols>
    <col min="2" max="2" width="18.5546875" customWidth="1"/>
  </cols>
  <sheetData>
    <row r="1" spans="1:2" x14ac:dyDescent="0.3">
      <c r="A1" s="13" t="s">
        <v>0</v>
      </c>
      <c r="B1" s="13" t="s">
        <v>261</v>
      </c>
    </row>
    <row r="2" spans="1:2" x14ac:dyDescent="0.3">
      <c r="A2" s="14">
        <v>39</v>
      </c>
      <c r="B2" s="14" t="s">
        <v>263</v>
      </c>
    </row>
    <row r="3" spans="1:2" x14ac:dyDescent="0.3">
      <c r="A3" s="14">
        <v>68</v>
      </c>
      <c r="B3" s="14" t="s">
        <v>264</v>
      </c>
    </row>
    <row r="4" spans="1:2" x14ac:dyDescent="0.3">
      <c r="A4" s="14">
        <v>69</v>
      </c>
      <c r="B4" s="14" t="s">
        <v>265</v>
      </c>
    </row>
    <row r="5" spans="1:2" x14ac:dyDescent="0.3">
      <c r="A5" s="14">
        <v>73</v>
      </c>
      <c r="B5" s="14" t="s">
        <v>266</v>
      </c>
    </row>
    <row r="6" spans="1:2" x14ac:dyDescent="0.3">
      <c r="A6" s="14">
        <v>74</v>
      </c>
      <c r="B6" s="14" t="s">
        <v>267</v>
      </c>
    </row>
    <row r="7" spans="1:2" x14ac:dyDescent="0.3">
      <c r="A7" s="14">
        <v>76</v>
      </c>
      <c r="B7" s="14" t="s">
        <v>266</v>
      </c>
    </row>
    <row r="8" spans="1:2" x14ac:dyDescent="0.3">
      <c r="A8" s="14">
        <v>83</v>
      </c>
      <c r="B8" s="14" t="s">
        <v>266</v>
      </c>
    </row>
    <row r="9" spans="1:2" x14ac:dyDescent="0.3">
      <c r="A9" s="14">
        <v>84</v>
      </c>
      <c r="B9" s="14" t="s">
        <v>268</v>
      </c>
    </row>
    <row r="10" spans="1:2" x14ac:dyDescent="0.3">
      <c r="A10" s="14">
        <v>85</v>
      </c>
      <c r="B10" s="14" t="s">
        <v>267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A2" sqref="A2"/>
    </sheetView>
  </sheetViews>
  <sheetFormatPr defaultRowHeight="14.4" x14ac:dyDescent="0.3"/>
  <sheetData>
    <row r="1" spans="1:2" ht="28.8" x14ac:dyDescent="0.3">
      <c r="A1" s="11" t="s">
        <v>275</v>
      </c>
      <c r="B1" s="11" t="s">
        <v>262</v>
      </c>
    </row>
    <row r="2" spans="1:2" ht="28.8" x14ac:dyDescent="0.3">
      <c r="A2" s="12" t="s">
        <v>267</v>
      </c>
      <c r="B2" s="12" t="s">
        <v>269</v>
      </c>
    </row>
    <row r="3" spans="1:2" ht="43.2" x14ac:dyDescent="0.3">
      <c r="A3" s="12" t="s">
        <v>266</v>
      </c>
      <c r="B3" s="12" t="s">
        <v>270</v>
      </c>
    </row>
    <row r="4" spans="1:2" ht="57.6" x14ac:dyDescent="0.3">
      <c r="A4" s="12" t="s">
        <v>268</v>
      </c>
      <c r="B4" s="12" t="s">
        <v>271</v>
      </c>
    </row>
    <row r="5" spans="1:2" ht="57.6" x14ac:dyDescent="0.3">
      <c r="A5" s="12" t="s">
        <v>265</v>
      </c>
      <c r="B5" s="12" t="s">
        <v>272</v>
      </c>
    </row>
    <row r="6" spans="1:2" ht="43.2" x14ac:dyDescent="0.3">
      <c r="A6" s="12" t="s">
        <v>264</v>
      </c>
      <c r="B6" s="12" t="s">
        <v>273</v>
      </c>
    </row>
    <row r="7" spans="1:2" ht="43.2" x14ac:dyDescent="0.3">
      <c r="A7" s="12" t="s">
        <v>263</v>
      </c>
      <c r="B7" s="12" t="s">
        <v>274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Product_Mapping</vt:lpstr>
      <vt:lpstr>HS_Category_Map</vt:lpstr>
      <vt:lpstr>Category_Function_Map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2026-07-16T18:48:46Z</dcterms:created>
  <dcterms:modified xsi:type="dcterms:W3CDTF">2026-08-30T21:39:20Z</dcterms:modified>
</cp:coreProperties>
</file>