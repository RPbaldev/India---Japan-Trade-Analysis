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6.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V Portfolio Project\Excel\"/>
    </mc:Choice>
  </mc:AlternateContent>
  <bookViews>
    <workbookView xWindow="0" yWindow="0" windowWidth="23040" windowHeight="8616" firstSheet="11" activeTab="13"/>
  </bookViews>
  <sheets>
    <sheet name="TS_Imports" sheetId="1" r:id="rId1"/>
    <sheet name="TS_Exports" sheetId="2" r:id="rId2"/>
    <sheet name="TI_Imports" sheetId="3" r:id="rId3"/>
    <sheet name="TI_Exports" sheetId="4" r:id="rId4"/>
    <sheet name="Product_Mapping" sheetId="13" r:id="rId5"/>
    <sheet name="01_Import_Trend" sheetId="6" r:id="rId6"/>
    <sheet name="02_Export_Trend" sheetId="7" r:id="rId7"/>
    <sheet name="03_Trade_Balance" sheetId="8" r:id="rId8"/>
    <sheet name="04_Top_Import_Products" sheetId="11" r:id="rId9"/>
    <sheet name="05_Top_Export_Products" sheetId="12" r:id="rId10"/>
    <sheet name="06_Category-wise_Import" sheetId="15" r:id="rId11"/>
    <sheet name="07_Category-wise_Export" sheetId="16" r:id="rId12"/>
    <sheet name="08_High-Growth_Import_Products" sheetId="17" r:id="rId13"/>
    <sheet name="09_High-Growth Export Products" sheetId="18" r:id="rId14"/>
  </sheets>
  <externalReferences>
    <externalReference r:id="rId15"/>
  </externalReferences>
  <definedNames>
    <definedName name="_xlnm._FilterDatabase" localSheetId="5" hidden="1">'01_Import_Trend'!$B$9:$G$18</definedName>
    <definedName name="_xlnm._FilterDatabase" localSheetId="3" hidden="1">TI_Exports!$A$1:$J$1</definedName>
    <definedName name="_xlnm._FilterDatabase" localSheetId="2" hidden="1">TI_Imports!$F$1:$G$1</definedName>
  </definedNames>
  <calcPr calcId="162913"/>
  <pivotCaches>
    <pivotCache cacheId="6" r:id="rId16"/>
    <pivotCache cacheId="7" r:id="rId17"/>
    <pivotCache cacheId="8" r:id="rId18"/>
    <pivotCache cacheId="9" r:id="rId19"/>
    <pivotCache cacheId="10" r:id="rId20"/>
    <pivotCache cacheId="11" r:id="rId21"/>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D259" i="13" l="1"/>
  <c r="D258" i="13"/>
  <c r="E258" i="13" s="1"/>
  <c r="D257" i="13"/>
  <c r="D256" i="13"/>
  <c r="D255" i="13"/>
  <c r="D254" i="13"/>
  <c r="E254" i="13" s="1"/>
  <c r="D253" i="13"/>
  <c r="D252" i="13"/>
  <c r="D251" i="13"/>
  <c r="D250" i="13"/>
  <c r="E250" i="13" s="1"/>
  <c r="D249" i="13"/>
  <c r="D248" i="13"/>
  <c r="D247" i="13"/>
  <c r="E247" i="13" s="1"/>
  <c r="D246" i="13"/>
  <c r="E246" i="13" s="1"/>
  <c r="D245" i="13"/>
  <c r="D244" i="13"/>
  <c r="D243" i="13"/>
  <c r="E243" i="13" s="1"/>
  <c r="D242" i="13"/>
  <c r="D241" i="13"/>
  <c r="D240" i="13"/>
  <c r="D239" i="13"/>
  <c r="E239" i="13" s="1"/>
  <c r="D238" i="13"/>
  <c r="E238" i="13" s="1"/>
  <c r="D237" i="13"/>
  <c r="D236" i="13"/>
  <c r="D235" i="13"/>
  <c r="D234" i="13"/>
  <c r="D233" i="13"/>
  <c r="D232" i="13"/>
  <c r="D231" i="13"/>
  <c r="D230" i="13"/>
  <c r="D229" i="13"/>
  <c r="D228" i="13"/>
  <c r="D227" i="13"/>
  <c r="D226" i="13"/>
  <c r="D225" i="13"/>
  <c r="D224" i="13"/>
  <c r="D223" i="13"/>
  <c r="D222" i="13"/>
  <c r="D221" i="13"/>
  <c r="D220" i="13"/>
  <c r="E219" i="13"/>
  <c r="D219" i="13"/>
  <c r="D218" i="13"/>
  <c r="D217" i="13"/>
  <c r="D216" i="13"/>
  <c r="D215" i="13"/>
  <c r="D214" i="13"/>
  <c r="E214" i="13" s="1"/>
  <c r="D213" i="13"/>
  <c r="D212" i="13"/>
  <c r="D211" i="13"/>
  <c r="D210" i="13"/>
  <c r="D209" i="13"/>
  <c r="D208" i="13"/>
  <c r="D207" i="13"/>
  <c r="E207" i="13" s="1"/>
  <c r="D206" i="13"/>
  <c r="E206" i="13" s="1"/>
  <c r="D205" i="13"/>
  <c r="D204" i="13"/>
  <c r="D203" i="13"/>
  <c r="D202" i="13"/>
  <c r="D201" i="13"/>
  <c r="D200" i="13"/>
  <c r="D199" i="13"/>
  <c r="D198" i="13"/>
  <c r="D197" i="13"/>
  <c r="D196" i="13"/>
  <c r="D195" i="13"/>
  <c r="E195" i="13" s="1"/>
  <c r="D194" i="13"/>
  <c r="D193" i="13"/>
  <c r="D192" i="13"/>
  <c r="D191" i="13"/>
  <c r="D190" i="13"/>
  <c r="D189" i="13"/>
  <c r="D188" i="13"/>
  <c r="D187" i="13"/>
  <c r="D186" i="13"/>
  <c r="D185" i="13"/>
  <c r="D184" i="13"/>
  <c r="D183" i="13"/>
  <c r="D182" i="13"/>
  <c r="D181" i="13"/>
  <c r="D180" i="13"/>
  <c r="D179" i="13"/>
  <c r="D178" i="13"/>
  <c r="D177" i="13"/>
  <c r="D176" i="13"/>
  <c r="D175" i="13"/>
  <c r="D174" i="13"/>
  <c r="D173" i="13"/>
  <c r="D172" i="13"/>
  <c r="D171" i="13"/>
  <c r="D170" i="13"/>
  <c r="D169" i="13"/>
  <c r="D168" i="13"/>
  <c r="D167" i="13"/>
  <c r="D166" i="13"/>
  <c r="D165" i="13"/>
  <c r="D164" i="13"/>
  <c r="D163" i="13"/>
  <c r="D162" i="13"/>
  <c r="D161" i="13"/>
  <c r="D160" i="13"/>
  <c r="D159" i="13"/>
  <c r="D158" i="13"/>
  <c r="D157" i="13"/>
  <c r="D156" i="13"/>
  <c r="D155" i="13"/>
  <c r="D154" i="13"/>
  <c r="D153" i="13"/>
  <c r="D152" i="13"/>
  <c r="D151" i="13"/>
  <c r="D150" i="13"/>
  <c r="D149" i="13"/>
  <c r="D148" i="13"/>
  <c r="D147" i="13"/>
  <c r="E147" i="13" s="1"/>
  <c r="D146" i="13"/>
  <c r="D145" i="13"/>
  <c r="D144" i="13"/>
  <c r="D143" i="13"/>
  <c r="D142" i="13"/>
  <c r="D141" i="13"/>
  <c r="D140" i="13"/>
  <c r="D139" i="13"/>
  <c r="D138" i="13"/>
  <c r="D137" i="13"/>
  <c r="D136" i="13"/>
  <c r="D135" i="13"/>
  <c r="D134" i="13"/>
  <c r="D133" i="13"/>
  <c r="D132" i="13"/>
  <c r="D131" i="13"/>
  <c r="D130" i="13"/>
  <c r="D129" i="13"/>
  <c r="D128" i="13"/>
  <c r="D127" i="13"/>
  <c r="E127" i="13" s="1"/>
  <c r="D126" i="13"/>
  <c r="D125" i="13"/>
  <c r="D124" i="13"/>
  <c r="D123" i="13"/>
  <c r="D122" i="13"/>
  <c r="D121" i="13"/>
  <c r="D120" i="13"/>
  <c r="D119" i="13"/>
  <c r="E119" i="13" s="1"/>
  <c r="D118" i="13"/>
  <c r="D117" i="13"/>
  <c r="D116" i="13"/>
  <c r="D115" i="13"/>
  <c r="E115" i="13" s="1"/>
  <c r="D114" i="13"/>
  <c r="D113" i="13"/>
  <c r="D112" i="13"/>
  <c r="D111" i="13"/>
  <c r="D110" i="13"/>
  <c r="D109" i="13"/>
  <c r="D108" i="13"/>
  <c r="D107" i="13"/>
  <c r="D106" i="13"/>
  <c r="D105" i="13"/>
  <c r="D104" i="13"/>
  <c r="D103" i="13"/>
  <c r="D102" i="13"/>
  <c r="D101" i="13"/>
  <c r="D100" i="13"/>
  <c r="D99" i="13"/>
  <c r="D98" i="13"/>
  <c r="D97" i="13"/>
  <c r="D96" i="13"/>
  <c r="D95" i="13"/>
  <c r="E95" i="13" s="1"/>
  <c r="D94" i="13"/>
  <c r="D93" i="13"/>
  <c r="D92" i="13"/>
  <c r="D91" i="13"/>
  <c r="D90" i="13"/>
  <c r="D89" i="13"/>
  <c r="D88" i="13"/>
  <c r="D87" i="13"/>
  <c r="D86" i="13"/>
  <c r="D85" i="13"/>
  <c r="D84" i="13"/>
  <c r="D83" i="13"/>
  <c r="D82" i="13"/>
  <c r="D81" i="13"/>
  <c r="D80" i="13"/>
  <c r="E80" i="13" s="1"/>
  <c r="D79" i="13"/>
  <c r="D78" i="13"/>
  <c r="E78" i="13" s="1"/>
  <c r="D77" i="13"/>
  <c r="D76" i="13"/>
  <c r="E76" i="13" s="1"/>
  <c r="D75" i="13"/>
  <c r="D74" i="13"/>
  <c r="D73" i="13"/>
  <c r="D72" i="13"/>
  <c r="D71" i="13"/>
  <c r="D70" i="13"/>
  <c r="D69" i="13"/>
  <c r="D68" i="13"/>
  <c r="D67" i="13"/>
  <c r="D66" i="13"/>
  <c r="D65" i="13"/>
  <c r="D64" i="13"/>
  <c r="E64" i="13" s="1"/>
  <c r="D63" i="13"/>
  <c r="D62" i="13"/>
  <c r="D61" i="13"/>
  <c r="D60" i="13"/>
  <c r="E60" i="13" s="1"/>
  <c r="D59" i="13"/>
  <c r="D58" i="13"/>
  <c r="D57" i="13"/>
  <c r="D56" i="13"/>
  <c r="D55" i="13"/>
  <c r="D54" i="13"/>
  <c r="D53" i="13"/>
  <c r="D52" i="13"/>
  <c r="D51" i="13"/>
  <c r="D50" i="13"/>
  <c r="D49" i="13"/>
  <c r="D48" i="13"/>
  <c r="E48" i="13" s="1"/>
  <c r="D47" i="13"/>
  <c r="D46" i="13"/>
  <c r="E46" i="13" s="1"/>
  <c r="D45" i="13"/>
  <c r="D44" i="13"/>
  <c r="E44" i="13" s="1"/>
  <c r="D43" i="13"/>
  <c r="D42" i="13"/>
  <c r="D41" i="13"/>
  <c r="D40" i="13"/>
  <c r="D39" i="13"/>
  <c r="D38" i="13"/>
  <c r="D37" i="13"/>
  <c r="D36" i="13"/>
  <c r="D35" i="13"/>
  <c r="D34" i="13"/>
  <c r="D33" i="13"/>
  <c r="D32" i="13"/>
  <c r="E32" i="13" s="1"/>
  <c r="D31" i="13"/>
  <c r="D30" i="13"/>
  <c r="D29" i="13"/>
  <c r="D28" i="13"/>
  <c r="E28" i="13" s="1"/>
  <c r="D27" i="13"/>
  <c r="D26" i="13"/>
  <c r="D25" i="13"/>
  <c r="D24" i="13"/>
  <c r="D23" i="13"/>
  <c r="D22" i="13"/>
  <c r="D21" i="13"/>
  <c r="D20" i="13"/>
  <c r="D19" i="13"/>
  <c r="D18" i="13"/>
  <c r="D17" i="13"/>
  <c r="D16" i="13"/>
  <c r="E16" i="13" s="1"/>
  <c r="D15" i="13"/>
  <c r="D14" i="13"/>
  <c r="E14" i="13" s="1"/>
  <c r="D13" i="13"/>
  <c r="D12" i="13"/>
  <c r="E12" i="13" s="1"/>
  <c r="D11" i="13"/>
  <c r="D10" i="13"/>
  <c r="D9" i="13"/>
  <c r="D8" i="13"/>
  <c r="D7" i="13"/>
  <c r="D6" i="13"/>
  <c r="D5" i="13"/>
  <c r="D4" i="13"/>
  <c r="D3" i="13"/>
  <c r="D2" i="13"/>
  <c r="E227" i="13" l="1"/>
  <c r="E179" i="13"/>
  <c r="E139" i="13"/>
  <c r="E159" i="13"/>
  <c r="E187" i="13"/>
  <c r="E30" i="13"/>
  <c r="E62" i="13"/>
  <c r="E107" i="13"/>
  <c r="E155" i="13"/>
  <c r="E191" i="13"/>
  <c r="E223" i="13"/>
  <c r="E199" i="13"/>
  <c r="E211" i="13"/>
  <c r="E231" i="13"/>
  <c r="E17" i="13"/>
  <c r="E29" i="13"/>
  <c r="E67" i="13"/>
  <c r="E75" i="13"/>
  <c r="E100" i="13"/>
  <c r="E15" i="13"/>
  <c r="E22" i="13"/>
  <c r="E31" i="13"/>
  <c r="E38" i="13"/>
  <c r="E5" i="13"/>
  <c r="E7" i="13"/>
  <c r="E9" i="13"/>
  <c r="E21" i="13"/>
  <c r="E23" i="13"/>
  <c r="E25" i="13"/>
  <c r="E37" i="13"/>
  <c r="E39" i="13"/>
  <c r="E41" i="13"/>
  <c r="E53" i="13"/>
  <c r="E55" i="13"/>
  <c r="E57" i="13"/>
  <c r="E69" i="13"/>
  <c r="E71" i="13"/>
  <c r="E73" i="13"/>
  <c r="E85" i="13"/>
  <c r="E92" i="13"/>
  <c r="E110" i="13"/>
  <c r="E124" i="13"/>
  <c r="E142" i="13"/>
  <c r="E171" i="13"/>
  <c r="E182" i="13"/>
  <c r="E184" i="13"/>
  <c r="E190" i="13"/>
  <c r="E198" i="13"/>
  <c r="E204" i="13"/>
  <c r="E212" i="13"/>
  <c r="E215" i="13"/>
  <c r="E235" i="13"/>
  <c r="E242" i="13"/>
  <c r="E245" i="13"/>
  <c r="E43" i="13"/>
  <c r="E65" i="13"/>
  <c r="E118" i="13"/>
  <c r="E132" i="13"/>
  <c r="E150" i="13"/>
  <c r="E158" i="13"/>
  <c r="E166" i="13"/>
  <c r="E192" i="13"/>
  <c r="E216" i="13"/>
  <c r="E222" i="13"/>
  <c r="E230" i="13"/>
  <c r="E3" i="13"/>
  <c r="E13" i="13"/>
  <c r="E33" i="13"/>
  <c r="E45" i="13"/>
  <c r="E51" i="13"/>
  <c r="E59" i="13"/>
  <c r="E81" i="13"/>
  <c r="E94" i="13"/>
  <c r="E103" i="13"/>
  <c r="E108" i="13"/>
  <c r="E126" i="13"/>
  <c r="E135" i="13"/>
  <c r="E140" i="13"/>
  <c r="E163" i="13"/>
  <c r="E183" i="13"/>
  <c r="E224" i="13"/>
  <c r="E237" i="13"/>
  <c r="E11" i="13"/>
  <c r="E19" i="13"/>
  <c r="E27" i="13"/>
  <c r="E35" i="13"/>
  <c r="E49" i="13"/>
  <c r="E61" i="13"/>
  <c r="E77" i="13"/>
  <c r="E83" i="13"/>
  <c r="E6" i="13"/>
  <c r="E47" i="13"/>
  <c r="E54" i="13"/>
  <c r="E63" i="13"/>
  <c r="E70" i="13"/>
  <c r="E79" i="13"/>
  <c r="E86" i="13"/>
  <c r="E88" i="13"/>
  <c r="E91" i="13"/>
  <c r="E123" i="13"/>
  <c r="E172" i="13"/>
  <c r="E180" i="13"/>
  <c r="E2" i="13"/>
  <c r="E4" i="13"/>
  <c r="E8" i="13"/>
  <c r="E10" i="13"/>
  <c r="E18" i="13"/>
  <c r="E20" i="13"/>
  <c r="E24" i="13"/>
  <c r="E26" i="13"/>
  <c r="E34" i="13"/>
  <c r="E36" i="13"/>
  <c r="E40" i="13"/>
  <c r="E42" i="13"/>
  <c r="E50" i="13"/>
  <c r="E52" i="13"/>
  <c r="E56" i="13"/>
  <c r="E58" i="13"/>
  <c r="E66" i="13"/>
  <c r="E68" i="13"/>
  <c r="E72" i="13"/>
  <c r="E74" i="13"/>
  <c r="E82" i="13"/>
  <c r="E84" i="13"/>
  <c r="E99" i="13"/>
  <c r="E102" i="13"/>
  <c r="E111" i="13"/>
  <c r="E116" i="13"/>
  <c r="E131" i="13"/>
  <c r="E134" i="13"/>
  <c r="E143" i="13"/>
  <c r="E148" i="13"/>
  <c r="E151" i="13"/>
  <c r="E164" i="13"/>
  <c r="E167" i="13"/>
  <c r="E175" i="13"/>
  <c r="E203" i="13"/>
  <c r="E156" i="13"/>
  <c r="E174" i="13"/>
  <c r="E188" i="13"/>
  <c r="E200" i="13"/>
  <c r="E220" i="13"/>
  <c r="E232" i="13"/>
  <c r="E240" i="13"/>
  <c r="E253" i="13"/>
  <c r="E196" i="13"/>
  <c r="E208" i="13"/>
  <c r="E228" i="13"/>
  <c r="E236" i="13"/>
  <c r="E241" i="13"/>
  <c r="E244" i="13"/>
  <c r="E249" i="13"/>
  <c r="E257" i="13"/>
  <c r="E106" i="13"/>
  <c r="E120" i="13"/>
  <c r="E138" i="13"/>
  <c r="E152" i="13"/>
  <c r="E96" i="13"/>
  <c r="E109" i="13"/>
  <c r="E114" i="13"/>
  <c r="E128" i="13"/>
  <c r="E141" i="13"/>
  <c r="E146" i="13"/>
  <c r="E160" i="13"/>
  <c r="E173" i="13"/>
  <c r="E178" i="13"/>
  <c r="E101" i="13"/>
  <c r="E133" i="13"/>
  <c r="E165" i="13"/>
  <c r="E170" i="13"/>
  <c r="E87" i="13"/>
  <c r="E90" i="13"/>
  <c r="E104" i="13"/>
  <c r="E117" i="13"/>
  <c r="E122" i="13"/>
  <c r="E136" i="13"/>
  <c r="E149" i="13"/>
  <c r="E154" i="13"/>
  <c r="E168" i="13"/>
  <c r="E93" i="13"/>
  <c r="E98" i="13"/>
  <c r="E112" i="13"/>
  <c r="E125" i="13"/>
  <c r="E130" i="13"/>
  <c r="E144" i="13"/>
  <c r="E157" i="13"/>
  <c r="E162" i="13"/>
  <c r="E176" i="13"/>
  <c r="E252" i="13"/>
  <c r="E181" i="13"/>
  <c r="E186" i="13"/>
  <c r="E189" i="13"/>
  <c r="E194" i="13"/>
  <c r="E197" i="13"/>
  <c r="E202" i="13"/>
  <c r="E205" i="13"/>
  <c r="E210" i="13"/>
  <c r="E213" i="13"/>
  <c r="E218" i="13"/>
  <c r="E221" i="13"/>
  <c r="E226" i="13"/>
  <c r="E229" i="13"/>
  <c r="E234" i="13"/>
  <c r="E248" i="13"/>
  <c r="E256" i="13"/>
  <c r="E89" i="13"/>
  <c r="E97" i="13"/>
  <c r="E105" i="13"/>
  <c r="E113" i="13"/>
  <c r="E121" i="13"/>
  <c r="E129" i="13"/>
  <c r="E137" i="13"/>
  <c r="E145" i="13"/>
  <c r="E153" i="13"/>
  <c r="E161" i="13"/>
  <c r="E169" i="13"/>
  <c r="E177" i="13"/>
  <c r="E185" i="13"/>
  <c r="E193" i="13"/>
  <c r="E201" i="13"/>
  <c r="E209" i="13"/>
  <c r="E217" i="13"/>
  <c r="E225" i="13"/>
  <c r="E233" i="13"/>
  <c r="E251" i="13"/>
  <c r="E255" i="13"/>
  <c r="E259" i="13"/>
  <c r="E10" i="8" l="1"/>
  <c r="E11" i="8"/>
  <c r="E12" i="8"/>
  <c r="E13" i="8"/>
  <c r="E14" i="8"/>
  <c r="E15" i="8"/>
  <c r="E16" i="8"/>
  <c r="E17" i="8"/>
  <c r="E18" i="8"/>
</calcChain>
</file>

<file path=xl/sharedStrings.xml><?xml version="1.0" encoding="utf-8"?>
<sst xmlns="http://schemas.openxmlformats.org/spreadsheetml/2006/main" count="3309" uniqueCount="686">
  <si>
    <t xml:space="preserve">Electronic integrated circuits; parts thereof </t>
  </si>
  <si>
    <t xml:space="preserve">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 </t>
  </si>
  <si>
    <t xml:space="preserve">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 </t>
  </si>
  <si>
    <t xml:space="preserve">Electrical transformers, static converters, e.g. rectifiers, and inductors; parts thereof </t>
  </si>
  <si>
    <t xml:space="preserve">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 </t>
  </si>
  <si>
    <t xml:space="preserve">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 </t>
  </si>
  <si>
    <t xml:space="preserve">Electrical capacitors, fixed, variable or adjustable "pre-set"; parts thereof </t>
  </si>
  <si>
    <t xml:space="preserve">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 </t>
  </si>
  <si>
    <t xml:space="preserve">Electric accumulators, incl. separators therefor, whether or not square or rectangular; parts thereof (excl. spent and those of unhardened rubber or textiles) </t>
  </si>
  <si>
    <t xml:space="preserve">Electric motors and generators (excl. generating sets) </t>
  </si>
  <si>
    <t xml:space="preserve">Transmission apparatus for radio-broadcasting or television, whether or not incorporating reception apparatus or sound recording or reproducing apparatus; television cameras, digital cameras and video camera recorders </t>
  </si>
  <si>
    <t xml:space="preserve">Parts suitable for use solely or principally with the apparatus of heading 8535, 8536 or 8537, n.e.s. </t>
  </si>
  <si>
    <t xml:space="preserve">Insulated "incl. enamelled or anodised" wire, cable "incl. coaxial cable" and other insulated electric conductors, whether or not fitted with connectors; optical fibre cables, made up of individually sheathed fibres, whether or not assembled with electric conductors or fitted with connectors </t>
  </si>
  <si>
    <t xml:space="preserve">Flat panel display modules, whether or not incorporating touch-sensitive screens </t>
  </si>
  <si>
    <t xml:space="preserve">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t>
  </si>
  <si>
    <t xml:space="preserve">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t>
  </si>
  <si>
    <t xml:space="preserve">Electrical machines and apparatus, having individual functions, n.e.s. in chapter 85 and parts thereof </t>
  </si>
  <si>
    <t xml:space="preserve">Electrical resistors, incl. rheostats and potentiometers (excl. heating resistors); parts thereof </t>
  </si>
  <si>
    <t xml:space="preserve">Electrical lighting or signalling equipment (excl. lamps of heading 8539), windscreen wipers, defrosters and demisters, of a kind used for cycles or motor vehicles; parts thereof </t>
  </si>
  <si>
    <t xml:space="preserve">Discs, tapes, solid-state non-volatile storage devices, "smart cards" and other media for the recording of sound or of other phenomena, whether or not recorded, incl. matrices and masters for the production of discs (excl. products of chapter 37) </t>
  </si>
  <si>
    <t xml:space="preserve">Parts suitable for use solely or principally with electric motors and generators, electric generating sets and rotary converters, n.e.s. </t>
  </si>
  <si>
    <t xml:space="preserve">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 </t>
  </si>
  <si>
    <t xml:space="preserve">Electric filament or discharge lamps, incl. sealed beam lamp units and ultraviolet or infra-red lamps; arc lamps; light-emitting diode "LED" light sources; parts thereof </t>
  </si>
  <si>
    <t xml:space="preserve">Printed circuits </t>
  </si>
  <si>
    <t xml:space="preserve">Industrial or laboratory electric furnaces and ovens, incl. those functioning by induction or dielectric loss; other industrial or laboratory equipment for the heat treatment of materials by induction or dielectric loss; parts thereof </t>
  </si>
  <si>
    <t xml:space="preserve">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t>
  </si>
  <si>
    <t xml:space="preserve">Thermionic, cold cathode or photo-cathode valves and tubes, e.g. vacuum or vapour or gas filled valves and tubes, mercury arc rectifying valves and tubes, cathode ray tubes and television camera tubes; parts thereof </t>
  </si>
  <si>
    <t xml:space="preserve">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 </t>
  </si>
  <si>
    <t xml:space="preserve">Carbon electrodes, carbon brushes, lamp carbons, battery carbons and other articles of graphite or other carbon, with or without metal, of a kind used for electrical purposes </t>
  </si>
  <si>
    <t xml:space="preserve">Monitors and projectors, not incorporating television reception apparatus; reception apparatus for television, whether or not incorporating radio-broadcast receivers or sound or video recording or reproducing apparatus </t>
  </si>
  <si>
    <t xml:space="preserve">Electrical signalling, safety or traffic control equipment for railways, tramways, roads, inland waterways, parking facilities, port installations or airfields (excl. mechanical or electromechanical equipment of heading 8608); parts thereof </t>
  </si>
  <si>
    <t xml:space="preserve">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 </t>
  </si>
  <si>
    <t xml:space="preserve">Primary cells and primary batteries, electrical; parts thereof (excl. spent) </t>
  </si>
  <si>
    <t xml:space="preserve">Electric sound or visual signalling apparatus, e.g. bells, sirens, indicator panels, burglar or fire alarms (excl. those for cycles, motor vehicles and traffic signalling); parts thereof </t>
  </si>
  <si>
    <t xml:space="preserve">Electrical insulators of any material (excl. insulating fittings) </t>
  </si>
  <si>
    <t xml:space="preserve">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 </t>
  </si>
  <si>
    <t xml:space="preserve">Reception apparatus for radio-broadcasting, whether or not combined, in the same housing, with sound recording or reproducing apparatus or a clock </t>
  </si>
  <si>
    <t xml:space="preserve">Radar apparatus, radio navigational aid apparatus and radio remote control apparatus </t>
  </si>
  <si>
    <t xml:space="preserve">Video recording or reproducing apparatus, whether or not incorporating a video tuner (excl. video camera recorders) </t>
  </si>
  <si>
    <t xml:space="preserve">Electric generating sets and rotary converters </t>
  </si>
  <si>
    <t xml:space="preserve">Parts and accessories suitable for use solely or principally with sound reproducing and recording apparatus and with video equipment for recording and reproducing pictures and sound </t>
  </si>
  <si>
    <t xml:space="preserve">Vacuum cleaners, incl. dry cleaners and wet vacuum cleaners </t>
  </si>
  <si>
    <t xml:space="preserve">Portable electric lamps designed to function by their own source of energy, e.g. dry batteries, accumulators and magnetos; parts thereof (excl. lighting equipment of heading 8512) </t>
  </si>
  <si>
    <t xml:space="preserve">Sound recording or sound reproducing apparatus </t>
  </si>
  <si>
    <t xml:space="preserve">Electromechanical domestic appliances, with self-contained electric motor; parts thereof (excl. vacuum cleaners, dry and wet vacuum cleaners) </t>
  </si>
  <si>
    <t xml:space="preserve">Waste and scrap of primary cells, primary batteries and electric accumulators; spent primary cells, spent primary batteries and spent electric accumulators; electrical parts of machinery or apparatus, not specified or included elsewhere in chapter 85 </t>
  </si>
  <si>
    <t xml:space="preserve">Electrical and electronic waste and scrap </t>
  </si>
  <si>
    <t xml:space="preserve">Electric shavers, hair clippers and hair-removing appliances, with self-contained electric motor; parts thereof </t>
  </si>
  <si>
    <t>≈ 0</t>
  </si>
  <si>
    <t>Annual growth in quantity (2021-2025)</t>
  </si>
  <si>
    <t>n/a</t>
  </si>
  <si>
    <t xml:space="preserve">Polymers of vinyl chloride or of other halogenated olefins, in primary forms </t>
  </si>
  <si>
    <t xml:space="preserve">Acrylic polymers, in primary forms </t>
  </si>
  <si>
    <t xml:space="preserve">Articles of plastics and articles of other materials of heading 3901 to 3914, n.e.s. </t>
  </si>
  <si>
    <t xml:space="preserve">Amino-resins, phenolic resins and polyurethanes, in primary forms </t>
  </si>
  <si>
    <t xml:space="preserve">Polymers of ethylene, in primary forms </t>
  </si>
  <si>
    <t xml:space="preserve">Cellulose and its chemical derivatives, n.e.s., in primary forms </t>
  </si>
  <si>
    <t xml:space="preserve">Polyacetals, other polyethers and epoxide resins, in primary forms; polycarbonates, alkyd resins, polyallyl esters and other polyesters, in primary forms </t>
  </si>
  <si>
    <t xml:space="preserve">Polymers of propylene or of other olefins, in primary forms </t>
  </si>
  <si>
    <t xml:space="preserve">Self-adhesive plates, sheets, film, foil, tape, strip and other flat shapes, of plastics, whether or not in rolls (excl. floor, wall and ceiling coverings of heading 3918) </t>
  </si>
  <si>
    <t xml:space="preserve">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 </t>
  </si>
  <si>
    <t xml:space="preserve">Polymers of vinyl acetate or of other vinyl esters, in primary forms; other vinyl polymers, in primary forms </t>
  </si>
  <si>
    <t xml:space="preserve">Petroleum resins, coumarone-indene resins, polyterpenes, polysulphides, polysulphones and other polymers and prepolymers produced by chemical synthesis, n.e.s., in primary forms </t>
  </si>
  <si>
    <t xml:space="preserve">Polymers of styrene, in primary forms </t>
  </si>
  <si>
    <t xml:space="preserve">Polyamides, in primary forms </t>
  </si>
  <si>
    <t xml:space="preserve">Articles for the conveyance or packaging of goods, of plastics; stoppers, lids, caps and other closures, of plastics </t>
  </si>
  <si>
    <t xml:space="preserve">Silicones in primary forms </t>
  </si>
  <si>
    <t xml:space="preserve">Tubes, pipes and hoses, and fittings therefor, e.g. joints, elbows, flanges, of plastics </t>
  </si>
  <si>
    <t xml:space="preserve">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 </t>
  </si>
  <si>
    <t xml:space="preserve">Ion-exchangers based on polymers of heading 3901 to 3913, in primary forms </t>
  </si>
  <si>
    <t xml:space="preserve">Natural polymers, e.g. alginic acid, and modified natural polymers, e.g. hardened proteins, chemical derivatives of natural rubber, n.e.s., in primary forms </t>
  </si>
  <si>
    <t xml:space="preserve">Monofilament of which any cross-sectional dimension &gt; 1 mm, rods, sticks and profile shapes, of plastics, whether or not surface-worked but not further worked </t>
  </si>
  <si>
    <t xml:space="preserve">Tableware, kitchenware, other household articles and toilet articles, of plastics (excl. baths, shower-baths, washbasins, bidets, lavatory pans, seats and covers, flushing cisterns and similar sanitary ware) </t>
  </si>
  <si>
    <t xml:space="preserve">Builders' ware of plastics, n.e.s. </t>
  </si>
  <si>
    <t xml:space="preserve">Baths, shower-baths, sinks, washbasins, bidets, lavatory pans, seats and covers, flushing cisterns and similar sanitary ware, of plastics </t>
  </si>
  <si>
    <t xml:space="preserve">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 </t>
  </si>
  <si>
    <t xml:space="preserve">Waste, parings and scrap, of plastics </t>
  </si>
  <si>
    <t xml:space="preserve">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 </t>
  </si>
  <si>
    <t xml:space="preserve">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 </t>
  </si>
  <si>
    <t xml:space="preserve">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 </t>
  </si>
  <si>
    <t xml:space="preserve">Articles of stone or of other mineral substances, incl. carbon fibres, articles of carbon fibres and articles of peat, n.e.s. </t>
  </si>
  <si>
    <t xml:space="preserve">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 </t>
  </si>
  <si>
    <t xml:space="preserve">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 </t>
  </si>
  <si>
    <t xml:space="preserve">Worked slate and articles of slate or of agglomerated slate (excluding slate granules, chippings and powder, mosaic cubes and the like, slate pencils, and ready-to-use slates or boards with writing or drawing surfaces) </t>
  </si>
  <si>
    <t xml:space="preserve">Setts, curbstones and flagstones, of natural stone (excluding slate) </t>
  </si>
  <si>
    <t xml:space="preserve">Natural or artificial abrasive powder or grain, on a base of textile material, paper, paperboard or other materials, whether or not cut to shape or sewn or otherwise made up </t>
  </si>
  <si>
    <t xml:space="preserve">Panels, boards, tiles, blocks and similar articles of vegetable fibre, of straw or of shavings, chips, particles, sawdust or other waste of wood, agglomerated with cement, plaster or other mineral binders (excluding articles of asbestos-cement, cellulose fibre-cement or the like) </t>
  </si>
  <si>
    <t xml:space="preserve">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 </t>
  </si>
  <si>
    <t xml:space="preserve">Articles of asphalt or of similar materials, e.g. petroleum bitumen or coal tar pitch </t>
  </si>
  <si>
    <t xml:space="preserve">Articles of cement, concrete or artificial stone, whether or not reinforced </t>
  </si>
  <si>
    <t xml:space="preserve">Articles of asbestos-cement, cellulose fibre-cement or the like </t>
  </si>
  <si>
    <t xml:space="preserve">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 </t>
  </si>
  <si>
    <t xml:space="preserve">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 </t>
  </si>
  <si>
    <t xml:space="preserve">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 </t>
  </si>
  <si>
    <t xml:space="preserve">Refractory bricks, blocks, tiles and similar refractory ceramic constructional goods (excl. those of siliceous fossil meals or similar siliceous earths) </t>
  </si>
  <si>
    <t xml:space="preserve">Ceramic articles, n.e.s. </t>
  </si>
  <si>
    <t xml:space="preserve">Ceramic sinks, washbasins, washbasin pedestals, baths, bidets, water closet pans, flushing cisterns, urinals and similar sanitary fixtures (excl. soap dishes, sponge holders, tooth-brush holders, towel hooks and toilet paper holders) </t>
  </si>
  <si>
    <t xml:space="preserve">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 </t>
  </si>
  <si>
    <t xml:space="preserve">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 </t>
  </si>
  <si>
    <t xml:space="preserve">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 </t>
  </si>
  <si>
    <t xml:space="preserve">Roofing tiles, chimney pots, cowls, chimney liners, architectural ornaments and other ceramic constructional goods (excl. of siliceous fossil meals or similar siliceous earths, refractory ceramic constructional components, pipes and other components for drainage and similar purposes) </t>
  </si>
  <si>
    <t xml:space="preserve">Ceramic pipes, conduits, guttering and pipe fittings (excluding of siliceous fossil meals or similar siliceous earths, refractory ceramic goods, chimney liners, pipes specifically manufactured for laboratories, insulating tubing and fittings and other piping for electrotechnical purposes) </t>
  </si>
  <si>
    <t xml:space="preserve">Ceramic building bricks, flooring blocks, support or filler tiles and the like (excl. those of siliceous fossil meals or similar siliceous earths, refractory bricks of heading 6902, and flags and pavings, hearth and wall tiles of heading 6907 and 6908) </t>
  </si>
  <si>
    <t xml:space="preserve">Statuettes and other ornamental ceramic articles, n.e.s. </t>
  </si>
  <si>
    <t xml:space="preserve">Bricks, blocks, tiles and other ceramic goods of siliceous fossil meals, e.g. kieselguhr, tripolite or diatomite, or of similar siliceous earths </t>
  </si>
  <si>
    <t xml:space="preserve">Glazed ceramic flags and paving, hearth or wall tiles; glazed ceramic mosaic cubes and the like, whether or not on a backing (excluding of siliceous fossil meals or similar siliceous earths, refractory ceramic goods, tiles specially adapted as table mats, ornamental articles and tiles specifically manufactured for stoves) </t>
  </si>
  <si>
    <t xml:space="preserve">Articles of iron or steel, n.e.s. (excl. cast articles) </t>
  </si>
  <si>
    <t xml:space="preserve">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t>
  </si>
  <si>
    <t xml:space="preserve">Articles of iron or steel, cast, n.e.s. </t>
  </si>
  <si>
    <t xml:space="preserve">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t>
  </si>
  <si>
    <t xml:space="preserve">Tanks, casks, drums, cans, boxes and similar containers, of iron or steel, for any material "other than compressed or liquefied gas", of a capacity of &lt;= 300 l, not fitted with mechanical or thermal equipment, whether or not lined or heat-insulated, n.e.s. </t>
  </si>
  <si>
    <t xml:space="preserve">Tube or pipe fittings "e.g. couplings, elbows, sleeves", of iron or steel </t>
  </si>
  <si>
    <t xml:space="preserve">Springs and leaves for springs, of iron or steel (excl. clock and watch springs, springs for sticks and handles of umbrellas or parasols, shock absorbers and torque rod or torsion bar springs of Section 17) </t>
  </si>
  <si>
    <t xml:space="preserve">Screws, bolts, nuts, coach screws, screw hooks, rivets, cotters, cotter pins, washers, incl. spring washers, and similar articles, of iron or steel (excl. lag screws, stoppers, plugs and the like, threaded) </t>
  </si>
  <si>
    <t xml:space="preserve">Sheet piling of iron or steel, whether or not drilled, punched or made from assembled elements; welded angles, shapes and sections, of iron or steel </t>
  </si>
  <si>
    <t xml:space="preserve">Chain and parts thereof, or iron or steel (excl. watch chains, necklace chains and the like, cutting and saw chain, skid chain, scraper chain for conveyors, toothed chain for textile machinery and the like, safety devices with chains for securing doors, measuring chains) </t>
  </si>
  <si>
    <t xml:space="preserve">Tubes, pipes and hollow profiles, seamless, of iron or steel (excl. products of cast iron) </t>
  </si>
  <si>
    <t xml:space="preserve">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t>
  </si>
  <si>
    <t xml:space="preserve">Tubes, pipes and hollow profiles "e.g., open seam or welded, riveted or similarly closed", of iron or steel (excl. of cast iron, seamless tubes and pipes and tubes having internal and external circular cross-sections and an external diameter of &gt; 406,4 mm) </t>
  </si>
  <si>
    <t xml:space="preserve">Sewing needles, knitting needles, bodkins, crochet hoods, embroidery stilettos and similar articles, for use in the hand, of iron or steel; safety pins and other pins of iron or steel, n.e.s. </t>
  </si>
  <si>
    <t xml:space="preserve">Reservoirs, tanks, vats and similar containers, of iron or steel, for any material "other than compressed or liquefied gas", of a capacity of &gt; 300 l, not fitted with mechanical or thermal equipment, whether or not lined or heat-insulated (excluding containers specifically constructed or equipped for one or more types of transport) </t>
  </si>
  <si>
    <t xml:space="preserve">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 </t>
  </si>
  <si>
    <t xml:space="preserve">Stranded wire, ropes, cables, plaited bands, slings and the like, of iron or steel (excl. electrically insulated products and twisted fencing wire and barbed wire) </t>
  </si>
  <si>
    <t xml:space="preserve">Containers of iron or steel, for compressed or liquefied gas (excluding containers specifically constructed or equipped for one or more types of transport) </t>
  </si>
  <si>
    <t xml:space="preserve">Nails, tacks, drawing pins, corrugated nails, staples and similar articles of iron or steel, whether or not with heads of other material (excluding such articles with heads of copper and staples in strips) </t>
  </si>
  <si>
    <t xml:space="preserve">Sanitary ware, and parts thereof, of iron or steel (excl. cans, boxes and similar containers of heading 7310, small wall cabinets for medical supplies or toiletries and other furniture of chapter 94, and fittings) </t>
  </si>
  <si>
    <t xml:space="preserve">Anchors, grapnels and parts thereof, of iron or steel </t>
  </si>
  <si>
    <t xml:space="preserve">Tubes, pipes and hollow profiles, of cast iron </t>
  </si>
  <si>
    <t xml:space="preserve">Tubes and pipes, having circular cross-sections and an external diameter of &gt; 406,4 mm, of flat-rolled products of iron or steel "e.g., welded, riveted or similarly closed" </t>
  </si>
  <si>
    <t xml:space="preserve">Cloth, incl. endless bands, grill, netting and fencing, of iron or steel wire, expanded metal of iron or steel (excl. woven products of metal fibres of a kind used for cladding, lining or similar purposes) </t>
  </si>
  <si>
    <t xml:space="preserve">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t>
  </si>
  <si>
    <t xml:space="preserve">Barbed wire of iron or steel; twisted hoop or single flat wire, barbed or not, and loosely twisted double wire, of a kind used for fencing, of iron or steel </t>
  </si>
  <si>
    <t xml:space="preserve">Copper, refined, and copper alloys, unwrought (excl. copper alloys of heading 7405) </t>
  </si>
  <si>
    <t xml:space="preserve">Copper wire (excl. surgical sutures, stranded wire, cables, plaited bands and the like and other articles of heading 7413, electrically insulated wires and strings for musical instruments) </t>
  </si>
  <si>
    <t xml:space="preserve">Plates, sheets and strip, of copper, of a thickness of &gt; 0,15 mm (excl. expanded sheet and strip copper and electrically insulated strip) </t>
  </si>
  <si>
    <t xml:space="preserve">Other articles of copper, n.e.s. </t>
  </si>
  <si>
    <t xml:space="preserve">Bars, rods and profiles, of copper, n.e.s. </t>
  </si>
  <si>
    <t xml:space="preserve">Waste and scrap, of copper (excluding ingots or other similar unwrought shapes, of remelted copper waste and scrap, ashes and residues containing copper, and waste and scrap of primary cells, primary batteries and electric accumulators) </t>
  </si>
  <si>
    <t xml:space="preserve">Copper, unrefined; copper anodes for electrolytic refining </t>
  </si>
  <si>
    <t xml:space="preserve">Copper foil "whether or not printed or backed with paper, paperboard, plastics or similar backing materials", of a thickness "excl. any backing" of &lt;= 0,15 mm (excl. stamping foils of heading 3212, metal yarns and metallised yarns and foil made up as christmas tree decorating material) </t>
  </si>
  <si>
    <t xml:space="preserve">Copper tube or pipe fittings "e.g., couplings, elbows, sleeves" </t>
  </si>
  <si>
    <t xml:space="preserve">Powders and flakes, of copper (excl. grains of copper and spangles of heading 8308) </t>
  </si>
  <si>
    <t xml:space="preserve">Copper tubes and pipes </t>
  </si>
  <si>
    <t xml:space="preserve">Stranded wire, cables, plaited bands and the like, of copper (excluding electrically insulated products) </t>
  </si>
  <si>
    <t xml:space="preserve">Nails, tacks, drawing pins, staples and similar articles, of copper or with shafts of iron or steel and heads of copper, screws, bolts, nuts, screw hooks, rivets, cotters, cotter pins, washers "incl. spring washers" and similar articles, of copper (excl. staples in strips, and lag screws, plugs, bungs and the like, threaded) </t>
  </si>
  <si>
    <t xml:space="preserve">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 </t>
  </si>
  <si>
    <t xml:space="preserve">Copper mattes; cement copper "precipitated copper" </t>
  </si>
  <si>
    <t xml:space="preserve">Master alloys of copper (excluding phosphorus-copper compounds "copper phosphide" containing by weight &gt; 15% phosphorus) </t>
  </si>
  <si>
    <t xml:space="preserve">Waste and scrap, of aluminium (excluding slags, scale and the like from iron and steel production, containing recoverable aluminium in the form of silicates, ingots or other similar unwrought shapes, of remelted waste and scrap, of aluminium, ashes and residues from aluminium production) </t>
  </si>
  <si>
    <t xml:space="preserve">Plates, sheets and strip, of aluminium, of a thickness of &gt; 0,2 mm (excl. expanded plates, sheets and strip) </t>
  </si>
  <si>
    <t xml:space="preserve">Articles of aluminium, n.e.s. </t>
  </si>
  <si>
    <t xml:space="preserve">Aluminium foil, "whether or not printed or backed with paper, paperboard, plastics or similar backing materials", of a thickness "excl. any backing" of &lt;= 0,2 mm (excl. stamping foils of heading 3212, christmas tree decorating material) </t>
  </si>
  <si>
    <t xml:space="preserve">Bars, rods and profiles, of aluminium, n.e.s. </t>
  </si>
  <si>
    <t xml:space="preserve">Aluminium wire (excl. stranded wire, cables, plaited bands and the like and other articles of heading 7614, electrically insulated wires, and strings for musical instruments) </t>
  </si>
  <si>
    <t xml:space="preserve">Aluminium tubes and pipes (excl. hollow profiles) </t>
  </si>
  <si>
    <t xml:space="preserve">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 </t>
  </si>
  <si>
    <t xml:space="preserve">Powder and flakes, of aluminium (excl. pellets of aluminium, and spangles) </t>
  </si>
  <si>
    <t xml:space="preserve">Aluminium tube or pipe fittings "e.g., couplings, elbows, sleeves" </t>
  </si>
  <si>
    <t xml:space="preserve">Casks, drums, cans, boxes and similar containers, incl. rigid or collapsible tubular containers, of aluminium, for any material (other than compressed or liquefied gas), of a capacity of &lt;= 300 l, not fitted with mechanical or thermal equipment, whether or not lined or heat-insulated, n.e.s. </t>
  </si>
  <si>
    <t xml:space="preserve">Unwrought aluminium </t>
  </si>
  <si>
    <t xml:space="preserve">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t>
  </si>
  <si>
    <t xml:space="preserve">Aluminium containers for compressed or liquefied gas </t>
  </si>
  <si>
    <t xml:space="preserve">Reservoirs, tanks, vats and similar containers, of aluminium, for any material (other than compressed or liquefied gas), of a capacity of &gt; 300 l, not fitted with mechanical or thermal equipment, whether or not lined or heat-insulated (excluding containers specifically constructed or equipped for one or more types of transport) </t>
  </si>
  <si>
    <t xml:space="preserve">Stranded wire, cables, plaited bands and the like, of aluminium (excl. such products electrically insulated) </t>
  </si>
  <si>
    <t xml:space="preserve">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t>
  </si>
  <si>
    <t xml:space="preserve">Padlocks and locks "key, combination or electrically operated", of base metal; clasps and frames with clasps, incorporating locks, of base metal; keys for any of the foregoing articles, of base metal </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</si>
  <si>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t>
  </si>
  <si>
    <t xml:space="preserve">Flexible tubing of base metal, with or without fittings </t>
  </si>
  <si>
    <t xml:space="preserve">Sign-plates, nameplates, address-plates and similar plates, numbers, letters and other symbols, of base metal, incl. traffic signs (excluding those of heading 9405, type and the like, and signal boards, signal discs and signal arms for traffic of heading 8608) </t>
  </si>
  <si>
    <t xml:space="preserve">Stoppers, caps and lids, incl. crown corks, screw caps and pouring stoppers, capsules for bottles, threaded bungs, bung covers, seals and other packing accessories, of base metal </t>
  </si>
  <si>
    <t xml:space="preserve">Clasps, frames with clasps, buckles, buckle-clasps, hooks, eyes, eyelets and the like, of base metal, of a kind used for clothing, footwear, awnings, handbags, travel goods or other made-up articles, tubular or bifurcated rivets, of base metal; beads and spangles of base metal </t>
  </si>
  <si>
    <t xml:space="preserve">Fittings for loose-leaf binders or files, letter clips, letter corners, paper clips, indexing tags and similar office articles, of base metal (excl. drawing pins and clasps for books or registers); staples in strips, e.g. for use in offices, upholstery and packaging, of base metal </t>
  </si>
  <si>
    <t xml:space="preserve">Armoured or reinforced safes, strongboxes and doors and safe deposit lockers for strongrooms, cash or deed boxes and the like, of base metal </t>
  </si>
  <si>
    <t xml:space="preserve">Bells, gongs and the like, non-electric, of base metal (excl. musical instruments); statuettes and other ornaments, of base metal (excl. works of art, collectors' pieces and antiques); photograph, picture or similar frames, of base metal; mirrors of base metal (excl. optical elements) </t>
  </si>
  <si>
    <t xml:space="preserve">Filing cabinets, card-index cabinets, paper trays, paper rests, pen trays, office-stamp stands and similar office or desk equipment, of base metal (excluding office furniture of heading 9403 and waste paper bins) </t>
  </si>
  <si>
    <t xml:space="preserve">Machines and mechanical appliances having individual functions, not specified or included elsewhere in this chapter; parts thereof </t>
  </si>
  <si>
    <t xml:space="preserve">Machining centres, unit construction machines "single station" and multi-station transfer machines for working metal </t>
  </si>
  <si>
    <t xml:space="preserve">Turbojets, turbopropellers and other gas turbines </t>
  </si>
  <si>
    <t xml:space="preserve">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 </t>
  </si>
  <si>
    <t xml:space="preserve">Parts suitable for use solely or principally with internal combustion piston engine of heading 8407 or 8408 </t>
  </si>
  <si>
    <t xml:space="preserve">Taps, cocks, valves and similar appliances for pipes, boiler shells, tanks, vats or the like, incl. pressure-reducing valves and thermostatically controlled valves; parts thereof </t>
  </si>
  <si>
    <t xml:space="preserve">Machinery for working rubber or plastics or for the manufacture of products from these materials, not specified or included elsewhere in this chapter, parts thereof </t>
  </si>
  <si>
    <t xml:space="preserve">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 </t>
  </si>
  <si>
    <t xml:space="preserve">Ball or roller bearings (excl. steel balls of heading 7326); parts thereof </t>
  </si>
  <si>
    <t xml:space="preserve">Parts suitable for use solely or principally with the machinery of heading 8425 to 8430, n.e.s. </t>
  </si>
  <si>
    <t xml:space="preserve">Pumps for liquids, whether or not fitted with a measuring device (excl. ceramic pumps and secretion aspirating pumps for medical use and medical pumps carried on or implanted in the body); liquid elevators (excl. pumps); parts thereof </t>
  </si>
  <si>
    <t xml:space="preserve">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 </t>
  </si>
  <si>
    <t xml:space="preserve">Weaving machines "looms" </t>
  </si>
  <si>
    <t xml:space="preserve">Centrifuges, incl. centrifugal dryers (excl. those for isotope separation); filtering or purifying machinery and apparatus, for liquids or gases; parts thereof (excl. artificial kidneys) </t>
  </si>
  <si>
    <t xml:space="preserve">Parts and accessories suitable for use solely or principally with the machines of headings 8456 to 8465, incl. work or tool holders, self-opening dieheads, dividing heads and other special attachments for the machines, n.e.s.; tool holders for any type of tool for working in the hand </t>
  </si>
  <si>
    <t xml:space="preserve">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 </t>
  </si>
  <si>
    <t xml:space="preserve">Compression-ignition internal combustion piston engine "diesel or semi-diesel engine" </t>
  </si>
  <si>
    <t xml:space="preserve">Self-propelled bulldozers, angledozers, graders, levellers, scrapers, mechanical shovels, excavators, shovel loaders, tamping machines and roadrollers </t>
  </si>
  <si>
    <t xml:space="preserve">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 </t>
  </si>
  <si>
    <t xml:space="preserve">Lathes, incl. turning centres, for removing metal </t>
  </si>
  <si>
    <t xml:space="preserve">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 </t>
  </si>
  <si>
    <t xml:space="preserve">Engines and motors (excl. steam turbines, internal combustion piston engine, hydraulic turbines, water wheels, gas turbines and electric motors); parts thereof </t>
  </si>
  <si>
    <t xml:space="preserve">Metal-rolling mills and rolls therefor; parts of metal-rolling mills </t>
  </si>
  <si>
    <t xml:space="preserve">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 </t>
  </si>
  <si>
    <t xml:space="preserve">Air conditioning machines comprising a motor-driven fan and elements for changing the temperature and humidity, incl. those machines in which the humidity cannot be separately regulated; parts thereof </t>
  </si>
  <si>
    <t xml:space="preserve">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 </t>
  </si>
  <si>
    <t xml:space="preserve">Converters, ladles, ingot moulds and casting machines of a kind used in metallurgy or in metal foundries (excl. metal powder presses); parts thereof </t>
  </si>
  <si>
    <t xml:space="preserve">Parts and accessories (other than covers, carrying cases and the like) suitable for use solely or principally with machines of heading 8469 to 8472, n.e.s. </t>
  </si>
  <si>
    <t xml:space="preserve">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 </t>
  </si>
  <si>
    <t xml:space="preserve">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t>
  </si>
  <si>
    <t xml:space="preserve">Machine tools for planing, shaping, slotting, broaching, gear cutting, gear grinding or gear finishing, sawing, cutting-off and other machine tools working by removing metal, sintered metal carbides or cermets, n.e.s. </t>
  </si>
  <si>
    <t xml:space="preserve">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t>
  </si>
  <si>
    <t xml:space="preserve">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 </t>
  </si>
  <si>
    <t xml:space="preserve">Automatic data-processing machines and units thereof; magnetic or optical readers, machines for transcribing data onto data media in coded form and machines for processing such data, n.e.s. </t>
  </si>
  <si>
    <t xml:space="preserve">Knitting machines, stitch-bonding machines and machines for making gimped yarn, tulle, lace, embroidery, trimmings, braid or net and machines for tufting (excl. hem-stitching machines) </t>
  </si>
  <si>
    <t xml:space="preserve">Steam turbines and other vapour turbines; parts thereof </t>
  </si>
  <si>
    <t xml:space="preserve">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 </t>
  </si>
  <si>
    <t xml:space="preserve">Machine tools, incl. way-type unit head machines, for drilling, boring, milling, threading or tapping (excl. lathes and turning centres of heading 8458, gear cutting machines of heading 8461 and hand-operated machines) </t>
  </si>
  <si>
    <t xml:space="preserve">Fork-lift trucks; other works trucks fitted with lifting or handling equipment (excl. straddle carriers and works trucks fitted with a crane) </t>
  </si>
  <si>
    <t xml:space="preserve">Weighing machinery, incl. weight-operated counting or checking machines (excl. balances of a sensitivity of 5 cg or better); weighing machine weights of all kinds; parts thereof </t>
  </si>
  <si>
    <t xml:space="preserve">Industrial or laboratory furnaces and ovens, non-electric, incl. incinerators (excl. drying ovens and ovens for cracking operations) </t>
  </si>
  <si>
    <t xml:space="preserve">Machines and apparatus of a kind used solely or principally for the manufacture of semiconductor boules or wafers, semiconductor devices, electronic integrated circuits or flat panel displays; machines and apparatus specified in note 11 C to chapter 84; parts and accessories, n.e.s. </t>
  </si>
  <si>
    <t xml:space="preserve">Moulding boxes for metal foundry; mould bases; moulding patterns; moulds for metal (other than ingot moulds), metal carbides, glass, mineral materials, rubber or plastics (excl. moulds of graphite or other carbons, ceramic or glass moulds and linotype moulds or matrices) </t>
  </si>
  <si>
    <t xml:space="preserve">Spark-ignition reciprocating or rotary internal combustion piston engine </t>
  </si>
  <si>
    <t xml:space="preserve">Gaskets and similar joints of metal sheeting combined with other material or of two or more layers of metal; sets or assortments of gaskets and similar joints, dissimilar in composition, put up in pouches, envelopes or similar packings; mechanical seals </t>
  </si>
  <si>
    <t xml:space="preserve">Tools for working in the hand, pneumatic, hydraulic or with self-contained electric or non-electric motor; parts thereof </t>
  </si>
  <si>
    <t xml:space="preserve">Machinery for making up paper pulp, paper or paperboard, incl. cutting machines of all kinds, n.e.s.; parts thereof </t>
  </si>
  <si>
    <t xml:space="preserve">Ships' derricks; cranes, incl. cable cranes (excl. wheel-mounted cranes and vehicle cranes for railways); mobile lifting frames, straddle carriers and works trucks fitted with a crane </t>
  </si>
  <si>
    <t xml:space="preserve">Sewing machines (other than book-sewing machines of heading 8440); furniture, bases and covers specially designed for sewing machines; sewing machine needles; parts thereof </t>
  </si>
  <si>
    <t xml:space="preserve">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 </t>
  </si>
  <si>
    <t xml:space="preserve">Machinery parts, n.e.s. in chapter 84 (excl. parts containing electrical connectors, insulators, coils, contacts or other electrical features) </t>
  </si>
  <si>
    <t xml:space="preserve">Machinery, not specified or included elsewhere in this chapter, for the industrial preparation or manufacture of food or drink (other than machinery for the extraction or preparation of animal or fixed vegetable fats or oils); parts thereof </t>
  </si>
  <si>
    <t xml:space="preserve">Pulley tackle and hoists (other than skip hoists); winches and capstans; jacks </t>
  </si>
  <si>
    <t xml:space="preserve">Machine tools for working stone, ceramics, concrete, asbestos-cement or like mineral materials or for cold-working glass (excl. machines for working in the hand) </t>
  </si>
  <si>
    <t xml:space="preserve">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 </t>
  </si>
  <si>
    <t xml:space="preserve">Machines for extruding, drawing, texturing or cutting man-made textile materials </t>
  </si>
  <si>
    <t xml:space="preserve">Furnace burners for liquid fuel, for pulverised solid fuel or for gas; mechanical stokers, incl. their mechanical grates, mechanical ash dischargers and similar appliances; parts thereof </t>
  </si>
  <si>
    <t xml:space="preserve">Refrigerators, freezers and other refrigerating or freezing equipment, electric or other; heat pumps; parts thereof (excl. air conditioning machines of heading 8415) </t>
  </si>
  <si>
    <t xml:space="preserve">Machinery and apparatus for soldering, brazing or welding, whether or not capable of cutting (other than those of heading 8515); gas-operated surface tempering machines and appliances; parts thereof </t>
  </si>
  <si>
    <t xml:space="preserve">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 </t>
  </si>
  <si>
    <t xml:space="preserve">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 </t>
  </si>
  <si>
    <t xml:space="preserve">Automatic goods-vending machines, e.g. postage stamp, cigarette, food or beverage machines, incl. money-changing machines; parts thereof </t>
  </si>
  <si>
    <t xml:space="preserve">Machinery for preparing, tanning or working hides, skins or leather or for making or repairing footwear or other articles of hides, skins or leather (excl. drying machines, spray guns, machines for the dehairing of pigs, sewing machines and general purpose presses); parts thereof </t>
  </si>
  <si>
    <t xml:space="preserve">Machinery for making pulp of fibrous cellulosic material or for making or finishing paper or paperboard (excl. autoclaves, boilers, dryers, other heating appliances and calenders); parts thereof </t>
  </si>
  <si>
    <t xml:space="preserve">Bookbinding machinery, incl. book-sewing machines (excl. machinery of heading 8441, general-purpose presses, printing machinery of heading 8443 and machines of uses ancillary to printing); parts thereof </t>
  </si>
  <si>
    <t xml:space="preserve">Machine tools, incl. machines for nailing, stapling, glueing or otherwise assembling, for working wood, cork, bone, hard rubber, hard plastics or similar hard materials (excl. machines for working in the hand and machines for additive manufacturing) </t>
  </si>
  <si>
    <t xml:space="preserve">Office machines, e.g. hectograph or stencil duplicating machines, addressing machines, automatic banknote dispensers, coin-sorting machines, coin-counting or coin-wrapping machines, pencil-sharpening machines, perforating or stapling machines, n.e.s. </t>
  </si>
  <si>
    <t xml:space="preserve">Agricultural, horticultural or forestry machinery for soil preparation or cultivation (excl. sprayers and dusters); lawn or sports-ground rollers; parts thereof </t>
  </si>
  <si>
    <t xml:space="preserve">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 </t>
  </si>
  <si>
    <t xml:space="preserve">Calendering or other rolling machines (other than for metals or glass) and cylinders therefor; parts thereof </t>
  </si>
  <si>
    <t xml:space="preserve">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 </t>
  </si>
  <si>
    <t xml:space="preserve">Machines for additive manufacturing </t>
  </si>
  <si>
    <t xml:space="preserve">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 </t>
  </si>
  <si>
    <t xml:space="preserve">Auxiliary plant for use with boilers of heading 8402 or 8403, e.g. economizers, superheaters, soot removers and gas recoverers; condensers for steam or other vapour power units; parts thereof </t>
  </si>
  <si>
    <t xml:space="preserve">Producer gas or water gas generators, with or without their purifiers; acetylene gas generators and similar water process gas generators, with or without their purifiers; parts thereof (excl. coke ovens, electrolytic process gas generators and carbide lamps) </t>
  </si>
  <si>
    <t xml:space="preserve">Household or laundry-type washing machines, incl. machines which both wash and dry; parts thereof </t>
  </si>
  <si>
    <t xml:space="preserve">Steam or other vapour generating boilers (excl. central heating hot water boilers capable also of producing low pressure steam); superheated water boilers; parts thereof </t>
  </si>
  <si>
    <t xml:space="preserve">Hydraulic turbines, water wheels, and regulators therefor (excl. hydraulic power engines and motors of heading 8412) </t>
  </si>
  <si>
    <t xml:space="preserve">Agricultural, horticultural, forestry, poultry-keeping or bee-keeping machinery, incl. germination plant fitted with mechanical or thermal equipment; poultry incubators and brooders; parts thereof </t>
  </si>
  <si>
    <t xml:space="preserve">Machinery for the manufacture or finishing of felt or nonwovens in the piece or in shapes, incl. machinery for making felt hats; blocks for making hats; parts thereof (excluding machinery for preparing fibres for felt and calenders) </t>
  </si>
  <si>
    <t xml:space="preserve">Machinery for preparing or making up tobacco, not specified or included elsewhere in this chapter; parts thereof </t>
  </si>
  <si>
    <t xml:space="preserve">Nuclear reactors; fuel elements "cartridges", non-irradiated, for nuclear reactors; machinery and apparatus for isotopic separation; parts thereof </t>
  </si>
  <si>
    <t xml:space="preserve">Central heating boilers, non-electric; parts thereof (excl. vapour generating boilers and superheated water boilers of heading 8402) </t>
  </si>
  <si>
    <t xml:space="preserve">Milking machines and dairy machinery (excl. refrigerating or heat treatment equipment, cream separators, clarifying centrifuges, filter presses and other filtering equipment); parts thereof </t>
  </si>
  <si>
    <t xml:space="preserve">Presses, crushers and similar machinery used in the manufacture of wine, cider, fruit juices or similar beverages (excl. machinery for the treatment of these beverages, incl. centrifuges, filter presses, other filtering equipment and domestic appliances); parts thereof </t>
  </si>
  <si>
    <t xml:space="preserve">Typewriters and word-processing machines (excluding automatic data-processing machines and units thereof of heading 8443 and laser, thermal and electrosensitive printers) </t>
  </si>
  <si>
    <t xml:space="preserve">Calculating machines and pocket-size "dimensions &lt;= 170 mm x 100 mm x 45 mm"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 </t>
  </si>
  <si>
    <t>2016</t>
  </si>
  <si>
    <t>2017</t>
  </si>
  <si>
    <t>2018</t>
  </si>
  <si>
    <t>2019</t>
  </si>
  <si>
    <t>2020</t>
  </si>
  <si>
    <t>2021</t>
  </si>
  <si>
    <t>2022</t>
  </si>
  <si>
    <t>2023</t>
  </si>
  <si>
    <t>2024</t>
  </si>
  <si>
    <t>2025</t>
  </si>
  <si>
    <t>Product Description</t>
  </si>
  <si>
    <t>HS6 Code</t>
  </si>
  <si>
    <r>
      <t xml:space="preserve">Share in India's imports </t>
    </r>
    <r>
      <rPr>
        <sz val="11"/>
        <color rgb="FF002B54"/>
        <rFont val="Arial"/>
        <family val="2"/>
      </rPr>
      <t>(%)</t>
    </r>
  </si>
  <si>
    <r>
      <t xml:space="preserve">Annual growth in import (2021-2025) </t>
    </r>
    <r>
      <rPr>
        <sz val="11"/>
        <color rgb="FF002B54"/>
        <rFont val="Arial"/>
        <family val="2"/>
      </rPr>
      <t>(%)</t>
    </r>
  </si>
  <si>
    <t>Product Descripton</t>
  </si>
  <si>
    <t>Import Value (USD Thousands)</t>
  </si>
  <si>
    <r>
      <t xml:space="preserve">Share in India's exports </t>
    </r>
    <r>
      <rPr>
        <sz val="11"/>
        <color rgb="FF002B54"/>
        <rFont val="Arial"/>
        <family val="2"/>
      </rPr>
      <t>(%)</t>
    </r>
  </si>
  <si>
    <r>
      <t xml:space="preserve">Annual growth in export (2021-2025) </t>
    </r>
    <r>
      <rPr>
        <sz val="11"/>
        <color rgb="FF002B54"/>
        <rFont val="Arial"/>
        <family val="2"/>
      </rPr>
      <t>(%)</t>
    </r>
  </si>
  <si>
    <t>HS6 code</t>
  </si>
  <si>
    <t>Export Value (USD Thousands)</t>
  </si>
  <si>
    <t>Quantity</t>
  </si>
  <si>
    <t>Units</t>
  </si>
  <si>
    <t>Tons</t>
  </si>
  <si>
    <t>Meters</t>
  </si>
  <si>
    <t>square</t>
  </si>
  <si>
    <t>Mixed</t>
  </si>
  <si>
    <t>No</t>
  </si>
  <si>
    <t>Thousands</t>
  </si>
  <si>
    <t>Unit Valure</t>
  </si>
  <si>
    <t>0.69</t>
  </si>
  <si>
    <t> Units</t>
  </si>
  <si>
    <t>0.04</t>
  </si>
  <si>
    <t>0.13</t>
  </si>
  <si>
    <t>39,743.08</t>
  </si>
  <si>
    <t> Tons</t>
  </si>
  <si>
    <t>0</t>
  </si>
  <si>
    <t>10.75</t>
  </si>
  <si>
    <t>89.55</t>
  </si>
  <si>
    <t>288.73</t>
  </si>
  <si>
    <t> 1000 meters</t>
  </si>
  <si>
    <t>0.37</t>
  </si>
  <si>
    <t>29,587.93</t>
  </si>
  <si>
    <t>0.01</t>
  </si>
  <si>
    <t>25.92</t>
  </si>
  <si>
    <t>0.49</t>
  </si>
  <si>
    <t>27,480.08</t>
  </si>
  <si>
    <t>2.15</t>
  </si>
  <si>
    <t>2,569.98</t>
  </si>
  <si>
    <t>5,134.8</t>
  </si>
  <si>
    <t>435.93</t>
  </si>
  <si>
    <t>0.23</t>
  </si>
  <si>
    <t>19,210.08</t>
  </si>
  <si>
    <t>2.92</t>
  </si>
  <si>
    <t>0.22</t>
  </si>
  <si>
    <t>414.47</t>
  </si>
  <si>
    <t>287.29</t>
  </si>
  <si>
    <t>1,223.79</t>
  </si>
  <si>
    <t>4.25</t>
  </si>
  <si>
    <t>29,500</t>
  </si>
  <si>
    <t>102.69</t>
  </si>
  <si>
    <t>939.83</t>
  </si>
  <si>
    <t>1,959.05</t>
  </si>
  <si>
    <t>11,392.34</t>
  </si>
  <si>
    <t>2,188.18</t>
  </si>
  <si>
    <t>1,811.6</t>
  </si>
  <si>
    <t>17,481.07</t>
  </si>
  <si>
    <t>4,230.31</t>
  </si>
  <si>
    <t>1,396.08</t>
  </si>
  <si>
    <t>14,219.46</t>
  </si>
  <si>
    <t>5,097.62</t>
  </si>
  <si>
    <t>3,437.6</t>
  </si>
  <si>
    <t>3,487.19</t>
  </si>
  <si>
    <t>1,521.9</t>
  </si>
  <si>
    <t>7,265.54</t>
  </si>
  <si>
    <t>6,979.74</t>
  </si>
  <si>
    <t>10,259.44</t>
  </si>
  <si>
    <t>29,405.26</t>
  </si>
  <si>
    <t>13,422.02</t>
  </si>
  <si>
    <t>114,115.38</t>
  </si>
  <si>
    <t>26,240.96</t>
  </si>
  <si>
    <t>5,714.29</t>
  </si>
  <si>
    <t>3,528.46</t>
  </si>
  <si>
    <t>32,428.57</t>
  </si>
  <si>
    <t>28,500</t>
  </si>
  <si>
    <t>12,250</t>
  </si>
  <si>
    <t>488.89</t>
  </si>
  <si>
    <t>44,001.93</t>
  </si>
  <si>
    <t>27,515.74</t>
  </si>
  <si>
    <t>33,005.95</t>
  </si>
  <si>
    <t>15,721.72</t>
  </si>
  <si>
    <t>16,838.58</t>
  </si>
  <si>
    <t>20,939.02</t>
  </si>
  <si>
    <t>29,600</t>
  </si>
  <si>
    <t>1,272.73</t>
  </si>
  <si>
    <t>1,555.56</t>
  </si>
  <si>
    <t>38,224.6</t>
  </si>
  <si>
    <t>3,070.81</t>
  </si>
  <si>
    <t>2,035.23</t>
  </si>
  <si>
    <t>7,392.98</t>
  </si>
  <si>
    <t>9,381.82</t>
  </si>
  <si>
    <t>8,176.47</t>
  </si>
  <si>
    <t>11,333.33</t>
  </si>
  <si>
    <t>282.61</t>
  </si>
  <si>
    <t>10,000</t>
  </si>
  <si>
    <t>2,500</t>
  </si>
  <si>
    <t> Thousands</t>
  </si>
  <si>
    <t>7,293.48</t>
  </si>
  <si>
    <t>2,067.82</t>
  </si>
  <si>
    <t>4,568.44</t>
  </si>
  <si>
    <t>3,943.6</t>
  </si>
  <si>
    <t>17,282.41</t>
  </si>
  <si>
    <t>14,311.88</t>
  </si>
  <si>
    <t>10,244.8</t>
  </si>
  <si>
    <t>16.14</t>
  </si>
  <si>
    <t>4,525.02</t>
  </si>
  <si>
    <t>4,816.09</t>
  </si>
  <si>
    <t>15,844.11</t>
  </si>
  <si>
    <t>1,969.15</t>
  </si>
  <si>
    <t>94,583.33</t>
  </si>
  <si>
    <t>8,295.08</t>
  </si>
  <si>
    <t>1,326.09</t>
  </si>
  <si>
    <t>9,697.67</t>
  </si>
  <si>
    <t>8,900</t>
  </si>
  <si>
    <t>92.02</t>
  </si>
  <si>
    <t>6.06</t>
  </si>
  <si>
    <t>16.67</t>
  </si>
  <si>
    <t>9,711.76</t>
  </si>
  <si>
    <t>10,564.3</t>
  </si>
  <si>
    <t>12,619.59</t>
  </si>
  <si>
    <t>11,144.07</t>
  </si>
  <si>
    <t>11,921.25</t>
  </si>
  <si>
    <t>7,674.66</t>
  </si>
  <si>
    <t>8,952.38</t>
  </si>
  <si>
    <t>17,471.43</t>
  </si>
  <si>
    <t>57,950</t>
  </si>
  <si>
    <t>17,818.18</t>
  </si>
  <si>
    <t>12,150.44</t>
  </si>
  <si>
    <t>16,095.89</t>
  </si>
  <si>
    <t>23,903.23</t>
  </si>
  <si>
    <t>50,000</t>
  </si>
  <si>
    <t>9,000</t>
  </si>
  <si>
    <t>2,285.85</t>
  </si>
  <si>
    <t>6,397.32</t>
  </si>
  <si>
    <t>21,347.22</t>
  </si>
  <si>
    <t>19,811.11</t>
  </si>
  <si>
    <t>7,651.96</t>
  </si>
  <si>
    <t>5,230.39</t>
  </si>
  <si>
    <t>10,658.54</t>
  </si>
  <si>
    <t>26,750</t>
  </si>
  <si>
    <t>5,324.56</t>
  </si>
  <si>
    <t>37,333.33</t>
  </si>
  <si>
    <t>9,555.56</t>
  </si>
  <si>
    <t>2,809.52</t>
  </si>
  <si>
    <t>200</t>
  </si>
  <si>
    <t>16,804.17</t>
  </si>
  <si>
    <t>0.11</t>
  </si>
  <si>
    <t>16,539.6</t>
  </si>
  <si>
    <t>48,923.08</t>
  </si>
  <si>
    <t>44,615.38</t>
  </si>
  <si>
    <t>79,250</t>
  </si>
  <si>
    <t>88,000</t>
  </si>
  <si>
    <t>7,923.08</t>
  </si>
  <si>
    <t>14,142.86</t>
  </si>
  <si>
    <t>26,000</t>
  </si>
  <si>
    <t>7,876.4</t>
  </si>
  <si>
    <t>14.7</t>
  </si>
  <si>
    <t>11,662.86</t>
  </si>
  <si>
    <t>31,518.09</t>
  </si>
  <si>
    <t>10.31</t>
  </si>
  <si>
    <t>35,740.96</t>
  </si>
  <si>
    <t>14.3</t>
  </si>
  <si>
    <t>1.54</t>
  </si>
  <si>
    <t>823.66</t>
  </si>
  <si>
    <t>46,461.18</t>
  </si>
  <si>
    <t>4,754.19</t>
  </si>
  <si>
    <t>42,992.12</t>
  </si>
  <si>
    <t>13,812.48</t>
  </si>
  <si>
    <t>4,030.32</t>
  </si>
  <si>
    <t>10.06</t>
  </si>
  <si>
    <t>123,490.42</t>
  </si>
  <si>
    <t>9,342.92</t>
  </si>
  <si>
    <t>491.94</t>
  </si>
  <si>
    <t>9,745.12</t>
  </si>
  <si>
    <t>28,891.03</t>
  </si>
  <si>
    <t>12,996.81</t>
  </si>
  <si>
    <t>31,497.16</t>
  </si>
  <si>
    <t>1,578.77</t>
  </si>
  <si>
    <t>44,508.82</t>
  </si>
  <si>
    <t>208,924.53</t>
  </si>
  <si>
    <t>249.07</t>
  </si>
  <si>
    <t>2,312.17</t>
  </si>
  <si>
    <t>19,346.73</t>
  </si>
  <si>
    <t>295.58</t>
  </si>
  <si>
    <t>105,848.48</t>
  </si>
  <si>
    <t>25,844.83</t>
  </si>
  <si>
    <t>857.37</t>
  </si>
  <si>
    <t>41.35</t>
  </si>
  <si>
    <t>7.29</t>
  </si>
  <si>
    <t>44,111.11</t>
  </si>
  <si>
    <t>34,500</t>
  </si>
  <si>
    <t>1,863.64</t>
  </si>
  <si>
    <t>Unit Value</t>
  </si>
  <si>
    <t/>
  </si>
  <si>
    <t>430.61</t>
  </si>
  <si>
    <t>877.39</t>
  </si>
  <si>
    <t>1000 meters</t>
  </si>
  <si>
    <t>495.26</t>
  </si>
  <si>
    <t>138.75</t>
  </si>
  <si>
    <t>101.49</t>
  </si>
  <si>
    <t>3,338.35</t>
  </si>
  <si>
    <t>105,368.06</t>
  </si>
  <si>
    <t>15.19</t>
  </si>
  <si>
    <t>26,815.38</t>
  </si>
  <si>
    <t>26,166.67</t>
  </si>
  <si>
    <t>9,600</t>
  </si>
  <si>
    <t>3,500</t>
  </si>
  <si>
    <t>3,000</t>
  </si>
  <si>
    <t>4,916.96</t>
  </si>
  <si>
    <t>20,029.8</t>
  </si>
  <si>
    <t>9,744.98</t>
  </si>
  <si>
    <t>3,044</t>
  </si>
  <si>
    <t>3,906.94</t>
  </si>
  <si>
    <t>1,004.83</t>
  </si>
  <si>
    <t>30,965.91</t>
  </si>
  <si>
    <t>2,572.64</t>
  </si>
  <si>
    <t>3,803.28</t>
  </si>
  <si>
    <t>1,138.55</t>
  </si>
  <si>
    <t>6,639.64</t>
  </si>
  <si>
    <t>5,318.84</t>
  </si>
  <si>
    <t>7,734.94</t>
  </si>
  <si>
    <t>2,400</t>
  </si>
  <si>
    <t>4,910.89</t>
  </si>
  <si>
    <t>11,135.14</t>
  </si>
  <si>
    <t>3,645.16</t>
  </si>
  <si>
    <t>2,534.48</t>
  </si>
  <si>
    <t>21,076.92</t>
  </si>
  <si>
    <t>2,515.79</t>
  </si>
  <si>
    <t>2,083.33</t>
  </si>
  <si>
    <t>2,678.57</t>
  </si>
  <si>
    <t>8,000</t>
  </si>
  <si>
    <t>900.09</t>
  </si>
  <si>
    <t>151,222.22</t>
  </si>
  <si>
    <t>902.62</t>
  </si>
  <si>
    <t>3,947.12</t>
  </si>
  <si>
    <t>7,267.33</t>
  </si>
  <si>
    <t>20,421.05</t>
  </si>
  <si>
    <t>1,277.53</t>
  </si>
  <si>
    <t>347.43</t>
  </si>
  <si>
    <t>4,717.73</t>
  </si>
  <si>
    <t>2,834.74</t>
  </si>
  <si>
    <t>2,993.59</t>
  </si>
  <si>
    <t>1000 square meters</t>
  </si>
  <si>
    <t>5,088.61</t>
  </si>
  <si>
    <t>6,272.73</t>
  </si>
  <si>
    <t>22,000</t>
  </si>
  <si>
    <t>5,166.67</t>
  </si>
  <si>
    <t>5,500</t>
  </si>
  <si>
    <t>2,373.9</t>
  </si>
  <si>
    <t>88.72</t>
  </si>
  <si>
    <t>3,287</t>
  </si>
  <si>
    <t>1.31</t>
  </si>
  <si>
    <t>1,693.1</t>
  </si>
  <si>
    <t>49,619.05</t>
  </si>
  <si>
    <t>8,878.64</t>
  </si>
  <si>
    <t>3,688.17</t>
  </si>
  <si>
    <t>7,012.5</t>
  </si>
  <si>
    <t>21,555.56</t>
  </si>
  <si>
    <t>3,575</t>
  </si>
  <si>
    <t>29,125</t>
  </si>
  <si>
    <t>12,111.11</t>
  </si>
  <si>
    <t>2,860.47</t>
  </si>
  <si>
    <t>29,000</t>
  </si>
  <si>
    <t>3.82</t>
  </si>
  <si>
    <t>7,078.2</t>
  </si>
  <si>
    <t>25,032.26</t>
  </si>
  <si>
    <t>9,575.76</t>
  </si>
  <si>
    <t>13,277.78</t>
  </si>
  <si>
    <t>7,533.33</t>
  </si>
  <si>
    <t>35,000</t>
  </si>
  <si>
    <t>9,714.29</t>
  </si>
  <si>
    <t>21,000</t>
  </si>
  <si>
    <t>62,000</t>
  </si>
  <si>
    <t>13,000</t>
  </si>
  <si>
    <t>7,000</t>
  </si>
  <si>
    <t>2,650.26</t>
  </si>
  <si>
    <t>36,987.65</t>
  </si>
  <si>
    <t>3,944.92</t>
  </si>
  <si>
    <t>2,666.23</t>
  </si>
  <si>
    <t>3,490.45</t>
  </si>
  <si>
    <t>3,769.23</t>
  </si>
  <si>
    <t>5,580.65</t>
  </si>
  <si>
    <t>53,500</t>
  </si>
  <si>
    <t>12,333.33</t>
  </si>
  <si>
    <t>4,166.67</t>
  </si>
  <si>
    <t>2.78</t>
  </si>
  <si>
    <t>8,863.16</t>
  </si>
  <si>
    <t>16,809.52</t>
  </si>
  <si>
    <t>18,416.67</t>
  </si>
  <si>
    <t>32,166.67</t>
  </si>
  <si>
    <t>4,142.86</t>
  </si>
  <si>
    <t>1,851.85</t>
  </si>
  <si>
    <t>2,000</t>
  </si>
  <si>
    <t>11,256,482.76</t>
  </si>
  <si>
    <t>8,254.39</t>
  </si>
  <si>
    <t>25,609.88</t>
  </si>
  <si>
    <t>3,983.7</t>
  </si>
  <si>
    <t>2,685.16</t>
  </si>
  <si>
    <t>6.78</t>
  </si>
  <si>
    <t>37,717.65</t>
  </si>
  <si>
    <t>11,970.67</t>
  </si>
  <si>
    <t>56.51</t>
  </si>
  <si>
    <t>277,500</t>
  </si>
  <si>
    <t>134,818.18</t>
  </si>
  <si>
    <t>6,522.73</t>
  </si>
  <si>
    <t>11,075</t>
  </si>
  <si>
    <t>207,333.33</t>
  </si>
  <si>
    <t>18,967.74</t>
  </si>
  <si>
    <t>8,100</t>
  </si>
  <si>
    <t>5,046.05</t>
  </si>
  <si>
    <t>2.7</t>
  </si>
  <si>
    <t>12,307.69</t>
  </si>
  <si>
    <t>149,000</t>
  </si>
  <si>
    <t>17,000</t>
  </si>
  <si>
    <t>11,222.22</t>
  </si>
  <si>
    <t>20,666.67</t>
  </si>
  <si>
    <t>14,500</t>
  </si>
  <si>
    <t>Units2</t>
  </si>
  <si>
    <t>8453</t>
  </si>
  <si>
    <t>Values</t>
  </si>
  <si>
    <t>16</t>
  </si>
  <si>
    <t>17</t>
  </si>
  <si>
    <t>18</t>
  </si>
  <si>
    <t>19</t>
  </si>
  <si>
    <t>20</t>
  </si>
  <si>
    <t>21</t>
  </si>
  <si>
    <t>22</t>
  </si>
  <si>
    <t>23</t>
  </si>
  <si>
    <t>24</t>
  </si>
  <si>
    <t>Year</t>
  </si>
  <si>
    <t>Imports</t>
  </si>
  <si>
    <t>Exports</t>
  </si>
  <si>
    <t>Trade Balance</t>
  </si>
  <si>
    <t>Row Labels</t>
  </si>
  <si>
    <t>Grand Total</t>
  </si>
  <si>
    <t>HS Chapter</t>
  </si>
  <si>
    <t>Business Function</t>
  </si>
  <si>
    <t>Decorative Materials</t>
  </si>
  <si>
    <t>Electrical</t>
  </si>
  <si>
    <t>Hardware</t>
  </si>
  <si>
    <t>Kitchen Fittings</t>
  </si>
  <si>
    <t>Plastics</t>
  </si>
  <si>
    <t>Sanitary</t>
  </si>
  <si>
    <t xml:space="preserve"> Annual growth in import (2021-2025) (%)</t>
  </si>
  <si>
    <t>Annual growth in export (2021-2025) (%</t>
  </si>
  <si>
    <t>Year-wise Import Trend Analysis</t>
  </si>
  <si>
    <t>Key Findings</t>
  </si>
  <si>
    <t>Business Interpretation</t>
  </si>
  <si>
    <r>
      <rPr>
        <b/>
        <i/>
        <sz val="18"/>
        <rFont val="Calibri"/>
        <family val="2"/>
        <scheme val="minor"/>
      </rPr>
      <t>Business Question</t>
    </r>
    <r>
      <rPr>
        <b/>
        <i/>
        <sz val="11"/>
        <rFont val="Calibri"/>
        <family val="2"/>
        <scheme val="minor"/>
      </rPr>
      <t xml:space="preserve">
</t>
    </r>
    <r>
      <rPr>
        <b/>
        <i/>
        <sz val="14"/>
        <rFont val="Calibri"/>
        <family val="2"/>
        <scheme val="minor"/>
      </rPr>
      <t>How have India's imports from Japan changed over the years?</t>
    </r>
  </si>
  <si>
    <t>Year (20XX)</t>
  </si>
  <si>
    <t>#RAW DATA</t>
  </si>
  <si>
    <t>Year-wise Export Trend Analysis</t>
  </si>
  <si>
    <r>
      <rPr>
        <b/>
        <i/>
        <sz val="18"/>
        <color theme="1"/>
        <rFont val="Calibri"/>
        <family val="2"/>
        <scheme val="minor"/>
      </rPr>
      <t>Business Question</t>
    </r>
    <r>
      <rPr>
        <b/>
        <i/>
        <sz val="14"/>
        <color theme="1"/>
        <rFont val="Calibri"/>
        <family val="2"/>
        <scheme val="minor"/>
      </rPr>
      <t xml:space="preserve">
How have India's exports to Japan changed over the years?</t>
    </r>
  </si>
  <si>
    <t>Metric</t>
  </si>
  <si>
    <t>Overall Growth</t>
  </si>
  <si>
    <t>Highest Year</t>
  </si>
  <si>
    <r>
      <rPr>
        <b/>
        <sz val="12"/>
        <color theme="1"/>
        <rFont val="Calibri"/>
        <family val="2"/>
        <scheme val="minor"/>
      </rPr>
      <t>*</t>
    </r>
    <r>
      <rPr>
        <sz val="12"/>
        <color theme="1"/>
        <rFont val="Calibri"/>
        <family val="2"/>
        <scheme val="minor"/>
      </rPr>
      <t xml:space="preserve"> </t>
    </r>
    <r>
      <rPr>
        <b/>
        <sz val="12"/>
        <color theme="1"/>
        <rFont val="Calibri"/>
        <family val="2"/>
        <scheme val="minor"/>
      </rPr>
      <t>Imports are significantly larger</t>
    </r>
    <r>
      <rPr>
        <sz val="12"/>
        <color theme="1"/>
        <rFont val="Calibri"/>
        <family val="2"/>
        <scheme val="minor"/>
      </rPr>
      <t xml:space="preserve"> than exports in absolute value.
</t>
    </r>
    <r>
      <rPr>
        <b/>
        <sz val="12"/>
        <color theme="1"/>
        <rFont val="Calibri"/>
        <family val="2"/>
        <scheme val="minor"/>
      </rPr>
      <t>*</t>
    </r>
    <r>
      <rPr>
        <sz val="12"/>
        <color theme="1"/>
        <rFont val="Calibri"/>
        <family val="2"/>
        <scheme val="minor"/>
      </rPr>
      <t xml:space="preserve"> </t>
    </r>
    <r>
      <rPr>
        <b/>
        <sz val="12"/>
        <color theme="1"/>
        <rFont val="Calibri"/>
        <family val="2"/>
        <scheme val="minor"/>
      </rPr>
      <t>Exports are growing at a much faster rate</t>
    </r>
    <r>
      <rPr>
        <sz val="12"/>
        <color theme="1"/>
        <rFont val="Calibri"/>
        <family val="2"/>
        <scheme val="minor"/>
      </rPr>
      <t xml:space="preserve">, although from a much smaller base.
</t>
    </r>
    <r>
      <rPr>
        <b/>
        <sz val="12"/>
        <color theme="1"/>
        <rFont val="Calibri"/>
        <family val="2"/>
        <scheme val="minor"/>
      </rPr>
      <t>*</t>
    </r>
    <r>
      <rPr>
        <sz val="12"/>
        <color theme="1"/>
        <rFont val="Calibri"/>
        <family val="2"/>
        <scheme val="minor"/>
      </rPr>
      <t xml:space="preserve"> Both imports and exports experienced a temporary decline during the pandemic and     recovered strongly afterward.
</t>
    </r>
    <r>
      <rPr>
        <b/>
        <sz val="12"/>
        <color theme="1"/>
        <rFont val="Calibri"/>
        <family val="2"/>
        <scheme val="minor"/>
      </rPr>
      <t>*</t>
    </r>
    <r>
      <rPr>
        <sz val="12"/>
        <color theme="1"/>
        <rFont val="Calibri"/>
        <family val="2"/>
        <scheme val="minor"/>
      </rPr>
      <t xml:space="preserve"> This suggests that while India currently imports much more from Japan than it   exports, exports are gaining momentum and may present emerging opportunities.</t>
    </r>
  </si>
  <si>
    <r>
      <rPr>
        <b/>
        <sz val="12"/>
        <color theme="1"/>
        <rFont val="Calibri"/>
        <family val="2"/>
        <scheme val="minor"/>
      </rPr>
      <t>*</t>
    </r>
    <r>
      <rPr>
        <sz val="12"/>
        <color theme="1"/>
        <rFont val="Calibri"/>
        <family val="2"/>
        <scheme val="minor"/>
      </rPr>
      <t xml:space="preserve"> Exports increased from </t>
    </r>
    <r>
      <rPr>
        <b/>
        <sz val="12"/>
        <color theme="1"/>
        <rFont val="Calibri"/>
        <family val="2"/>
        <scheme val="minor"/>
      </rPr>
      <t>508.34 million USD (2016)</t>
    </r>
    <r>
      <rPr>
        <sz val="12"/>
        <color theme="1"/>
        <rFont val="Calibri"/>
        <family val="2"/>
        <scheme val="minor"/>
      </rPr>
      <t xml:space="preserve"> to </t>
    </r>
    <r>
      <rPr>
        <b/>
        <sz val="12"/>
        <color theme="1"/>
        <rFont val="Calibri"/>
        <family val="2"/>
        <scheme val="minor"/>
      </rPr>
      <t>1,564.85 million USD (2024</t>
    </r>
    <r>
      <rPr>
        <sz val="12"/>
        <color theme="1"/>
        <rFont val="Calibri"/>
        <family val="2"/>
        <scheme val="minor"/>
      </rPr>
      <t xml:space="preserve">).
</t>
    </r>
    <r>
      <rPr>
        <b/>
        <sz val="12"/>
        <color theme="1"/>
        <rFont val="Calibri"/>
        <family val="2"/>
        <scheme val="minor"/>
      </rPr>
      <t>*</t>
    </r>
    <r>
      <rPr>
        <sz val="12"/>
        <color theme="1"/>
        <rFont val="Calibri"/>
        <family val="2"/>
        <scheme val="minor"/>
      </rPr>
      <t xml:space="preserve"> Overall, exports grew by approximately </t>
    </r>
    <r>
      <rPr>
        <b/>
        <sz val="12"/>
        <color theme="1"/>
        <rFont val="Calibri"/>
        <family val="2"/>
        <scheme val="minor"/>
      </rPr>
      <t>208%</t>
    </r>
    <r>
      <rPr>
        <sz val="12"/>
        <color theme="1"/>
        <rFont val="Calibri"/>
        <family val="2"/>
        <scheme val="minor"/>
      </rPr>
      <t xml:space="preserve"> during the study period.
</t>
    </r>
    <r>
      <rPr>
        <b/>
        <sz val="12"/>
        <color theme="1"/>
        <rFont val="Calibri"/>
        <family val="2"/>
        <scheme val="minor"/>
      </rPr>
      <t>*</t>
    </r>
    <r>
      <rPr>
        <sz val="12"/>
        <color theme="1"/>
        <rFont val="Calibri"/>
        <family val="2"/>
        <scheme val="minor"/>
      </rPr>
      <t xml:space="preserve"> Exports declined in </t>
    </r>
    <r>
      <rPr>
        <b/>
        <sz val="12"/>
        <color theme="1"/>
        <rFont val="Calibri"/>
        <family val="2"/>
        <scheme val="minor"/>
      </rPr>
      <t>2019</t>
    </r>
    <r>
      <rPr>
        <sz val="12"/>
        <color theme="1"/>
        <rFont val="Calibri"/>
        <family val="2"/>
        <scheme val="minor"/>
      </rPr>
      <t xml:space="preserve"> and </t>
    </r>
    <r>
      <rPr>
        <b/>
        <sz val="12"/>
        <color theme="1"/>
        <rFont val="Calibri"/>
        <family val="2"/>
        <scheme val="minor"/>
      </rPr>
      <t>2020</t>
    </r>
    <r>
      <rPr>
        <sz val="12"/>
        <color theme="1"/>
        <rFont val="Calibri"/>
        <family val="2"/>
        <scheme val="minor"/>
      </rPr>
      <t xml:space="preserve">, likely due to global trade disruptions during the COVID-19 period.
</t>
    </r>
    <r>
      <rPr>
        <b/>
        <sz val="12"/>
        <color theme="1"/>
        <rFont val="Calibri"/>
        <family val="2"/>
        <scheme val="minor"/>
      </rPr>
      <t>*</t>
    </r>
    <r>
      <rPr>
        <sz val="12"/>
        <color theme="1"/>
        <rFont val="Calibri"/>
        <family val="2"/>
        <scheme val="minor"/>
      </rPr>
      <t xml:space="preserve"> A strong recovery began in </t>
    </r>
    <r>
      <rPr>
        <b/>
        <sz val="12"/>
        <color theme="1"/>
        <rFont val="Calibri"/>
        <family val="2"/>
        <scheme val="minor"/>
      </rPr>
      <t>2021</t>
    </r>
    <r>
      <rPr>
        <sz val="12"/>
        <color theme="1"/>
        <rFont val="Calibri"/>
        <family val="2"/>
        <scheme val="minor"/>
      </rPr>
      <t xml:space="preserve">, followed by steady growth through </t>
    </r>
    <r>
      <rPr>
        <b/>
        <sz val="12"/>
        <color theme="1"/>
        <rFont val="Calibri"/>
        <family val="2"/>
        <scheme val="minor"/>
      </rPr>
      <t>2024</t>
    </r>
    <r>
      <rPr>
        <sz val="12"/>
        <color theme="1"/>
        <rFont val="Calibri"/>
        <family val="2"/>
        <scheme val="minor"/>
      </rPr>
      <t xml:space="preserve">.
</t>
    </r>
    <r>
      <rPr>
        <b/>
        <sz val="12"/>
        <color theme="1"/>
        <rFont val="Calibri"/>
        <family val="2"/>
        <scheme val="minor"/>
      </rPr>
      <t>*</t>
    </r>
    <r>
      <rPr>
        <sz val="12"/>
        <color theme="1"/>
        <rFont val="Calibri"/>
        <family val="2"/>
        <scheme val="minor"/>
      </rPr>
      <t xml:space="preserve"> </t>
    </r>
    <r>
      <rPr>
        <b/>
        <sz val="12"/>
        <color theme="1"/>
        <rFont val="Calibri"/>
        <family val="2"/>
        <scheme val="minor"/>
      </rPr>
      <t>2024 recorded the highest export value</t>
    </r>
    <r>
      <rPr>
        <sz val="12"/>
        <color theme="1"/>
        <rFont val="Calibri"/>
        <family val="2"/>
        <scheme val="minor"/>
      </rPr>
      <t xml:space="preserve"> in the dataset.</t>
    </r>
  </si>
  <si>
    <t># RAW DATA</t>
  </si>
  <si>
    <r>
      <rPr>
        <b/>
        <sz val="14"/>
        <color theme="1"/>
        <rFont val="Calibri"/>
        <family val="2"/>
        <scheme val="minor"/>
      </rPr>
      <t>*</t>
    </r>
    <r>
      <rPr>
        <sz val="14"/>
        <color theme="1"/>
        <rFont val="Calibri"/>
        <family val="2"/>
        <scheme val="minor"/>
      </rPr>
      <t xml:space="preserve"> Imports increased from </t>
    </r>
    <r>
      <rPr>
        <b/>
        <sz val="14"/>
        <color theme="1"/>
        <rFont val="Calibri"/>
        <family val="2"/>
        <scheme val="minor"/>
      </rPr>
      <t>5,174.04 million USD (2016)</t>
    </r>
    <r>
      <rPr>
        <sz val="14"/>
        <color theme="1"/>
        <rFont val="Calibri"/>
        <family val="2"/>
        <scheme val="minor"/>
      </rPr>
      <t xml:space="preserve"> to</t>
    </r>
    <r>
      <rPr>
        <b/>
        <sz val="14"/>
        <color theme="1"/>
        <rFont val="Calibri"/>
        <family val="2"/>
        <scheme val="minor"/>
      </rPr>
      <t xml:space="preserve"> 9,135.08 million USD (2024)</t>
    </r>
    <r>
      <rPr>
        <sz val="14"/>
        <color theme="1"/>
        <rFont val="Calibri"/>
        <family val="2"/>
        <scheme val="minor"/>
      </rPr>
      <t xml:space="preserve">.
</t>
    </r>
    <r>
      <rPr>
        <b/>
        <sz val="14"/>
        <color theme="1"/>
        <rFont val="Calibri"/>
        <family val="2"/>
        <scheme val="minor"/>
      </rPr>
      <t>*</t>
    </r>
    <r>
      <rPr>
        <sz val="14"/>
        <color theme="1"/>
        <rFont val="Calibri"/>
        <family val="2"/>
        <scheme val="minor"/>
      </rPr>
      <t xml:space="preserve"> Overall, imports grew by approximately </t>
    </r>
    <r>
      <rPr>
        <b/>
        <sz val="14"/>
        <color theme="1"/>
        <rFont val="Calibri"/>
        <family val="2"/>
        <scheme val="minor"/>
      </rPr>
      <t>76.6%</t>
    </r>
    <r>
      <rPr>
        <sz val="14"/>
        <color theme="1"/>
        <rFont val="Calibri"/>
        <family val="2"/>
        <scheme val="minor"/>
      </rPr>
      <t xml:space="preserve"> over the nine-year period.
</t>
    </r>
    <r>
      <rPr>
        <b/>
        <sz val="14"/>
        <color theme="1"/>
        <rFont val="Calibri"/>
        <family val="2"/>
        <scheme val="minor"/>
      </rPr>
      <t>*</t>
    </r>
    <r>
      <rPr>
        <sz val="14"/>
        <color theme="1"/>
        <rFont val="Calibri"/>
        <family val="2"/>
        <scheme val="minor"/>
      </rPr>
      <t xml:space="preserve"> There was a noticeable decline in </t>
    </r>
    <r>
      <rPr>
        <b/>
        <sz val="14"/>
        <color theme="1"/>
        <rFont val="Calibri"/>
        <family val="2"/>
        <scheme val="minor"/>
      </rPr>
      <t>2020</t>
    </r>
    <r>
      <rPr>
        <sz val="14"/>
        <color theme="1"/>
        <rFont val="Calibri"/>
        <family val="2"/>
        <scheme val="minor"/>
      </rPr>
      <t xml:space="preserve"> </t>
    </r>
    <r>
      <rPr>
        <i/>
        <sz val="14"/>
        <color theme="1"/>
        <rFont val="Calibri"/>
        <family val="2"/>
        <scheme val="minor"/>
      </rPr>
      <t>(5,134.48 million USD),</t>
    </r>
    <r>
      <rPr>
        <sz val="14"/>
        <color theme="1"/>
        <rFont val="Calibri"/>
        <family val="2"/>
        <scheme val="minor"/>
      </rPr>
      <t xml:space="preserve"> likely reflecting the global impact of the COVID-19 pandemic.
</t>
    </r>
    <r>
      <rPr>
        <b/>
        <sz val="14"/>
        <color theme="1"/>
        <rFont val="Calibri"/>
        <family val="2"/>
        <scheme val="minor"/>
      </rPr>
      <t>*</t>
    </r>
    <r>
      <rPr>
        <sz val="14"/>
        <color theme="1"/>
        <rFont val="Calibri"/>
        <family val="2"/>
        <scheme val="minor"/>
      </rPr>
      <t xml:space="preserve"> Imports recovered strongly in</t>
    </r>
    <r>
      <rPr>
        <b/>
        <sz val="14"/>
        <color theme="1"/>
        <rFont val="Calibri"/>
        <family val="2"/>
        <scheme val="minor"/>
      </rPr>
      <t xml:space="preserve"> 2021</t>
    </r>
    <r>
      <rPr>
        <sz val="14"/>
        <color theme="1"/>
        <rFont val="Calibri"/>
        <family val="2"/>
        <scheme val="minor"/>
      </rPr>
      <t xml:space="preserve"> and continued to rise through </t>
    </r>
    <r>
      <rPr>
        <b/>
        <sz val="14"/>
        <color theme="1"/>
        <rFont val="Calibri"/>
        <family val="2"/>
        <scheme val="minor"/>
      </rPr>
      <t>2024</t>
    </r>
    <r>
      <rPr>
        <sz val="14"/>
        <color theme="1"/>
        <rFont val="Calibri"/>
        <family val="2"/>
        <scheme val="minor"/>
      </rPr>
      <t xml:space="preserve">.
</t>
    </r>
    <r>
      <rPr>
        <b/>
        <sz val="14"/>
        <color theme="1"/>
        <rFont val="Calibri"/>
        <family val="2"/>
        <scheme val="minor"/>
      </rPr>
      <t>* 2024 recorded the highest import value</t>
    </r>
    <r>
      <rPr>
        <sz val="14"/>
        <color theme="1"/>
        <rFont val="Calibri"/>
        <family val="2"/>
        <scheme val="minor"/>
      </rPr>
      <t xml:space="preserve"> in the dataset.</t>
    </r>
  </si>
  <si>
    <t>The analysis indicates that India has consistently relied more on Japanese products than Japan has on Indian products. Although Indian exports to Japan have grown steadily, they have not kept pace with the much larger volume of imports.</t>
  </si>
  <si>
    <t>Trade Balance Analysis</t>
  </si>
  <si>
    <r>
      <rPr>
        <b/>
        <i/>
        <sz val="16"/>
        <color theme="1"/>
        <rFont val="Calibri"/>
        <family val="2"/>
        <scheme val="minor"/>
      </rPr>
      <t>Business Question</t>
    </r>
    <r>
      <rPr>
        <b/>
        <sz val="11"/>
        <color theme="1"/>
        <rFont val="Calibri"/>
        <family val="2"/>
        <scheme val="minor"/>
      </rPr>
      <t xml:space="preserve">
</t>
    </r>
    <r>
      <rPr>
        <b/>
        <i/>
        <sz val="14"/>
        <color theme="1"/>
        <rFont val="Calibri"/>
        <family val="2"/>
        <scheme val="minor"/>
      </rPr>
      <t>Has India had a trade surplus or trade deficit with Japan over the years?</t>
    </r>
  </si>
  <si>
    <r>
      <rPr>
        <b/>
        <sz val="12"/>
        <color theme="1"/>
        <rFont val="Calibri"/>
        <family val="2"/>
        <scheme val="minor"/>
      </rPr>
      <t>*</t>
    </r>
    <r>
      <rPr>
        <sz val="12"/>
        <color theme="1"/>
        <rFont val="Calibri"/>
        <family val="2"/>
        <scheme val="minor"/>
      </rPr>
      <t xml:space="preserve"> India recorded a </t>
    </r>
    <r>
      <rPr>
        <b/>
        <sz val="12"/>
        <color theme="1"/>
        <rFont val="Calibri"/>
        <family val="2"/>
        <scheme val="minor"/>
      </rPr>
      <t>trade deficit with Japan in every year</t>
    </r>
    <r>
      <rPr>
        <sz val="12"/>
        <color theme="1"/>
        <rFont val="Calibri"/>
        <family val="2"/>
        <scheme val="minor"/>
      </rPr>
      <t xml:space="preserve"> from </t>
    </r>
    <r>
      <rPr>
        <b/>
        <sz val="12"/>
        <color theme="1"/>
        <rFont val="Calibri"/>
        <family val="2"/>
        <scheme val="minor"/>
      </rPr>
      <t>2016 to 2024</t>
    </r>
    <r>
      <rPr>
        <sz val="12"/>
        <color theme="1"/>
        <rFont val="Calibri"/>
        <family val="2"/>
        <scheme val="minor"/>
      </rPr>
      <t xml:space="preserve">.
</t>
    </r>
    <r>
      <rPr>
        <b/>
        <sz val="12"/>
        <color theme="1"/>
        <rFont val="Calibri"/>
        <family val="2"/>
        <scheme val="minor"/>
      </rPr>
      <t>*</t>
    </r>
    <r>
      <rPr>
        <sz val="12"/>
        <color theme="1"/>
        <rFont val="Calibri"/>
        <family val="2"/>
        <scheme val="minor"/>
      </rPr>
      <t xml:space="preserve"> The trade balance remained </t>
    </r>
    <r>
      <rPr>
        <b/>
        <sz val="12"/>
        <color theme="1"/>
        <rFont val="Calibri"/>
        <family val="2"/>
        <scheme val="minor"/>
      </rPr>
      <t>negative throughout</t>
    </r>
    <r>
      <rPr>
        <sz val="12"/>
        <color theme="1"/>
        <rFont val="Calibri"/>
        <family val="2"/>
        <scheme val="minor"/>
      </rPr>
      <t xml:space="preserve">, meaning imports consistently exceeded exports.
</t>
    </r>
    <r>
      <rPr>
        <b/>
        <sz val="12"/>
        <color theme="1"/>
        <rFont val="Calibri"/>
        <family val="2"/>
        <scheme val="minor"/>
      </rPr>
      <t>*</t>
    </r>
    <r>
      <rPr>
        <sz val="12"/>
        <color theme="1"/>
        <rFont val="Calibri"/>
        <family val="2"/>
        <scheme val="minor"/>
      </rPr>
      <t xml:space="preserve"> The deficit improved slightly in</t>
    </r>
    <r>
      <rPr>
        <b/>
        <sz val="12"/>
        <color theme="1"/>
        <rFont val="Calibri"/>
        <family val="2"/>
        <scheme val="minor"/>
      </rPr>
      <t xml:space="preserve"> 2020</t>
    </r>
    <r>
      <rPr>
        <sz val="12"/>
        <color theme="1"/>
        <rFont val="Calibri"/>
        <family val="2"/>
        <scheme val="minor"/>
      </rPr>
      <t xml:space="preserve"> due to a larger drop in imports during the pandemic.
</t>
    </r>
    <r>
      <rPr>
        <b/>
        <sz val="12"/>
        <color theme="1"/>
        <rFont val="Calibri"/>
        <family val="2"/>
        <scheme val="minor"/>
      </rPr>
      <t>*</t>
    </r>
    <r>
      <rPr>
        <sz val="12"/>
        <color theme="1"/>
        <rFont val="Calibri"/>
        <family val="2"/>
        <scheme val="minor"/>
      </rPr>
      <t xml:space="preserve"> After 2020, the deficit widened again as imports recovered faster than exports.
</t>
    </r>
    <r>
      <rPr>
        <b/>
        <sz val="12"/>
        <color theme="1"/>
        <rFont val="Calibri"/>
        <family val="2"/>
        <scheme val="minor"/>
      </rPr>
      <t>*</t>
    </r>
    <r>
      <rPr>
        <sz val="12"/>
        <color theme="1"/>
        <rFont val="Calibri"/>
        <family val="2"/>
        <scheme val="minor"/>
      </rPr>
      <t xml:space="preserve"> The</t>
    </r>
    <r>
      <rPr>
        <b/>
        <sz val="12"/>
        <color theme="1"/>
        <rFont val="Calibri"/>
        <family val="2"/>
        <scheme val="minor"/>
      </rPr>
      <t xml:space="preserve"> largest trade deficits</t>
    </r>
    <r>
      <rPr>
        <sz val="12"/>
        <color theme="1"/>
        <rFont val="Calibri"/>
        <family val="2"/>
        <scheme val="minor"/>
      </rPr>
      <t xml:space="preserve"> occurred in </t>
    </r>
    <r>
      <rPr>
        <b/>
        <sz val="12"/>
        <color theme="1"/>
        <rFont val="Calibri"/>
        <family val="2"/>
        <scheme val="minor"/>
      </rPr>
      <t>2023</t>
    </r>
    <r>
      <rPr>
        <sz val="12"/>
        <color theme="1"/>
        <rFont val="Calibri"/>
        <family val="2"/>
        <scheme val="minor"/>
      </rPr>
      <t xml:space="preserve"> </t>
    </r>
    <r>
      <rPr>
        <i/>
        <sz val="12"/>
        <color theme="1"/>
        <rFont val="Calibri"/>
        <family val="2"/>
        <scheme val="minor"/>
      </rPr>
      <t>(-7,603.11 million USD)</t>
    </r>
    <r>
      <rPr>
        <sz val="12"/>
        <color theme="1"/>
        <rFont val="Calibri"/>
        <family val="2"/>
        <scheme val="minor"/>
      </rPr>
      <t xml:space="preserve"> and </t>
    </r>
    <r>
      <rPr>
        <b/>
        <sz val="12"/>
        <color theme="1"/>
        <rFont val="Calibri"/>
        <family val="2"/>
        <scheme val="minor"/>
      </rPr>
      <t>2024</t>
    </r>
    <r>
      <rPr>
        <sz val="12"/>
        <color theme="1"/>
        <rFont val="Calibri"/>
        <family val="2"/>
        <scheme val="minor"/>
      </rPr>
      <t xml:space="preserve"> </t>
    </r>
    <r>
      <rPr>
        <i/>
        <sz val="12"/>
        <color theme="1"/>
        <rFont val="Calibri"/>
        <family val="2"/>
        <scheme val="minor"/>
      </rPr>
      <t>(-7,570.23 million USD).</t>
    </r>
  </si>
  <si>
    <t>HS6 Product Code</t>
  </si>
  <si>
    <t>Year 2024</t>
  </si>
  <si>
    <r>
      <rPr>
        <b/>
        <i/>
        <sz val="16"/>
        <color theme="1"/>
        <rFont val="Calibri"/>
        <family val="2"/>
        <scheme val="minor"/>
      </rPr>
      <t>Business Question</t>
    </r>
    <r>
      <rPr>
        <b/>
        <i/>
        <sz val="11"/>
        <color theme="1"/>
        <rFont val="Calibri"/>
        <family val="2"/>
        <scheme val="minor"/>
      </rPr>
      <t xml:space="preserve">
</t>
    </r>
    <r>
      <rPr>
        <b/>
        <i/>
        <sz val="14"/>
        <color theme="1"/>
        <rFont val="Calibri"/>
        <family val="2"/>
        <scheme val="minor"/>
      </rPr>
      <t>Which products (HS6 Code) had the highest import value from Japan in 2024?</t>
    </r>
  </si>
  <si>
    <r>
      <rPr>
        <b/>
        <sz val="12"/>
        <color theme="1"/>
        <rFont val="Calibri"/>
        <family val="2"/>
        <scheme val="minor"/>
      </rPr>
      <t>1. Refined Copper</t>
    </r>
    <r>
      <rPr>
        <i/>
        <sz val="12"/>
        <color theme="1"/>
        <rFont val="Calibri"/>
        <family val="2"/>
        <scheme val="minor"/>
      </rPr>
      <t xml:space="preserve"> (HS 7403)</t>
    </r>
    <r>
      <rPr>
        <sz val="12"/>
        <color theme="1"/>
        <rFont val="Calibri"/>
        <family val="2"/>
        <scheme val="minor"/>
      </rPr>
      <t xml:space="preserve"> is by far the largest imported product, with an import value of </t>
    </r>
    <r>
      <rPr>
        <b/>
        <sz val="12"/>
        <color theme="1"/>
        <rFont val="Calibri"/>
        <family val="2"/>
        <scheme val="minor"/>
      </rPr>
      <t>USD 1,994.98 million</t>
    </r>
    <r>
      <rPr>
        <sz val="12"/>
        <color theme="1"/>
        <rFont val="Calibri"/>
        <family val="2"/>
        <scheme val="minor"/>
      </rPr>
      <t xml:space="preserve">, accounting for a substantial share of the top imports.
</t>
    </r>
    <r>
      <rPr>
        <b/>
        <sz val="12"/>
        <color theme="1"/>
        <rFont val="Calibri"/>
        <family val="2"/>
        <scheme val="minor"/>
      </rPr>
      <t>2.</t>
    </r>
    <r>
      <rPr>
        <sz val="12"/>
        <color theme="1"/>
        <rFont val="Calibri"/>
        <family val="2"/>
        <scheme val="minor"/>
      </rPr>
      <t xml:space="preserve"> The remaining top imports are largely </t>
    </r>
    <r>
      <rPr>
        <b/>
        <sz val="12"/>
        <color theme="1"/>
        <rFont val="Calibri"/>
        <family val="2"/>
        <scheme val="minor"/>
      </rPr>
      <t>industrial and manufacturing components</t>
    </r>
    <r>
      <rPr>
        <sz val="12"/>
        <color theme="1"/>
        <rFont val="Calibri"/>
        <family val="2"/>
        <scheme val="minor"/>
      </rPr>
      <t xml:space="preserve">, including:
</t>
    </r>
    <r>
      <rPr>
        <b/>
        <sz val="12"/>
        <color theme="1"/>
        <rFont val="Calibri"/>
        <family val="2"/>
        <scheme val="minor"/>
      </rPr>
      <t xml:space="preserve">* </t>
    </r>
    <r>
      <rPr>
        <sz val="12"/>
        <color theme="1"/>
        <rFont val="Calibri"/>
        <family val="2"/>
        <scheme val="minor"/>
      </rPr>
      <t xml:space="preserve">Electronic Integrated Circuits
</t>
    </r>
    <r>
      <rPr>
        <b/>
        <sz val="12"/>
        <color theme="1"/>
        <rFont val="Calibri"/>
        <family val="2"/>
        <scheme val="minor"/>
      </rPr>
      <t>*</t>
    </r>
    <r>
      <rPr>
        <sz val="12"/>
        <color theme="1"/>
        <rFont val="Calibri"/>
        <family val="2"/>
        <scheme val="minor"/>
      </rPr>
      <t xml:space="preserve"> Semiconductor Devices
</t>
    </r>
    <r>
      <rPr>
        <b/>
        <sz val="12"/>
        <color theme="1"/>
        <rFont val="Calibri"/>
        <family val="2"/>
        <scheme val="minor"/>
      </rPr>
      <t>*</t>
    </r>
    <r>
      <rPr>
        <sz val="12"/>
        <color theme="1"/>
        <rFont val="Calibri"/>
        <family val="2"/>
        <scheme val="minor"/>
      </rPr>
      <t xml:space="preserve"> Electrical Switching Equipment
</t>
    </r>
    <r>
      <rPr>
        <b/>
        <sz val="12"/>
        <color theme="1"/>
        <rFont val="Calibri"/>
        <family val="2"/>
        <scheme val="minor"/>
      </rPr>
      <t>*</t>
    </r>
    <r>
      <rPr>
        <sz val="12"/>
        <color theme="1"/>
        <rFont val="Calibri"/>
        <family val="2"/>
        <scheme val="minor"/>
      </rPr>
      <t xml:space="preserve"> Industrial Machinery
</t>
    </r>
    <r>
      <rPr>
        <b/>
        <sz val="12"/>
        <color theme="1"/>
        <rFont val="Calibri"/>
        <family val="2"/>
        <scheme val="minor"/>
      </rPr>
      <t>*</t>
    </r>
    <r>
      <rPr>
        <sz val="12"/>
        <color theme="1"/>
        <rFont val="Calibri"/>
        <family val="2"/>
        <scheme val="minor"/>
      </rPr>
      <t xml:space="preserve"> Gas Turbines
</t>
    </r>
    <r>
      <rPr>
        <b/>
        <sz val="12"/>
        <color theme="1"/>
        <rFont val="Calibri"/>
        <family val="2"/>
        <scheme val="minor"/>
      </rPr>
      <t xml:space="preserve">* </t>
    </r>
    <r>
      <rPr>
        <sz val="12"/>
        <color theme="1"/>
        <rFont val="Calibri"/>
        <family val="2"/>
        <scheme val="minor"/>
      </rPr>
      <t xml:space="preserve">Engine Parts
</t>
    </r>
    <r>
      <rPr>
        <b/>
        <sz val="12"/>
        <color theme="1"/>
        <rFont val="Calibri"/>
        <family val="2"/>
        <scheme val="minor"/>
      </rPr>
      <t>3.</t>
    </r>
    <r>
      <rPr>
        <sz val="12"/>
        <color theme="1"/>
        <rFont val="Calibri"/>
        <family val="2"/>
        <scheme val="minor"/>
      </rPr>
      <t xml:space="preserve"> Plastics (HS 3904) also represent a significant import category, indicating demand for industrial raw materials.
</t>
    </r>
    <r>
      <rPr>
        <b/>
        <sz val="12"/>
        <color theme="1"/>
        <rFont val="Calibri"/>
        <family val="2"/>
        <scheme val="minor"/>
      </rPr>
      <t>4.</t>
    </r>
    <r>
      <rPr>
        <sz val="12"/>
        <color theme="1"/>
        <rFont val="Calibri"/>
        <family val="2"/>
        <scheme val="minor"/>
      </rPr>
      <t xml:space="preserve"> The import basket is dominated by </t>
    </r>
    <r>
      <rPr>
        <b/>
        <sz val="12"/>
        <color theme="1"/>
        <rFont val="Calibri"/>
        <family val="2"/>
        <scheme val="minor"/>
      </rPr>
      <t>high-value industrial inputs and advanced technology products</t>
    </r>
    <r>
      <rPr>
        <sz val="12"/>
        <color theme="1"/>
        <rFont val="Calibri"/>
        <family val="2"/>
        <scheme val="minor"/>
      </rPr>
      <t>, rather than consumer goods.</t>
    </r>
  </si>
  <si>
    <r>
      <t>The analysis suggests that India's imports from Japan are primarily driven by</t>
    </r>
    <r>
      <rPr>
        <b/>
        <sz val="12"/>
        <color theme="1"/>
        <rFont val="Calibri"/>
        <family val="2"/>
        <scheme val="minor"/>
      </rPr>
      <t xml:space="preserve"> industrial manufacturing requirements</t>
    </r>
    <r>
      <rPr>
        <sz val="12"/>
        <color theme="1"/>
        <rFont val="Calibri"/>
        <family val="2"/>
        <scheme val="minor"/>
      </rPr>
      <t>, reflecting Japan's competitive advantage in precision engineering, electronics, machinery, and advanced materials.</t>
    </r>
  </si>
  <si>
    <t>Top Import Products (2024)</t>
  </si>
  <si>
    <t>HS6</t>
  </si>
  <si>
    <t>Top Export Products (2024)</t>
  </si>
  <si>
    <t>India's exports to Japan are concentrated in industrial raw materials, engineering products, and electrical components, rather than finished consumer goods.</t>
  </si>
  <si>
    <r>
      <rPr>
        <b/>
        <sz val="12"/>
        <color theme="1"/>
        <rFont val="Calibri"/>
        <family val="2"/>
        <scheme val="minor"/>
      </rPr>
      <t>1. Unwrought Aluminium</t>
    </r>
    <r>
      <rPr>
        <sz val="12"/>
        <color theme="1"/>
        <rFont val="Calibri"/>
        <family val="2"/>
        <scheme val="minor"/>
      </rPr>
      <t xml:space="preserve"> </t>
    </r>
    <r>
      <rPr>
        <i/>
        <sz val="12"/>
        <color theme="1"/>
        <rFont val="Calibri"/>
        <family val="2"/>
        <scheme val="minor"/>
      </rPr>
      <t>(HS 7601</t>
    </r>
    <r>
      <rPr>
        <sz val="12"/>
        <color theme="1"/>
        <rFont val="Calibri"/>
        <family val="2"/>
        <scheme val="minor"/>
      </rPr>
      <t xml:space="preserve">) is India's largest export to Japan, valued at </t>
    </r>
    <r>
      <rPr>
        <b/>
        <sz val="12"/>
        <color theme="1"/>
        <rFont val="Calibri"/>
        <family val="2"/>
        <scheme val="minor"/>
      </rPr>
      <t>USD 331.88 million.</t>
    </r>
    <r>
      <rPr>
        <sz val="12"/>
        <color theme="1"/>
        <rFont val="Calibri"/>
        <family val="2"/>
        <scheme val="minor"/>
      </rPr>
      <t xml:space="preserve">
</t>
    </r>
    <r>
      <rPr>
        <b/>
        <sz val="12"/>
        <color theme="1"/>
        <rFont val="Calibri"/>
        <family val="2"/>
        <scheme val="minor"/>
      </rPr>
      <t>2.</t>
    </r>
    <r>
      <rPr>
        <sz val="12"/>
        <color theme="1"/>
        <rFont val="Calibri"/>
        <family val="2"/>
        <scheme val="minor"/>
      </rPr>
      <t xml:space="preserve"> </t>
    </r>
    <r>
      <rPr>
        <b/>
        <sz val="12"/>
        <color theme="1"/>
        <rFont val="Calibri"/>
        <family val="2"/>
        <scheme val="minor"/>
      </rPr>
      <t>Telecommunication Equipment</t>
    </r>
    <r>
      <rPr>
        <sz val="12"/>
        <color theme="1"/>
        <rFont val="Calibri"/>
        <family val="2"/>
        <scheme val="minor"/>
      </rPr>
      <t xml:space="preserve"> </t>
    </r>
    <r>
      <rPr>
        <i/>
        <sz val="12"/>
        <color theme="1"/>
        <rFont val="Calibri"/>
        <family val="2"/>
        <scheme val="minor"/>
      </rPr>
      <t>(HS 8517</t>
    </r>
    <r>
      <rPr>
        <sz val="12"/>
        <color theme="1"/>
        <rFont val="Calibri"/>
        <family val="2"/>
        <scheme val="minor"/>
      </rPr>
      <t xml:space="preserve">) ranks second at </t>
    </r>
    <r>
      <rPr>
        <b/>
        <sz val="12"/>
        <color theme="1"/>
        <rFont val="Calibri"/>
        <family val="2"/>
        <scheme val="minor"/>
      </rPr>
      <t>USD 299.04 million</t>
    </r>
    <r>
      <rPr>
        <sz val="12"/>
        <color theme="1"/>
        <rFont val="Calibri"/>
        <family val="2"/>
        <scheme val="minor"/>
      </rPr>
      <t xml:space="preserve">, indicating strong demand for communication technology.
</t>
    </r>
    <r>
      <rPr>
        <b/>
        <sz val="12"/>
        <color theme="1"/>
        <rFont val="Calibri"/>
        <family val="2"/>
        <scheme val="minor"/>
      </rPr>
      <t>3.</t>
    </r>
    <r>
      <rPr>
        <sz val="12"/>
        <color theme="1"/>
        <rFont val="Calibri"/>
        <family val="2"/>
        <scheme val="minor"/>
      </rPr>
      <t xml:space="preserve"> </t>
    </r>
    <r>
      <rPr>
        <b/>
        <sz val="12"/>
        <color theme="1"/>
        <rFont val="Calibri"/>
        <family val="2"/>
        <scheme val="minor"/>
      </rPr>
      <t>Gas Turbines</t>
    </r>
    <r>
      <rPr>
        <sz val="12"/>
        <color theme="1"/>
        <rFont val="Calibri"/>
        <family val="2"/>
        <scheme val="minor"/>
      </rPr>
      <t xml:space="preserve"> </t>
    </r>
    <r>
      <rPr>
        <i/>
        <sz val="12"/>
        <color theme="1"/>
        <rFont val="Calibri"/>
        <family val="2"/>
        <scheme val="minor"/>
      </rPr>
      <t>(HS 8411)</t>
    </r>
    <r>
      <rPr>
        <sz val="12"/>
        <color theme="1"/>
        <rFont val="Calibri"/>
        <family val="2"/>
        <scheme val="minor"/>
      </rPr>
      <t xml:space="preserve"> continue to be a major traded product, appearing in both imports and exports.
</t>
    </r>
    <r>
      <rPr>
        <b/>
        <sz val="12"/>
        <color theme="1"/>
        <rFont val="Calibri"/>
        <family val="2"/>
        <scheme val="minor"/>
      </rPr>
      <t>4.</t>
    </r>
    <r>
      <rPr>
        <sz val="12"/>
        <color theme="1"/>
        <rFont val="Calibri"/>
        <family val="2"/>
        <scheme val="minor"/>
      </rPr>
      <t xml:space="preserve"> The remaining products mainly consist of:
</t>
    </r>
    <r>
      <rPr>
        <b/>
        <sz val="12"/>
        <color theme="1"/>
        <rFont val="Calibri"/>
        <family val="2"/>
        <scheme val="minor"/>
      </rPr>
      <t>*</t>
    </r>
    <r>
      <rPr>
        <sz val="12"/>
        <color theme="1"/>
        <rFont val="Calibri"/>
        <family val="2"/>
        <scheme val="minor"/>
      </rPr>
      <t xml:space="preserve"> Electrical Equipment
</t>
    </r>
    <r>
      <rPr>
        <b/>
        <sz val="12"/>
        <color theme="1"/>
        <rFont val="Calibri"/>
        <family val="2"/>
        <scheme val="minor"/>
      </rPr>
      <t>*</t>
    </r>
    <r>
      <rPr>
        <sz val="12"/>
        <color theme="1"/>
        <rFont val="Calibri"/>
        <family val="2"/>
        <scheme val="minor"/>
      </rPr>
      <t xml:space="preserve"> Industrial Components
</t>
    </r>
    <r>
      <rPr>
        <b/>
        <sz val="12"/>
        <color theme="1"/>
        <rFont val="Calibri"/>
        <family val="2"/>
        <scheme val="minor"/>
      </rPr>
      <t>*</t>
    </r>
    <r>
      <rPr>
        <sz val="12"/>
        <color theme="1"/>
        <rFont val="Calibri"/>
        <family val="2"/>
        <scheme val="minor"/>
      </rPr>
      <t xml:space="preserve"> Iron &amp; Steel Articles
</t>
    </r>
    <r>
      <rPr>
        <b/>
        <sz val="12"/>
        <color theme="1"/>
        <rFont val="Calibri"/>
        <family val="2"/>
        <scheme val="minor"/>
      </rPr>
      <t>*</t>
    </r>
    <r>
      <rPr>
        <sz val="12"/>
        <color theme="1"/>
        <rFont val="Calibri"/>
        <family val="2"/>
        <scheme val="minor"/>
      </rPr>
      <t xml:space="preserve"> Engine Parts
</t>
    </r>
    <r>
      <rPr>
        <b/>
        <sz val="12"/>
        <color theme="1"/>
        <rFont val="Calibri"/>
        <family val="2"/>
        <scheme val="minor"/>
      </rPr>
      <t>*</t>
    </r>
    <r>
      <rPr>
        <sz val="12"/>
        <color theme="1"/>
        <rFont val="Calibri"/>
        <family val="2"/>
        <scheme val="minor"/>
      </rPr>
      <t xml:space="preserve"> Valves
</t>
    </r>
    <r>
      <rPr>
        <b/>
        <sz val="12"/>
        <color theme="1"/>
        <rFont val="Calibri"/>
        <family val="2"/>
        <scheme val="minor"/>
      </rPr>
      <t>*</t>
    </r>
    <r>
      <rPr>
        <sz val="12"/>
        <color theme="1"/>
        <rFont val="Calibri"/>
        <family val="2"/>
        <scheme val="minor"/>
      </rPr>
      <t xml:space="preserve"> Plastic Raw Materials</t>
    </r>
  </si>
  <si>
    <t>Category-wise Import Analysis (Ekta Product Categories)</t>
  </si>
  <si>
    <t>Product Categories</t>
  </si>
  <si>
    <t>Rank</t>
  </si>
  <si>
    <t>Import Value (USD Million)</t>
  </si>
  <si>
    <r>
      <rPr>
        <b/>
        <sz val="11"/>
        <color theme="1"/>
        <rFont val="Calibri"/>
        <family val="2"/>
        <scheme val="minor"/>
      </rPr>
      <t>* Electrical Products</t>
    </r>
    <r>
      <rPr>
        <sz val="11"/>
        <color theme="1"/>
        <rFont val="Calibri"/>
        <family val="2"/>
        <scheme val="minor"/>
      </rPr>
      <t xml:space="preserve"> are the largest import category, contributing over </t>
    </r>
    <r>
      <rPr>
        <b/>
        <sz val="11"/>
        <color theme="1"/>
        <rFont val="Calibri"/>
        <family val="2"/>
        <scheme val="minor"/>
      </rPr>
      <t>USD 4.1 billion</t>
    </r>
    <r>
      <rPr>
        <sz val="11"/>
        <color theme="1"/>
        <rFont val="Calibri"/>
        <family val="2"/>
        <scheme val="minor"/>
      </rPr>
      <t xml:space="preserve">, indicating strong sourcing potential from Japan.
</t>
    </r>
    <r>
      <rPr>
        <b/>
        <sz val="11"/>
        <color theme="1"/>
        <rFont val="Calibri"/>
        <family val="2"/>
        <scheme val="minor"/>
      </rPr>
      <t>* Kitchen Fittings</t>
    </r>
    <r>
      <rPr>
        <sz val="11"/>
        <color theme="1"/>
        <rFont val="Calibri"/>
        <family val="2"/>
        <scheme val="minor"/>
      </rPr>
      <t xml:space="preserve"> rank second, suggesting Japan is also a significant supplier of machinery and components relevant to this category.
</t>
    </r>
    <r>
      <rPr>
        <b/>
        <sz val="11"/>
        <color theme="1"/>
        <rFont val="Calibri"/>
        <family val="2"/>
        <scheme val="minor"/>
      </rPr>
      <t>* Plastics</t>
    </r>
    <r>
      <rPr>
        <sz val="11"/>
        <color theme="1"/>
        <rFont val="Calibri"/>
        <family val="2"/>
        <scheme val="minor"/>
      </rPr>
      <t xml:space="preserve"> form a substantial portion of imports, reflecting demand for industrial raw materials.
</t>
    </r>
    <r>
      <rPr>
        <b/>
        <sz val="11"/>
        <color theme="1"/>
        <rFont val="Calibri"/>
        <family val="2"/>
        <scheme val="minor"/>
      </rPr>
      <t>* Hardware</t>
    </r>
    <r>
      <rPr>
        <sz val="11"/>
        <color theme="1"/>
        <rFont val="Calibri"/>
        <family val="2"/>
        <scheme val="minor"/>
      </rPr>
      <t xml:space="preserve"> contributes a moderate share, while</t>
    </r>
    <r>
      <rPr>
        <b/>
        <sz val="11"/>
        <color theme="1"/>
        <rFont val="Calibri"/>
        <family val="2"/>
        <scheme val="minor"/>
      </rPr>
      <t xml:space="preserve"> Decorative Materials</t>
    </r>
    <r>
      <rPr>
        <sz val="11"/>
        <color theme="1"/>
        <rFont val="Calibri"/>
        <family val="2"/>
        <scheme val="minor"/>
      </rPr>
      <t xml:space="preserve"> and </t>
    </r>
    <r>
      <rPr>
        <b/>
        <sz val="11"/>
        <color theme="1"/>
        <rFont val="Calibri"/>
        <family val="2"/>
        <scheme val="minor"/>
      </rPr>
      <t xml:space="preserve">Sanitary Ware </t>
    </r>
    <r>
      <rPr>
        <sz val="11"/>
        <color theme="1"/>
        <rFont val="Calibri"/>
        <family val="2"/>
        <scheme val="minor"/>
      </rPr>
      <t>currently represent relatively small import volumes.</t>
    </r>
  </si>
  <si>
    <t>HS6 Code Products</t>
  </si>
  <si>
    <t>High-Growth Import Products</t>
  </si>
  <si>
    <r>
      <rPr>
        <b/>
        <i/>
        <sz val="16"/>
        <color theme="1"/>
        <rFont val="Calibri"/>
        <family val="2"/>
        <scheme val="minor"/>
      </rPr>
      <t>Business Question</t>
    </r>
    <r>
      <rPr>
        <sz val="11"/>
        <color theme="1"/>
        <rFont val="Calibri"/>
        <family val="2"/>
        <scheme val="minor"/>
      </rPr>
      <t xml:space="preserve">
</t>
    </r>
    <r>
      <rPr>
        <b/>
        <i/>
        <sz val="14"/>
        <color theme="1"/>
        <rFont val="Calibri"/>
        <family val="2"/>
        <scheme val="minor"/>
      </rPr>
      <t>Which imported products are growing the fastest in value?</t>
    </r>
  </si>
  <si>
    <t>Product</t>
  </si>
  <si>
    <t>Growth (%)</t>
  </si>
  <si>
    <t>Electrical Waste &amp; Scrap</t>
  </si>
  <si>
    <t>Electric Shavers &amp; Clippers</t>
  </si>
  <si>
    <t>Agricultural Machinery</t>
  </si>
  <si>
    <t>Textile Machinery</t>
  </si>
  <si>
    <t>Audio/Video Equipment Parts</t>
  </si>
  <si>
    <t>Cranes &amp; Lifting Equipment</t>
  </si>
  <si>
    <t>Unrefined Copper</t>
  </si>
  <si>
    <t>Bookbinding Machinery</t>
  </si>
  <si>
    <t>Plastic Floor &amp; Wall Coverings</t>
  </si>
  <si>
    <t>Copper Fasteners</t>
  </si>
  <si>
    <r>
      <rPr>
        <b/>
        <sz val="12"/>
        <color theme="1"/>
        <rFont val="Calibri"/>
        <family val="2"/>
        <scheme val="minor"/>
      </rPr>
      <t xml:space="preserve">* </t>
    </r>
    <r>
      <rPr>
        <sz val="12"/>
        <color theme="1"/>
        <rFont val="Calibri"/>
        <family val="2"/>
        <scheme val="minor"/>
      </rPr>
      <t xml:space="preserve">The fastest-growing import products are different from the </t>
    </r>
    <r>
      <rPr>
        <b/>
        <sz val="12"/>
        <color theme="1"/>
        <rFont val="Calibri"/>
        <family val="2"/>
        <scheme val="minor"/>
      </rPr>
      <t xml:space="preserve">highest-value products </t>
    </r>
    <r>
      <rPr>
        <sz val="12"/>
        <color theme="1"/>
        <rFont val="Calibri"/>
        <family val="2"/>
        <scheme val="minor"/>
      </rPr>
      <t xml:space="preserve">identified earlier.
</t>
    </r>
    <r>
      <rPr>
        <b/>
        <sz val="12"/>
        <color theme="1"/>
        <rFont val="Calibri"/>
        <family val="2"/>
        <scheme val="minor"/>
      </rPr>
      <t>*</t>
    </r>
    <r>
      <rPr>
        <sz val="12"/>
        <color theme="1"/>
        <rFont val="Calibri"/>
        <family val="2"/>
        <scheme val="minor"/>
      </rPr>
      <t xml:space="preserve"> Several products, such as </t>
    </r>
    <r>
      <rPr>
        <b/>
        <sz val="12"/>
        <color theme="1"/>
        <rFont val="Calibri"/>
        <family val="2"/>
        <scheme val="minor"/>
      </rPr>
      <t xml:space="preserve">Electric Shavers, Agricultural Machinery, </t>
    </r>
    <r>
      <rPr>
        <sz val="12"/>
        <color theme="1"/>
        <rFont val="Calibri"/>
        <family val="2"/>
        <scheme val="minor"/>
      </rPr>
      <t xml:space="preserve">and </t>
    </r>
    <r>
      <rPr>
        <b/>
        <sz val="12"/>
        <color theme="1"/>
        <rFont val="Calibri"/>
        <family val="2"/>
        <scheme val="minor"/>
      </rPr>
      <t>Textile Machinery,</t>
    </r>
    <r>
      <rPr>
        <sz val="12"/>
        <color theme="1"/>
        <rFont val="Calibri"/>
        <family val="2"/>
        <scheme val="minor"/>
      </rPr>
      <t xml:space="preserve"> are experiencing rapid growth despite not being among the largest import categories.
</t>
    </r>
    <r>
      <rPr>
        <b/>
        <sz val="12"/>
        <color theme="1"/>
        <rFont val="Calibri"/>
        <family val="2"/>
        <scheme val="minor"/>
      </rPr>
      <t xml:space="preserve">* Plastic Floor &amp; Wall Coverings </t>
    </r>
    <r>
      <rPr>
        <i/>
        <sz val="12"/>
        <color theme="1"/>
        <rFont val="Calibri"/>
        <family val="2"/>
        <scheme val="minor"/>
      </rPr>
      <t>(HS 3918)</t>
    </r>
    <r>
      <rPr>
        <sz val="12"/>
        <color theme="1"/>
        <rFont val="Calibri"/>
        <family val="2"/>
        <scheme val="minor"/>
      </rPr>
      <t xml:space="preserve"> stand out because they align with Ekta's </t>
    </r>
    <r>
      <rPr>
        <b/>
        <sz val="12"/>
        <color theme="1"/>
        <rFont val="Calibri"/>
        <family val="2"/>
        <scheme val="minor"/>
      </rPr>
      <t>Decorative Materials</t>
    </r>
    <r>
      <rPr>
        <sz val="12"/>
        <color theme="1"/>
        <rFont val="Calibri"/>
        <family val="2"/>
        <scheme val="minor"/>
      </rPr>
      <t xml:space="preserve"> business, making them more relevant than many higher-growth but unrelated products.
</t>
    </r>
    <r>
      <rPr>
        <b/>
        <sz val="12"/>
        <color theme="1"/>
        <rFont val="Calibri"/>
        <family val="2"/>
        <scheme val="minor"/>
      </rPr>
      <t xml:space="preserve">* </t>
    </r>
    <r>
      <rPr>
        <sz val="12"/>
        <color theme="1"/>
        <rFont val="Calibri"/>
        <family val="2"/>
        <scheme val="minor"/>
      </rPr>
      <t xml:space="preserve">Similarly, </t>
    </r>
    <r>
      <rPr>
        <b/>
        <sz val="12"/>
        <color theme="1"/>
        <rFont val="Calibri"/>
        <family val="2"/>
        <scheme val="minor"/>
      </rPr>
      <t xml:space="preserve">Copper Fasteners </t>
    </r>
    <r>
      <rPr>
        <i/>
        <sz val="12"/>
        <color theme="1"/>
        <rFont val="Calibri"/>
        <family val="2"/>
        <scheme val="minor"/>
      </rPr>
      <t>(HS 7415</t>
    </r>
    <r>
      <rPr>
        <sz val="12"/>
        <color theme="1"/>
        <rFont val="Calibri"/>
        <family val="2"/>
        <scheme val="minor"/>
      </rPr>
      <t>) could relate to Ekta's</t>
    </r>
    <r>
      <rPr>
        <b/>
        <sz val="12"/>
        <color theme="1"/>
        <rFont val="Calibri"/>
        <family val="2"/>
        <scheme val="minor"/>
      </rPr>
      <t xml:space="preserve"> Hardware </t>
    </r>
    <r>
      <rPr>
        <sz val="12"/>
        <color theme="1"/>
        <rFont val="Calibri"/>
        <family val="2"/>
        <scheme val="minor"/>
      </rPr>
      <t>category.</t>
    </r>
  </si>
  <si>
    <t>Aluminium Waste &amp; Scrap</t>
  </si>
  <si>
    <t>Radio Reception Equipment</t>
  </si>
  <si>
    <t>Styrene Polymers</t>
  </si>
  <si>
    <t>Broadcasting Equipment</t>
  </si>
  <si>
    <t>Copper Powder &amp; Flakes</t>
  </si>
  <si>
    <t>Plastic Rods &amp; Profiles</t>
  </si>
  <si>
    <t>Copper Pipe Fittings</t>
  </si>
  <si>
    <r>
      <rPr>
        <b/>
        <sz val="12"/>
        <color theme="1"/>
        <rFont val="Calibri"/>
        <family val="2"/>
        <scheme val="minor"/>
      </rPr>
      <t xml:space="preserve">* </t>
    </r>
    <r>
      <rPr>
        <sz val="12"/>
        <color theme="1"/>
        <rFont val="Calibri"/>
        <family val="2"/>
        <scheme val="minor"/>
      </rPr>
      <t xml:space="preserve">Export growth is concentrated in </t>
    </r>
    <r>
      <rPr>
        <b/>
        <sz val="12"/>
        <color theme="1"/>
        <rFont val="Calibri"/>
        <family val="2"/>
        <scheme val="minor"/>
      </rPr>
      <t>industrial materials, electrical equipment, agricultural machinery,</t>
    </r>
    <r>
      <rPr>
        <sz val="12"/>
        <color theme="1"/>
        <rFont val="Calibri"/>
        <family val="2"/>
        <scheme val="minor"/>
      </rPr>
      <t xml:space="preserve"> and</t>
    </r>
    <r>
      <rPr>
        <b/>
        <sz val="12"/>
        <color theme="1"/>
        <rFont val="Calibri"/>
        <family val="2"/>
        <scheme val="minor"/>
      </rPr>
      <t xml:space="preserve"> plastics.</t>
    </r>
    <r>
      <rPr>
        <sz val="12"/>
        <color theme="1"/>
        <rFont val="Calibri"/>
        <family val="2"/>
        <scheme val="minor"/>
      </rPr>
      <t xml:space="preserve">
</t>
    </r>
    <r>
      <rPr>
        <b/>
        <sz val="12"/>
        <color theme="1"/>
        <rFont val="Calibri"/>
        <family val="2"/>
        <scheme val="minor"/>
      </rPr>
      <t>* Plastic products</t>
    </r>
    <r>
      <rPr>
        <sz val="12"/>
        <color theme="1"/>
        <rFont val="Calibri"/>
        <family val="2"/>
        <scheme val="minor"/>
      </rPr>
      <t xml:space="preserve"> </t>
    </r>
    <r>
      <rPr>
        <i/>
        <sz val="12"/>
        <color theme="1"/>
        <rFont val="Calibri"/>
        <family val="2"/>
        <scheme val="minor"/>
      </rPr>
      <t>(3903 &amp; 3916)</t>
    </r>
    <r>
      <rPr>
        <sz val="12"/>
        <color theme="1"/>
        <rFont val="Calibri"/>
        <family val="2"/>
        <scheme val="minor"/>
      </rPr>
      <t xml:space="preserve"> and </t>
    </r>
    <r>
      <rPr>
        <b/>
        <sz val="12"/>
        <color theme="1"/>
        <rFont val="Calibri"/>
        <family val="2"/>
        <scheme val="minor"/>
      </rPr>
      <t>Copper Pipe Fittings</t>
    </r>
    <r>
      <rPr>
        <sz val="12"/>
        <color theme="1"/>
        <rFont val="Calibri"/>
        <family val="2"/>
        <scheme val="minor"/>
      </rPr>
      <t xml:space="preserve"> </t>
    </r>
    <r>
      <rPr>
        <i/>
        <sz val="12"/>
        <color theme="1"/>
        <rFont val="Calibri"/>
        <family val="2"/>
        <scheme val="minor"/>
      </rPr>
      <t>(7412)</t>
    </r>
    <r>
      <rPr>
        <sz val="12"/>
        <color theme="1"/>
        <rFont val="Calibri"/>
        <family val="2"/>
        <scheme val="minor"/>
      </rPr>
      <t xml:space="preserve"> have relevance to Ekta's existing business portfolio.
</t>
    </r>
    <r>
      <rPr>
        <b/>
        <sz val="12"/>
        <color theme="1"/>
        <rFont val="Calibri"/>
        <family val="2"/>
        <scheme val="minor"/>
      </rPr>
      <t>*</t>
    </r>
    <r>
      <rPr>
        <sz val="12"/>
        <color theme="1"/>
        <rFont val="Calibri"/>
        <family val="2"/>
        <scheme val="minor"/>
      </rPr>
      <t xml:space="preserve"> Several rapidly growing products, such as </t>
    </r>
    <r>
      <rPr>
        <b/>
        <sz val="12"/>
        <color theme="1"/>
        <rFont val="Calibri"/>
        <family val="2"/>
        <scheme val="minor"/>
      </rPr>
      <t xml:space="preserve">broadcasting equipment </t>
    </r>
    <r>
      <rPr>
        <sz val="12"/>
        <color theme="1"/>
        <rFont val="Calibri"/>
        <family val="2"/>
        <scheme val="minor"/>
      </rPr>
      <t>and</t>
    </r>
    <r>
      <rPr>
        <b/>
        <sz val="12"/>
        <color theme="1"/>
        <rFont val="Calibri"/>
        <family val="2"/>
        <scheme val="minor"/>
      </rPr>
      <t xml:space="preserve"> textile machinery</t>
    </r>
    <r>
      <rPr>
        <sz val="12"/>
        <color theme="1"/>
        <rFont val="Calibri"/>
        <family val="2"/>
        <scheme val="minor"/>
      </rPr>
      <t>, lie outside Ekta's current scope and are therefore lower-priority opportunities.</t>
    </r>
  </si>
  <si>
    <t>High-Growth Export Products</t>
  </si>
  <si>
    <r>
      <rPr>
        <b/>
        <i/>
        <sz val="16"/>
        <color theme="1"/>
        <rFont val="Calibri"/>
        <family val="2"/>
        <scheme val="minor"/>
      </rPr>
      <t>Business Question</t>
    </r>
    <r>
      <rPr>
        <b/>
        <i/>
        <sz val="11"/>
        <color theme="1"/>
        <rFont val="Calibri"/>
        <family val="2"/>
        <scheme val="minor"/>
      </rPr>
      <t xml:space="preserve">
</t>
    </r>
    <r>
      <rPr>
        <b/>
        <i/>
        <sz val="14"/>
        <color theme="1"/>
        <rFont val="Calibri"/>
        <family val="2"/>
        <scheme val="minor"/>
      </rPr>
      <t>Which exported products are growing the fastest in value?</t>
    </r>
  </si>
  <si>
    <t>Category-wise Export Analysis (Ekta Product Categories)</t>
  </si>
  <si>
    <t>Export Value (USD Million)</t>
  </si>
  <si>
    <r>
      <rPr>
        <b/>
        <sz val="11"/>
        <color theme="1"/>
        <rFont val="Calibri"/>
        <family val="2"/>
        <scheme val="minor"/>
      </rPr>
      <t>* Hardware</t>
    </r>
    <r>
      <rPr>
        <sz val="11"/>
        <color theme="1"/>
        <rFont val="Calibri"/>
        <family val="2"/>
        <scheme val="minor"/>
      </rPr>
      <t xml:space="preserve"> is India's largest export category to Japan, indicating strong demand for metal-based industrial products.
</t>
    </r>
    <r>
      <rPr>
        <b/>
        <sz val="11"/>
        <color theme="1"/>
        <rFont val="Calibri"/>
        <family val="2"/>
        <scheme val="minor"/>
      </rPr>
      <t>* Electrical Products</t>
    </r>
    <r>
      <rPr>
        <sz val="11"/>
        <color theme="1"/>
        <rFont val="Calibri"/>
        <family val="2"/>
        <scheme val="minor"/>
      </rPr>
      <t xml:space="preserve"> rank second, demonstrating export potential in electrical equipment and components.
</t>
    </r>
    <r>
      <rPr>
        <b/>
        <sz val="11"/>
        <color theme="1"/>
        <rFont val="Calibri"/>
        <family val="2"/>
        <scheme val="minor"/>
      </rPr>
      <t>* Kitchen Fittings</t>
    </r>
    <r>
      <rPr>
        <sz val="11"/>
        <color theme="1"/>
        <rFont val="Calibri"/>
        <family val="2"/>
        <scheme val="minor"/>
      </rPr>
      <t xml:space="preserve"> also contribute significantly, although their export value is much lower than imports.
</t>
    </r>
    <r>
      <rPr>
        <b/>
        <sz val="11"/>
        <color theme="1"/>
        <rFont val="Calibri"/>
        <family val="2"/>
        <scheme val="minor"/>
      </rPr>
      <t>* Plastics</t>
    </r>
    <r>
      <rPr>
        <sz val="11"/>
        <color theme="1"/>
        <rFont val="Calibri"/>
        <family val="2"/>
        <scheme val="minor"/>
      </rPr>
      <t xml:space="preserve"> have a moderate export presence, while </t>
    </r>
    <r>
      <rPr>
        <b/>
        <sz val="11"/>
        <color theme="1"/>
        <rFont val="Calibri"/>
        <family val="2"/>
        <scheme val="minor"/>
      </rPr>
      <t xml:space="preserve">Sanitary </t>
    </r>
    <r>
      <rPr>
        <sz val="11"/>
        <color theme="1"/>
        <rFont val="Calibri"/>
        <family val="2"/>
        <scheme val="minor"/>
      </rPr>
      <t xml:space="preserve">and </t>
    </r>
    <r>
      <rPr>
        <b/>
        <sz val="11"/>
        <color theme="1"/>
        <rFont val="Calibri"/>
        <family val="2"/>
        <scheme val="minor"/>
      </rPr>
      <t xml:space="preserve">Decorative Materials </t>
    </r>
    <r>
      <rPr>
        <sz val="11"/>
        <color theme="1"/>
        <rFont val="Calibri"/>
        <family val="2"/>
        <scheme val="minor"/>
      </rPr>
      <t>currently represent niche export categories.</t>
    </r>
  </si>
  <si>
    <t>Total (USD millions)</t>
  </si>
  <si>
    <t>Comparision</t>
  </si>
  <si>
    <t>* The long-term trend indicates that India's imports from Japan have generally increased over the study period, despite the temporary disruption in 2020. The strong recovery after the pandemic and the record import value in 2024 suggest a resilient and growing trade relationship.</t>
  </si>
  <si>
    <r>
      <rPr>
        <b/>
        <i/>
        <sz val="14"/>
        <color theme="1"/>
        <rFont val="Calibri"/>
        <family val="2"/>
        <scheme val="minor"/>
      </rPr>
      <t>Business Question</t>
    </r>
    <r>
      <rPr>
        <sz val="11"/>
        <color theme="1"/>
        <rFont val="Calibri"/>
        <family val="2"/>
        <scheme val="minor"/>
      </rPr>
      <t xml:space="preserve">
</t>
    </r>
    <r>
      <rPr>
        <b/>
        <i/>
        <sz val="12"/>
        <color theme="1"/>
        <rFont val="Calibri"/>
        <family val="2"/>
        <scheme val="minor"/>
      </rPr>
      <t>Which of the product categories have the highest import trade value and therefore deserve further business evaluation?</t>
    </r>
  </si>
  <si>
    <t>Product Category</t>
  </si>
  <si>
    <r>
      <rPr>
        <b/>
        <i/>
        <sz val="14"/>
        <color theme="1"/>
        <rFont val="Calibri"/>
        <family val="2"/>
        <scheme val="minor"/>
      </rPr>
      <t>Business Question</t>
    </r>
    <r>
      <rPr>
        <b/>
        <i/>
        <sz val="11"/>
        <color theme="1"/>
        <rFont val="Calibri"/>
        <family val="2"/>
        <scheme val="minor"/>
      </rPr>
      <t xml:space="preserve">
</t>
    </r>
    <r>
      <rPr>
        <b/>
        <i/>
        <sz val="12"/>
        <color theme="1"/>
        <rFont val="Calibri"/>
        <family val="2"/>
        <scheme val="minor"/>
      </rPr>
      <t>Which of the product categories have the highest export trade value and therefore deserve further business evaluation?</t>
    </r>
  </si>
  <si>
    <r>
      <rPr>
        <b/>
        <i/>
        <sz val="16"/>
        <color theme="1"/>
        <rFont val="Calibri"/>
        <family val="2"/>
        <scheme val="minor"/>
      </rPr>
      <t>Business Question</t>
    </r>
    <r>
      <rPr>
        <b/>
        <i/>
        <sz val="11"/>
        <color theme="1"/>
        <rFont val="Calibri"/>
        <family val="2"/>
        <scheme val="minor"/>
      </rPr>
      <t xml:space="preserve">
</t>
    </r>
    <r>
      <rPr>
        <b/>
        <i/>
        <sz val="14"/>
        <color theme="1"/>
        <rFont val="Calibri"/>
        <family val="2"/>
        <scheme val="minor"/>
      </rPr>
      <t>Which products (HS6 Code) had the highest export value to Japan in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</si>
</sst>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x14ac:knownFonts="1">
    <font>
      <sz val="11"/>
      <color theme="1"/>
      <name val="Calibri"/>
      <family val="2"/>
      <scheme val="minor"/>
    </font>
    <font>
      <sz val="8"/>
      <color rgb="FF002B54"/>
      <name val="Arial"/>
      <family val="2"/>
    </font>
    <font>
      <sz val="8"/>
      <color rgb="FF9E9E9E"/>
      <name val="Arial"/>
      <family val="2"/>
    </font>
    <font>
      <sz val="8"/>
      <color rgb="FFC8102E"/>
      <name val="Arial"/>
      <family val="2"/>
    </font>
    <font>
      <sz val="11"/>
      <color rgb="FF002B54"/>
      <name val="Arial"/>
      <family val="2"/>
    </font>
    <font>
      <b/>
      <sz val="11"/>
      <color rgb="FF002B54"/>
      <name val="Arial"/>
      <family val="2"/>
    </font>
    <font>
      <b/>
      <sz val="11"/>
      <color theme="0"/>
      <name val="Arial"/>
      <family val="2"/>
    </font>
    <font>
      <sz val="11"/>
      <color theme="1"/>
      <name val="Calibri"/>
      <family val="2"/>
      <scheme val="minor"/>
    </font>
    <font>
      <b/>
      <sz val="11"/>
      <color theme="0"/>
      <name val="Calibri"/>
      <family val="2"/>
      <scheme val="minor"/>
    </font>
    <font>
      <b/>
      <sz val="11"/>
      <name val="Calibri"/>
      <family val="2"/>
      <scheme val="minor"/>
    </font>
    <font>
      <b/>
      <sz val="11"/>
      <color theme="1"/>
      <name val="Calibri"/>
      <family val="2"/>
      <scheme val="minor"/>
    </font>
    <font>
      <b/>
      <sz val="13.5"/>
      <color theme="1"/>
      <name val="Calibri"/>
      <family val="2"/>
      <scheme val="minor"/>
    </font>
    <font>
      <sz val="12"/>
      <color theme="1"/>
      <name val="Calibri"/>
      <family val="2"/>
      <scheme val="minor"/>
    </font>
    <font>
      <b/>
      <sz val="22"/>
      <color theme="0"/>
      <name val="Calibri"/>
      <family val="2"/>
      <scheme val="minor"/>
    </font>
    <font>
      <sz val="14"/>
      <color theme="1"/>
      <name val="Calibri"/>
      <family val="2"/>
      <scheme val="minor"/>
    </font>
    <font>
      <b/>
      <sz val="14"/>
      <color theme="1"/>
      <name val="Calibri"/>
      <family val="2"/>
      <scheme val="minor"/>
    </font>
    <font>
      <b/>
      <sz val="18"/>
      <color theme="0"/>
      <name val="Calibri"/>
      <family val="2"/>
      <scheme val="minor"/>
    </font>
    <font>
      <b/>
      <sz val="18"/>
      <color theme="1"/>
      <name val="Calibri"/>
      <family val="2"/>
      <scheme val="minor"/>
    </font>
    <font>
      <b/>
      <i/>
      <sz val="18"/>
      <color theme="1"/>
      <name val="Calibri"/>
      <family val="2"/>
      <scheme val="minor"/>
    </font>
    <font>
      <b/>
      <i/>
      <sz val="14"/>
      <color theme="1"/>
      <name val="Calibri"/>
      <family val="2"/>
      <scheme val="minor"/>
    </font>
    <font>
      <i/>
      <sz val="14"/>
      <color theme="1"/>
      <name val="Calibri"/>
      <family val="2"/>
      <scheme val="minor"/>
    </font>
    <font>
      <b/>
      <i/>
      <sz val="11"/>
      <name val="Calibri"/>
      <family val="2"/>
      <scheme val="minor"/>
    </font>
    <font>
      <b/>
      <i/>
      <sz val="18"/>
      <name val="Calibri"/>
      <family val="2"/>
      <scheme val="minor"/>
    </font>
    <font>
      <b/>
      <i/>
      <sz val="14"/>
      <name val="Calibri"/>
      <family val="2"/>
      <scheme val="minor"/>
    </font>
    <font>
      <b/>
      <i/>
      <sz val="16"/>
      <color theme="1"/>
      <name val="Calibri"/>
      <family val="2"/>
      <scheme val="minor"/>
    </font>
    <font>
      <b/>
      <sz val="12"/>
      <color theme="1"/>
      <name val="Calibri"/>
      <family val="2"/>
      <scheme val="minor"/>
    </font>
    <font>
      <i/>
      <sz val="12"/>
      <color theme="1"/>
      <name val="Calibri"/>
      <family val="2"/>
      <scheme val="minor"/>
    </font>
    <font>
      <b/>
      <sz val="16"/>
      <color theme="1"/>
      <name val="Calibri"/>
      <family val="2"/>
      <scheme val="minor"/>
    </font>
    <font>
      <b/>
      <sz val="12"/>
      <color theme="0"/>
      <name val="Calibri"/>
      <family val="2"/>
      <scheme val="minor"/>
    </font>
    <font>
      <b/>
      <i/>
      <sz val="11"/>
      <color theme="1"/>
      <name val="Calibri"/>
      <family val="2"/>
      <scheme val="minor"/>
    </font>
    <font>
      <b/>
      <i/>
      <sz val="12"/>
      <color theme="1"/>
      <name val="Calibri"/>
      <family val="2"/>
      <scheme val="minor"/>
    </font>
    <font>
      <b/>
      <sz val="14"/>
      <color theme="0"/>
      <name val="Calibri"/>
      <family val="2"/>
      <scheme val="minor"/>
    </font>
  </fonts>
  <fills count="1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39997558519241921"/>
        <bgColor theme="4" tint="0.79998168889431442"/>
      </patternFill>
    </fill>
    <fill>
      <patternFill patternType="solid">
        <fgColor theme="0"/>
        <bgColor indexed="64"/>
      </patternFill>
    </fill>
  </fills>
  <borders count="16">
    <border>
      <left/>
      <right/>
      <top/>
      <bottom/>
      <diagonal/>
    </border>
    <border>
      <left/>
      <right/>
      <top style="medium">
        <color rgb="FFD7E2ED"/>
      </top>
      <bottom/>
      <diagonal/>
    </border>
    <border>
      <left/>
      <right/>
      <top style="medium">
        <color rgb="FF73778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s>
  <cellStyleXfs count="2">
    <xf numFmtId="0" fontId="0" fillId="0" borderId="0"/>
    <xf numFmtId="9" fontId="7" fillId="0" borderId="0" applyFont="0" applyFill="0" applyBorder="0" applyAlignment="0" applyProtection="0"/>
  </cellStyleXfs>
  <cellXfs count="223">
    <xf numFmtId="0" fontId="0" fillId="0" borderId="0" xfId="0"/>
    <xf numFmtId="49" fontId="1" fillId="0" borderId="0" xfId="0" applyNumberFormat="1" applyFont="1" applyFill="1" applyBorder="1" applyAlignment="1">
      <alignment horizontal="left" vertical="center" wrapText="1" indent="1"/>
    </xf>
    <xf numFmtId="49" fontId="0" fillId="0" borderId="0" xfId="0" applyNumberFormat="1"/>
    <xf numFmtId="2" fontId="0" fillId="0" borderId="0" xfId="0" applyNumberFormat="1"/>
    <xf numFmtId="1" fontId="0" fillId="0" borderId="0" xfId="0" applyNumberFormat="1"/>
    <xf numFmtId="2" fontId="1" fillId="0" borderId="6" xfId="0" applyNumberFormat="1" applyFont="1" applyBorder="1" applyAlignment="1">
      <alignment horizontal="left" vertical="center" wrapText="1" indent="1"/>
    </xf>
    <xf numFmtId="49" fontId="0" fillId="0" borderId="0" xfId="0" applyNumberFormat="1" applyAlignment="1">
      <alignment vertical="center"/>
    </xf>
    <xf numFmtId="2" fontId="0" fillId="0" borderId="0" xfId="0" applyNumberFormat="1" applyAlignment="1">
      <alignment vertical="center"/>
    </xf>
    <xf numFmtId="2" fontId="1" fillId="0" borderId="5" xfId="0" applyNumberFormat="1" applyFont="1" applyBorder="1" applyAlignment="1">
      <alignment horizontal="left" vertical="center" wrapText="1" indent="1"/>
    </xf>
    <xf numFmtId="2" fontId="0" fillId="0" borderId="0" xfId="1" applyNumberFormat="1" applyFont="1"/>
    <xf numFmtId="0" fontId="0" fillId="0" borderId="0" xfId="0" applyNumberFormat="1"/>
    <xf numFmtId="0" fontId="0" fillId="0" borderId="0" xfId="0" pivotButton="1"/>
    <xf numFmtId="0" fontId="0" fillId="0" borderId="0" xfId="0" applyAlignment="1">
      <alignment horizontal="left"/>
    </xf>
    <xf numFmtId="0" fontId="0" fillId="0" borderId="0" xfId="0" applyFill="1" applyBorder="1"/>
    <xf numFmtId="0" fontId="8" fillId="0" borderId="0" xfId="0" applyFont="1" applyFill="1" applyBorder="1" applyAlignment="1">
      <alignment horizontal="center" vertical="center" wrapText="1"/>
    </xf>
    <xf numFmtId="0" fontId="0" fillId="0" borderId="0" xfId="0" applyFont="1" applyFill="1" applyBorder="1" applyAlignment="1">
      <alignment vertical="center" wrapText="1"/>
    </xf>
    <xf numFmtId="0" fontId="0" fillId="0" borderId="0" xfId="0" applyFont="1" applyFill="1" applyBorder="1"/>
    <xf numFmtId="0" fontId="0" fillId="0" borderId="0" xfId="0" applyBorder="1"/>
    <xf numFmtId="49" fontId="0" fillId="0" borderId="0" xfId="0" applyNumberFormat="1" applyAlignment="1">
      <alignment horizontal="center" vertical="center"/>
    </xf>
    <xf numFmtId="0" fontId="0" fillId="0" borderId="0" xfId="0" applyAlignment="1">
      <alignment horizontal="center" vertical="center"/>
    </xf>
    <xf numFmtId="49" fontId="1" fillId="0" borderId="7" xfId="0" applyNumberFormat="1" applyFont="1" applyBorder="1" applyAlignment="1">
      <alignment horizontal="left" vertical="center" wrapText="1" indent="1"/>
    </xf>
    <xf numFmtId="49" fontId="1" fillId="0" borderId="11" xfId="0" applyNumberFormat="1" applyFont="1" applyBorder="1" applyAlignment="1">
      <alignment horizontal="left" vertical="center" wrapText="1" indent="1"/>
    </xf>
    <xf numFmtId="1" fontId="1" fillId="0" borderId="3" xfId="0" applyNumberFormat="1" applyFont="1" applyBorder="1" applyAlignment="1">
      <alignment horizontal="left" vertical="center" wrapText="1" indent="1"/>
    </xf>
    <xf numFmtId="1" fontId="3" fillId="0" borderId="3" xfId="0" applyNumberFormat="1" applyFont="1" applyBorder="1" applyAlignment="1">
      <alignment horizontal="left" vertical="center" wrapText="1" indent="1"/>
    </xf>
    <xf numFmtId="2" fontId="1" fillId="0" borderId="3" xfId="0" applyNumberFormat="1" applyFont="1" applyBorder="1" applyAlignment="1">
      <alignment horizontal="left" vertical="center" wrapText="1" indent="1"/>
    </xf>
    <xf numFmtId="1" fontId="2" fillId="0" borderId="3" xfId="0" applyNumberFormat="1" applyFont="1" applyBorder="1" applyAlignment="1">
      <alignment horizontal="left" vertical="center" wrapText="1" indent="1"/>
    </xf>
    <xf numFmtId="49" fontId="5" fillId="2" borderId="8" xfId="0" applyNumberFormat="1" applyFont="1" applyFill="1" applyBorder="1" applyAlignment="1">
      <alignment horizontal="center" vertical="center" wrapText="1"/>
    </xf>
    <xf numFmtId="2" fontId="5" fillId="2" borderId="9" xfId="0" applyNumberFormat="1" applyFont="1" applyFill="1" applyBorder="1" applyAlignment="1">
      <alignment horizontal="center" vertical="center" wrapText="1"/>
    </xf>
    <xf numFmtId="1" fontId="5" fillId="2" borderId="9" xfId="0" applyNumberFormat="1" applyFont="1" applyFill="1" applyBorder="1" applyAlignment="1">
      <alignment horizontal="center" vertical="center" wrapText="1"/>
    </xf>
    <xf numFmtId="49" fontId="9" fillId="2" borderId="9" xfId="0" applyNumberFormat="1" applyFont="1" applyFill="1" applyBorder="1" applyAlignment="1">
      <alignment vertical="center"/>
    </xf>
    <xf numFmtId="2" fontId="0" fillId="0" borderId="9" xfId="0" applyNumberFormat="1" applyBorder="1" applyAlignment="1">
      <alignment vertical="center"/>
    </xf>
    <xf numFmtId="49" fontId="0" fillId="0" borderId="9" xfId="0" applyNumberFormat="1" applyBorder="1" applyAlignment="1">
      <alignment vertical="center"/>
    </xf>
    <xf numFmtId="2" fontId="5" fillId="2" borderId="10" xfId="0" applyNumberFormat="1" applyFont="1" applyFill="1" applyBorder="1" applyAlignment="1">
      <alignment horizontal="center" vertical="center" wrapText="1"/>
    </xf>
    <xf numFmtId="49" fontId="1" fillId="3" borderId="7" xfId="0" applyNumberFormat="1" applyFont="1" applyFill="1" applyBorder="1" applyAlignment="1">
      <alignment horizontal="left" vertical="center" wrapText="1" indent="1"/>
    </xf>
    <xf numFmtId="2" fontId="1" fillId="3" borderId="3" xfId="0" applyNumberFormat="1" applyFont="1" applyFill="1" applyBorder="1" applyAlignment="1">
      <alignment horizontal="left" vertical="center" wrapText="1" indent="1"/>
    </xf>
    <xf numFmtId="1" fontId="1" fillId="3" borderId="3" xfId="0" applyNumberFormat="1" applyFont="1" applyFill="1" applyBorder="1" applyAlignment="1">
      <alignment horizontal="left" vertical="center" wrapText="1" indent="1"/>
    </xf>
    <xf numFmtId="49" fontId="0" fillId="3" borderId="3" xfId="0" applyNumberFormat="1" applyFont="1" applyFill="1" applyBorder="1" applyAlignment="1">
      <alignment vertical="center"/>
    </xf>
    <xf numFmtId="2" fontId="0" fillId="0" borderId="3" xfId="0" applyNumberFormat="1" applyBorder="1" applyAlignment="1">
      <alignment vertical="center"/>
    </xf>
    <xf numFmtId="49" fontId="0" fillId="0" borderId="3" xfId="0" applyNumberFormat="1" applyBorder="1" applyAlignment="1">
      <alignment vertical="center"/>
    </xf>
    <xf numFmtId="2" fontId="1" fillId="3" borderId="3" xfId="0" applyNumberFormat="1" applyFont="1" applyFill="1" applyBorder="1" applyAlignment="1">
      <alignment horizontal="left" vertical="center" wrapText="1"/>
    </xf>
    <xf numFmtId="2" fontId="2" fillId="3" borderId="6" xfId="0" applyNumberFormat="1" applyFont="1" applyFill="1" applyBorder="1" applyAlignment="1">
      <alignment horizontal="left" vertical="center" wrapText="1" indent="1"/>
    </xf>
    <xf numFmtId="49" fontId="0" fillId="0" borderId="3" xfId="0" applyNumberFormat="1" applyFont="1" applyBorder="1" applyAlignment="1">
      <alignment vertical="center"/>
    </xf>
    <xf numFmtId="2" fontId="2" fillId="0" borderId="6" xfId="0" applyNumberFormat="1" applyFont="1" applyBorder="1" applyAlignment="1">
      <alignment horizontal="left" vertical="center" wrapText="1" indent="1"/>
    </xf>
    <xf numFmtId="1" fontId="3" fillId="3" borderId="3" xfId="0" applyNumberFormat="1" applyFont="1" applyFill="1" applyBorder="1" applyAlignment="1">
      <alignment horizontal="left" vertical="center" wrapText="1" indent="1"/>
    </xf>
    <xf numFmtId="2" fontId="3" fillId="3" borderId="6" xfId="0" applyNumberFormat="1" applyFont="1" applyFill="1" applyBorder="1" applyAlignment="1">
      <alignment horizontal="left" vertical="center" wrapText="1" indent="1"/>
    </xf>
    <xf numFmtId="2" fontId="1" fillId="3" borderId="6" xfId="0" applyNumberFormat="1" applyFont="1" applyFill="1" applyBorder="1" applyAlignment="1">
      <alignment horizontal="left" vertical="center" wrapText="1" indent="1"/>
    </xf>
    <xf numFmtId="2" fontId="3" fillId="0" borderId="6" xfId="0" applyNumberFormat="1" applyFont="1" applyBorder="1" applyAlignment="1">
      <alignment horizontal="left" vertical="center" wrapText="1" indent="1"/>
    </xf>
    <xf numFmtId="1" fontId="2" fillId="3" borderId="3" xfId="0" applyNumberFormat="1" applyFont="1" applyFill="1" applyBorder="1" applyAlignment="1">
      <alignment horizontal="left" vertical="center" wrapText="1" indent="1"/>
    </xf>
    <xf numFmtId="1" fontId="1" fillId="0" borderId="5" xfId="0" applyNumberFormat="1" applyFont="1" applyBorder="1" applyAlignment="1">
      <alignment horizontal="left" vertical="center" wrapText="1" indent="1"/>
    </xf>
    <xf numFmtId="49" fontId="0" fillId="0" borderId="5" xfId="0" applyNumberFormat="1" applyFont="1" applyBorder="1" applyAlignment="1">
      <alignment vertical="center"/>
    </xf>
    <xf numFmtId="2" fontId="0" fillId="0" borderId="5" xfId="0" applyNumberFormat="1" applyBorder="1" applyAlignment="1">
      <alignment vertical="center"/>
    </xf>
    <xf numFmtId="49" fontId="0" fillId="0" borderId="5" xfId="0" applyNumberFormat="1" applyBorder="1" applyAlignment="1">
      <alignment vertical="center"/>
    </xf>
    <xf numFmtId="1" fontId="2" fillId="0" borderId="5" xfId="0" applyNumberFormat="1" applyFont="1" applyBorder="1" applyAlignment="1">
      <alignment horizontal="left" vertical="center" wrapText="1" indent="1"/>
    </xf>
    <xf numFmtId="2" fontId="2" fillId="0" borderId="4" xfId="0" applyNumberFormat="1" applyFont="1" applyBorder="1" applyAlignment="1">
      <alignment horizontal="left" vertical="center" wrapText="1" indent="1"/>
    </xf>
    <xf numFmtId="49" fontId="1" fillId="0" borderId="3" xfId="0" applyNumberFormat="1" applyFont="1" applyBorder="1" applyAlignment="1">
      <alignment horizontal="left" vertical="center"/>
    </xf>
    <xf numFmtId="49" fontId="1" fillId="0" borderId="5" xfId="0" applyNumberFormat="1" applyFont="1" applyBorder="1" applyAlignment="1">
      <alignment horizontal="left" vertical="center"/>
    </xf>
    <xf numFmtId="49" fontId="0" fillId="0" borderId="0" xfId="0" applyNumberFormat="1" applyAlignment="1"/>
    <xf numFmtId="49" fontId="5" fillId="2" borderId="9" xfId="0" applyNumberFormat="1" applyFont="1" applyFill="1" applyBorder="1" applyAlignment="1">
      <alignment horizontal="center" vertical="center"/>
    </xf>
    <xf numFmtId="49" fontId="1" fillId="3" borderId="3" xfId="0" applyNumberFormat="1" applyFont="1" applyFill="1" applyBorder="1" applyAlignment="1">
      <alignment horizontal="left" vertical="center"/>
    </xf>
    <xf numFmtId="49" fontId="1" fillId="0" borderId="0" xfId="0" applyNumberFormat="1" applyFont="1" applyFill="1" applyBorder="1" applyAlignment="1">
      <alignment horizontal="left" vertical="center"/>
    </xf>
    <xf numFmtId="0" fontId="0" fillId="0" borderId="0" xfId="0" applyAlignment="1"/>
    <xf numFmtId="0" fontId="11" fillId="0" borderId="0" xfId="0" applyFont="1" applyAlignment="1">
      <alignment vertical="center"/>
    </xf>
    <xf numFmtId="0" fontId="0" fillId="0" borderId="0" xfId="0" applyAlignment="1">
      <alignment horizontal="center"/>
    </xf>
    <xf numFmtId="0" fontId="0" fillId="0" borderId="0" xfId="0"/>
    <xf numFmtId="0" fontId="0" fillId="0" borderId="7" xfId="0" applyBorder="1" applyAlignment="1">
      <alignment vertical="center" wrapText="1"/>
    </xf>
    <xf numFmtId="4" fontId="0" fillId="0" borderId="3" xfId="0" applyNumberFormat="1" applyBorder="1" applyAlignment="1">
      <alignment horizontal="right" vertical="center" wrapText="1"/>
    </xf>
    <xf numFmtId="0" fontId="0" fillId="0" borderId="6" xfId="0" applyBorder="1" applyAlignment="1">
      <alignment horizontal="right" vertical="center" wrapText="1"/>
    </xf>
    <xf numFmtId="4" fontId="0" fillId="0" borderId="6" xfId="0" applyNumberFormat="1" applyBorder="1" applyAlignment="1">
      <alignment horizontal="right" vertical="center" wrapText="1"/>
    </xf>
    <xf numFmtId="10" fontId="10" fillId="0" borderId="3" xfId="0" applyNumberFormat="1" applyFont="1" applyBorder="1" applyAlignment="1">
      <alignment horizontal="right" vertical="center" wrapText="1"/>
    </xf>
    <xf numFmtId="10" fontId="10" fillId="0" borderId="6" xfId="0" applyNumberFormat="1" applyFont="1" applyBorder="1" applyAlignment="1">
      <alignment horizontal="right" vertical="center" wrapText="1"/>
    </xf>
    <xf numFmtId="0" fontId="0" fillId="0" borderId="11" xfId="0" applyBorder="1" applyAlignment="1">
      <alignment vertical="center" wrapText="1"/>
    </xf>
    <xf numFmtId="0" fontId="0" fillId="0" borderId="5" xfId="0" applyBorder="1" applyAlignment="1">
      <alignment horizontal="right" vertical="center" wrapText="1"/>
    </xf>
    <xf numFmtId="0" fontId="0" fillId="0" borderId="4" xfId="0" applyBorder="1" applyAlignment="1">
      <alignment horizontal="right" vertical="center" wrapText="1"/>
    </xf>
    <xf numFmtId="0" fontId="25" fillId="0" borderId="8" xfId="0" applyFont="1" applyBorder="1" applyAlignment="1">
      <alignment vertical="center" wrapText="1"/>
    </xf>
    <xf numFmtId="0" fontId="25" fillId="0" borderId="9" xfId="0" applyFont="1" applyBorder="1" applyAlignment="1">
      <alignment vertical="center" wrapText="1"/>
    </xf>
    <xf numFmtId="0" fontId="25" fillId="0" borderId="10" xfId="0" applyFont="1" applyBorder="1" applyAlignment="1">
      <alignment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0" fillId="0" borderId="6" xfId="0" applyBorder="1" applyAlignment="1">
      <alignment horizontal="center"/>
    </xf>
    <xf numFmtId="0" fontId="0" fillId="0" borderId="11"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xf>
    <xf numFmtId="0" fontId="25" fillId="0" borderId="8" xfId="0" applyFont="1" applyBorder="1" applyAlignment="1">
      <alignment horizontal="center" vertical="center" wrapText="1"/>
    </xf>
    <xf numFmtId="0" fontId="25" fillId="0" borderId="9" xfId="0" applyFont="1" applyBorder="1" applyAlignment="1">
      <alignment horizontal="center" vertical="center" wrapText="1"/>
    </xf>
    <xf numFmtId="0" fontId="25" fillId="0" borderId="10" xfId="0" applyFont="1" applyBorder="1" applyAlignment="1">
      <alignment horizontal="center"/>
    </xf>
    <xf numFmtId="0" fontId="0" fillId="0" borderId="3" xfId="0" applyBorder="1"/>
    <xf numFmtId="49" fontId="0" fillId="0" borderId="3" xfId="0" applyNumberFormat="1" applyBorder="1" applyAlignment="1">
      <alignment horizontal="left"/>
    </xf>
    <xf numFmtId="0" fontId="0" fillId="0" borderId="3" xfId="0" applyNumberFormat="1" applyBorder="1"/>
    <xf numFmtId="0" fontId="14" fillId="0" borderId="3" xfId="0" pivotButton="1" applyFont="1" applyBorder="1" applyAlignment="1"/>
    <xf numFmtId="0" fontId="14" fillId="0" borderId="3" xfId="0" applyFont="1" applyBorder="1"/>
    <xf numFmtId="0" fontId="0" fillId="0" borderId="3" xfId="0" applyBorder="1" applyAlignment="1">
      <alignment horizontal="left"/>
    </xf>
    <xf numFmtId="0" fontId="10" fillId="0" borderId="3" xfId="0" applyFont="1" applyBorder="1" applyAlignment="1">
      <alignment horizontal="center" vertical="center"/>
    </xf>
    <xf numFmtId="0" fontId="10" fillId="0" borderId="3" xfId="0" applyFont="1" applyBorder="1" applyAlignment="1">
      <alignment horizontal="right" vertical="center"/>
    </xf>
    <xf numFmtId="0" fontId="10" fillId="0" borderId="3" xfId="0" applyFont="1" applyBorder="1" applyAlignment="1">
      <alignment horizontal="right" vertical="center" wrapText="1"/>
    </xf>
    <xf numFmtId="0" fontId="0" fillId="3" borderId="4" xfId="0" applyFont="1" applyFill="1" applyBorder="1" applyAlignment="1">
      <alignment vertical="center" wrapText="1"/>
    </xf>
    <xf numFmtId="4" fontId="10" fillId="3" borderId="5" xfId="0" applyNumberFormat="1" applyFont="1" applyFill="1" applyBorder="1" applyAlignment="1">
      <alignment horizontal="right" vertical="center" wrapText="1"/>
    </xf>
    <xf numFmtId="0" fontId="0" fillId="0" borderId="4" xfId="0" applyFont="1" applyBorder="1" applyAlignment="1">
      <alignment vertical="center" wrapText="1"/>
    </xf>
    <xf numFmtId="4" fontId="10" fillId="0" borderId="5" xfId="0" applyNumberFormat="1" applyFont="1" applyBorder="1" applyAlignment="1">
      <alignment horizontal="right" vertical="center" wrapText="1"/>
    </xf>
    <xf numFmtId="0" fontId="10" fillId="0" borderId="5" xfId="0" applyFont="1" applyBorder="1" applyAlignment="1">
      <alignment horizontal="right" vertical="center" wrapText="1"/>
    </xf>
    <xf numFmtId="0" fontId="10" fillId="3" borderId="5" xfId="0" applyFont="1" applyFill="1" applyBorder="1" applyAlignment="1">
      <alignment horizontal="right" vertical="center" wrapText="1"/>
    </xf>
    <xf numFmtId="0" fontId="0" fillId="0" borderId="6" xfId="0" applyFont="1" applyBorder="1" applyAlignment="1">
      <alignment vertical="center" wrapText="1"/>
    </xf>
    <xf numFmtId="0" fontId="28" fillId="2" borderId="4" xfId="0" applyFont="1" applyFill="1" applyBorder="1" applyAlignment="1">
      <alignment horizontal="center" vertical="center"/>
    </xf>
    <xf numFmtId="0" fontId="28" fillId="2" borderId="5" xfId="0" applyFont="1" applyFill="1" applyBorder="1" applyAlignment="1">
      <alignment horizontal="right" vertical="center"/>
    </xf>
    <xf numFmtId="0" fontId="0" fillId="0" borderId="0" xfId="0" applyAlignment="1">
      <alignment vertical="center"/>
    </xf>
    <xf numFmtId="0" fontId="27" fillId="7" borderId="5" xfId="0" applyFont="1" applyFill="1" applyBorder="1"/>
    <xf numFmtId="0" fontId="31" fillId="2" borderId="3" xfId="0" applyFont="1" applyFill="1" applyBorder="1" applyAlignment="1">
      <alignment horizontal="center" vertical="center"/>
    </xf>
    <xf numFmtId="0" fontId="0" fillId="3" borderId="3" xfId="0" applyFont="1" applyFill="1" applyBorder="1" applyAlignment="1">
      <alignment vertical="center"/>
    </xf>
    <xf numFmtId="0" fontId="10" fillId="3" borderId="3" xfId="0" applyFont="1" applyFill="1" applyBorder="1" applyAlignment="1">
      <alignment horizontal="right" vertical="center"/>
    </xf>
    <xf numFmtId="0" fontId="0" fillId="0" borderId="3" xfId="0" applyFont="1" applyBorder="1" applyAlignment="1">
      <alignment vertical="center"/>
    </xf>
    <xf numFmtId="0" fontId="0" fillId="3" borderId="3" xfId="0" applyFont="1" applyFill="1" applyBorder="1" applyAlignment="1">
      <alignment horizontal="center" vertical="center"/>
    </xf>
    <xf numFmtId="0" fontId="0" fillId="0" borderId="3" xfId="0" applyFont="1" applyBorder="1" applyAlignment="1">
      <alignment horizontal="center" vertical="center"/>
    </xf>
    <xf numFmtId="0" fontId="10" fillId="3" borderId="3" xfId="0" applyFont="1" applyFill="1" applyBorder="1" applyAlignment="1">
      <alignment horizontal="center" vertical="center"/>
    </xf>
    <xf numFmtId="0" fontId="28" fillId="2" borderId="3" xfId="0" applyFont="1" applyFill="1" applyBorder="1" applyAlignment="1">
      <alignment horizontal="center" vertical="center"/>
    </xf>
    <xf numFmtId="0" fontId="12" fillId="0" borderId="0" xfId="0" applyFont="1" applyBorder="1" applyAlignment="1">
      <alignment vertical="center"/>
    </xf>
    <xf numFmtId="49" fontId="1" fillId="0" borderId="4" xfId="0" applyNumberFormat="1" applyFont="1" applyFill="1" applyBorder="1" applyAlignment="1">
      <alignment horizontal="left" vertical="center"/>
    </xf>
    <xf numFmtId="2" fontId="1" fillId="0" borderId="4" xfId="0" applyNumberFormat="1" applyFont="1" applyFill="1" applyBorder="1" applyAlignment="1">
      <alignment vertical="center" wrapText="1"/>
    </xf>
    <xf numFmtId="49" fontId="1" fillId="0" borderId="12" xfId="0" applyNumberFormat="1" applyFont="1" applyFill="1" applyBorder="1" applyAlignment="1">
      <alignment horizontal="left" vertical="center" wrapText="1" indent="1"/>
    </xf>
    <xf numFmtId="49" fontId="6" fillId="0" borderId="0" xfId="0" applyNumberFormat="1" applyFont="1" applyFill="1" applyBorder="1" applyAlignment="1">
      <alignment horizontal="center" wrapText="1"/>
    </xf>
    <xf numFmtId="49" fontId="6" fillId="0" borderId="13" xfId="0" applyNumberFormat="1" applyFont="1" applyFill="1" applyBorder="1" applyAlignment="1">
      <alignment horizontal="center"/>
    </xf>
    <xf numFmtId="2" fontId="6" fillId="0" borderId="13" xfId="0" applyNumberFormat="1" applyFont="1" applyFill="1" applyBorder="1" applyAlignment="1">
      <alignment horizontal="center" vertical="center" wrapText="1"/>
    </xf>
    <xf numFmtId="0" fontId="6" fillId="0" borderId="13" xfId="0" applyFont="1" applyFill="1" applyBorder="1" applyAlignment="1">
      <alignment horizontal="center" vertical="center" wrapText="1"/>
    </xf>
    <xf numFmtId="49" fontId="5" fillId="0" borderId="0" xfId="0" applyNumberFormat="1" applyFont="1" applyFill="1" applyBorder="1" applyAlignment="1">
      <alignment horizontal="center" vertical="center" wrapText="1"/>
    </xf>
    <xf numFmtId="1" fontId="5" fillId="0" borderId="3" xfId="0" applyNumberFormat="1" applyFont="1" applyFill="1" applyBorder="1" applyAlignment="1">
      <alignment horizontal="center" vertical="center" wrapText="1"/>
    </xf>
    <xf numFmtId="0" fontId="5" fillId="0" borderId="3" xfId="0" applyFont="1" applyFill="1" applyBorder="1" applyAlignment="1">
      <alignment horizontal="center" vertical="center" wrapText="1"/>
    </xf>
    <xf numFmtId="2" fontId="8" fillId="0" borderId="3" xfId="0" applyNumberFormat="1" applyFont="1" applyFill="1" applyBorder="1"/>
    <xf numFmtId="0" fontId="8" fillId="0" borderId="3" xfId="0" applyFont="1" applyFill="1" applyBorder="1"/>
    <xf numFmtId="2" fontId="5" fillId="0" borderId="3" xfId="1" applyNumberFormat="1" applyFont="1" applyFill="1" applyBorder="1" applyAlignment="1">
      <alignment horizontal="center" vertical="center" wrapText="1"/>
    </xf>
    <xf numFmtId="2" fontId="5" fillId="0" borderId="3" xfId="0" applyNumberFormat="1" applyFont="1" applyFill="1" applyBorder="1" applyAlignment="1">
      <alignment horizontal="center" vertical="center" wrapText="1"/>
    </xf>
    <xf numFmtId="49" fontId="1" fillId="0" borderId="2" xfId="0" applyNumberFormat="1" applyFont="1" applyFill="1" applyBorder="1" applyAlignment="1">
      <alignment horizontal="left" vertical="center" wrapText="1" indent="1"/>
    </xf>
    <xf numFmtId="49" fontId="1" fillId="0" borderId="2" xfId="0" applyNumberFormat="1" applyFont="1" applyFill="1" applyBorder="1" applyAlignment="1">
      <alignment horizontal="left" vertical="center" indent="1"/>
    </xf>
    <xf numFmtId="1" fontId="1" fillId="0" borderId="3" xfId="0" applyNumberFormat="1" applyFont="1" applyFill="1" applyBorder="1" applyAlignment="1">
      <alignment horizontal="left" vertical="center" wrapText="1" indent="1"/>
    </xf>
    <xf numFmtId="0" fontId="1" fillId="0" borderId="3" xfId="0" applyFont="1" applyFill="1" applyBorder="1" applyAlignment="1">
      <alignment horizontal="left" vertical="center" wrapText="1" indent="1"/>
    </xf>
    <xf numFmtId="2" fontId="0" fillId="0" borderId="3" xfId="0" applyNumberFormat="1" applyFont="1" applyFill="1" applyBorder="1"/>
    <xf numFmtId="0" fontId="0" fillId="0" borderId="3" xfId="0" applyFont="1" applyFill="1" applyBorder="1"/>
    <xf numFmtId="2" fontId="1" fillId="0" borderId="3" xfId="1" applyNumberFormat="1" applyFont="1" applyFill="1" applyBorder="1" applyAlignment="1">
      <alignment horizontal="left" vertical="center" wrapText="1" indent="1"/>
    </xf>
    <xf numFmtId="2" fontId="2" fillId="0" borderId="3" xfId="0" applyNumberFormat="1" applyFont="1" applyFill="1" applyBorder="1" applyAlignment="1">
      <alignment horizontal="left" vertical="center" wrapText="1" indent="1"/>
    </xf>
    <xf numFmtId="2" fontId="1" fillId="0" borderId="3" xfId="0" applyNumberFormat="1" applyFont="1" applyFill="1" applyBorder="1" applyAlignment="1">
      <alignment horizontal="left" vertical="center" wrapText="1" indent="1"/>
    </xf>
    <xf numFmtId="2" fontId="3" fillId="0" borderId="3" xfId="0" applyNumberFormat="1" applyFont="1" applyFill="1" applyBorder="1" applyAlignment="1">
      <alignment horizontal="left" vertical="center" wrapText="1" indent="1"/>
    </xf>
    <xf numFmtId="1" fontId="3" fillId="0" borderId="3" xfId="0" applyNumberFormat="1" applyFont="1" applyFill="1" applyBorder="1" applyAlignment="1">
      <alignment horizontal="left" vertical="center" wrapText="1" indent="1"/>
    </xf>
    <xf numFmtId="49" fontId="1" fillId="0" borderId="1" xfId="0" applyNumberFormat="1" applyFont="1" applyFill="1" applyBorder="1" applyAlignment="1">
      <alignment horizontal="left" vertical="center" wrapText="1" indent="1"/>
    </xf>
    <xf numFmtId="49" fontId="1" fillId="0" borderId="1" xfId="0" applyNumberFormat="1" applyFont="1" applyFill="1" applyBorder="1" applyAlignment="1">
      <alignment horizontal="left" vertical="center" indent="1"/>
    </xf>
    <xf numFmtId="1" fontId="2" fillId="0" borderId="3" xfId="0" applyNumberFormat="1" applyFont="1" applyFill="1" applyBorder="1" applyAlignment="1">
      <alignment horizontal="left" vertical="center" wrapText="1" indent="1"/>
    </xf>
    <xf numFmtId="49" fontId="25" fillId="0" borderId="0" xfId="0" applyNumberFormat="1" applyFont="1" applyAlignment="1">
      <alignment horizontal="center" vertical="center" wrapText="1"/>
    </xf>
    <xf numFmtId="0" fontId="25" fillId="0" borderId="0" xfId="0" applyFont="1" applyAlignment="1">
      <alignment horizontal="center" vertical="center" wrapText="1"/>
    </xf>
    <xf numFmtId="0" fontId="25" fillId="0" borderId="0" xfId="0" applyFont="1" applyAlignment="1">
      <alignment horizontal="center" vertical="center"/>
    </xf>
    <xf numFmtId="0" fontId="0" fillId="0" borderId="3" xfId="0" pivotButton="1" applyBorder="1"/>
    <xf numFmtId="0" fontId="28" fillId="2" borderId="3" xfId="0" applyFont="1" applyFill="1" applyBorder="1" applyAlignment="1">
      <alignment horizontal="right" vertical="center"/>
    </xf>
    <xf numFmtId="0" fontId="0" fillId="0" borderId="0" xfId="0"/>
    <xf numFmtId="0" fontId="14" fillId="9" borderId="0" xfId="0" applyFont="1" applyFill="1" applyBorder="1" applyAlignment="1">
      <alignment vertical="center" wrapText="1"/>
    </xf>
    <xf numFmtId="0" fontId="14" fillId="9" borderId="12" xfId="0" applyFont="1" applyFill="1" applyBorder="1" applyAlignment="1">
      <alignment vertical="center" wrapText="1"/>
    </xf>
    <xf numFmtId="0" fontId="0" fillId="9" borderId="12" xfId="0" applyFill="1" applyBorder="1" applyAlignment="1">
      <alignment vertical="center" wrapText="1"/>
    </xf>
    <xf numFmtId="0" fontId="0" fillId="9" borderId="0" xfId="0" applyFill="1" applyBorder="1" applyAlignment="1">
      <alignment vertical="center" wrapText="1"/>
    </xf>
    <xf numFmtId="0" fontId="0" fillId="9" borderId="12" xfId="0" applyFill="1" applyBorder="1" applyAlignment="1">
      <alignment vertical="center"/>
    </xf>
    <xf numFmtId="0" fontId="0" fillId="9" borderId="0" xfId="0" applyFill="1" applyBorder="1" applyAlignment="1">
      <alignment vertical="center"/>
    </xf>
    <xf numFmtId="0" fontId="10" fillId="9" borderId="0" xfId="0" applyFont="1" applyFill="1" applyBorder="1" applyAlignment="1"/>
    <xf numFmtId="0" fontId="12" fillId="9" borderId="0" xfId="0" applyFont="1" applyFill="1" applyBorder="1" applyAlignment="1">
      <alignment vertical="center" wrapText="1"/>
    </xf>
    <xf numFmtId="0" fontId="12" fillId="9" borderId="12" xfId="0" applyFont="1" applyFill="1" applyBorder="1" applyAlignment="1">
      <alignment vertical="center" wrapText="1"/>
    </xf>
    <xf numFmtId="0" fontId="0" fillId="3" borderId="4" xfId="0" applyFont="1" applyFill="1" applyBorder="1" applyAlignment="1">
      <alignment horizontal="center" vertical="center" wrapText="1"/>
    </xf>
    <xf numFmtId="0" fontId="0" fillId="0" borderId="4" xfId="0" applyFont="1" applyBorder="1" applyAlignment="1">
      <alignment horizontal="center" vertical="center" wrapText="1"/>
    </xf>
    <xf numFmtId="0" fontId="0" fillId="0" borderId="6" xfId="0" applyFont="1" applyBorder="1" applyAlignment="1">
      <alignment horizontal="center" vertical="center" wrapText="1"/>
    </xf>
    <xf numFmtId="2" fontId="0" fillId="3" borderId="6" xfId="0" applyNumberFormat="1" applyFont="1" applyFill="1" applyBorder="1" applyAlignment="1">
      <alignment horizontal="center"/>
    </xf>
    <xf numFmtId="2" fontId="0" fillId="3" borderId="15" xfId="0" applyNumberFormat="1" applyFont="1" applyFill="1" applyBorder="1" applyAlignment="1">
      <alignment horizontal="center"/>
    </xf>
    <xf numFmtId="2" fontId="0" fillId="3" borderId="7" xfId="0" applyNumberFormat="1" applyFont="1" applyFill="1" applyBorder="1" applyAlignment="1">
      <alignment horizontal="center"/>
    </xf>
    <xf numFmtId="0" fontId="16" fillId="4" borderId="5" xfId="0" applyFont="1" applyFill="1" applyBorder="1"/>
    <xf numFmtId="0" fontId="16" fillId="4" borderId="5" xfId="0" applyFont="1" applyFill="1" applyBorder="1" applyAlignment="1">
      <alignment wrapText="1"/>
    </xf>
    <xf numFmtId="0" fontId="0" fillId="3" borderId="6" xfId="0" applyFont="1" applyFill="1" applyBorder="1" applyAlignment="1">
      <alignment horizontal="center"/>
    </xf>
    <xf numFmtId="0" fontId="0" fillId="3" borderId="15" xfId="0" applyFont="1" applyFill="1" applyBorder="1" applyAlignment="1">
      <alignment horizontal="center"/>
    </xf>
    <xf numFmtId="0" fontId="0" fillId="3" borderId="7" xfId="0" applyFont="1" applyFill="1" applyBorder="1" applyAlignment="1">
      <alignment horizontal="center"/>
    </xf>
    <xf numFmtId="0" fontId="14" fillId="6" borderId="4" xfId="0" applyFont="1" applyFill="1" applyBorder="1" applyAlignment="1">
      <alignment horizontal="left" vertical="center" wrapText="1"/>
    </xf>
    <xf numFmtId="0" fontId="14" fillId="6" borderId="12" xfId="0" applyFont="1" applyFill="1" applyBorder="1" applyAlignment="1">
      <alignment horizontal="left" vertical="center" wrapText="1"/>
    </xf>
    <xf numFmtId="0" fontId="14" fillId="6" borderId="11" xfId="0" applyFont="1" applyFill="1" applyBorder="1" applyAlignment="1">
      <alignment horizontal="left" vertical="center" wrapText="1"/>
    </xf>
    <xf numFmtId="0" fontId="14" fillId="6" borderId="13" xfId="0" applyFont="1" applyFill="1" applyBorder="1" applyAlignment="1">
      <alignment horizontal="left" vertical="center" wrapText="1"/>
    </xf>
    <xf numFmtId="0" fontId="14" fillId="6" borderId="0" xfId="0" applyFont="1" applyFill="1" applyBorder="1" applyAlignment="1">
      <alignment horizontal="left" vertical="center" wrapText="1"/>
    </xf>
    <xf numFmtId="0" fontId="14" fillId="6" borderId="14" xfId="0" applyFont="1" applyFill="1" applyBorder="1" applyAlignment="1">
      <alignment horizontal="left" vertical="center" wrapText="1"/>
    </xf>
    <xf numFmtId="0" fontId="0" fillId="0" borderId="6" xfId="0" applyFont="1" applyBorder="1" applyAlignment="1">
      <alignment horizontal="center"/>
    </xf>
    <xf numFmtId="0" fontId="0" fillId="0" borderId="15" xfId="0" applyFont="1" applyBorder="1" applyAlignment="1">
      <alignment horizontal="center"/>
    </xf>
    <xf numFmtId="0" fontId="0" fillId="0" borderId="7" xfId="0" applyFont="1" applyBorder="1" applyAlignment="1">
      <alignment horizontal="center"/>
    </xf>
    <xf numFmtId="0" fontId="15" fillId="2" borderId="6" xfId="0" applyFont="1" applyFill="1" applyBorder="1" applyAlignment="1">
      <alignment horizontal="center"/>
    </xf>
    <xf numFmtId="0" fontId="15" fillId="2" borderId="15" xfId="0" applyFont="1" applyFill="1" applyBorder="1" applyAlignment="1">
      <alignment horizontal="center"/>
    </xf>
    <xf numFmtId="0" fontId="15" fillId="2" borderId="7" xfId="0" applyFont="1" applyFill="1" applyBorder="1" applyAlignment="1">
      <alignment horizontal="center"/>
    </xf>
    <xf numFmtId="2" fontId="0" fillId="0" borderId="6" xfId="0" applyNumberFormat="1" applyFont="1" applyBorder="1" applyAlignment="1">
      <alignment horizontal="center"/>
    </xf>
    <xf numFmtId="2" fontId="0" fillId="0" borderId="15" xfId="0" applyNumberFormat="1" applyFont="1" applyBorder="1" applyAlignment="1">
      <alignment horizontal="center"/>
    </xf>
    <xf numFmtId="2" fontId="0" fillId="0" borderId="7" xfId="0" applyNumberFormat="1" applyFont="1" applyBorder="1" applyAlignment="1">
      <alignment horizontal="center"/>
    </xf>
    <xf numFmtId="0" fontId="13" fillId="4" borderId="3" xfId="0" applyFont="1" applyFill="1" applyBorder="1" applyAlignment="1">
      <alignment horizontal="center" vertical="center"/>
    </xf>
    <xf numFmtId="0" fontId="21" fillId="5" borderId="3" xfId="0" applyFont="1" applyFill="1" applyBorder="1" applyAlignment="1">
      <alignment horizontal="center" wrapText="1"/>
    </xf>
    <xf numFmtId="0" fontId="21" fillId="5" borderId="3" xfId="0" applyFont="1" applyFill="1" applyBorder="1" applyAlignment="1">
      <alignment horizontal="center"/>
    </xf>
    <xf numFmtId="0" fontId="0" fillId="0" borderId="0" xfId="0"/>
    <xf numFmtId="0" fontId="14" fillId="6" borderId="3" xfId="0" applyFont="1" applyFill="1" applyBorder="1" applyAlignment="1">
      <alignment wrapText="1"/>
    </xf>
    <xf numFmtId="0" fontId="14" fillId="6" borderId="3" xfId="0" applyFont="1" applyFill="1" applyBorder="1"/>
    <xf numFmtId="0" fontId="0" fillId="0" borderId="3" xfId="0" applyNumberFormat="1" applyFont="1" applyBorder="1" applyAlignment="1">
      <alignment horizontal="center"/>
    </xf>
    <xf numFmtId="0" fontId="0" fillId="9" borderId="12" xfId="0" applyFill="1" applyBorder="1" applyAlignment="1">
      <alignment vertical="center" wrapText="1"/>
    </xf>
    <xf numFmtId="0" fontId="0" fillId="9" borderId="0" xfId="0" applyFill="1" applyBorder="1" applyAlignment="1">
      <alignment vertical="center" wrapText="1"/>
    </xf>
    <xf numFmtId="0" fontId="0" fillId="3" borderId="3" xfId="0" applyNumberFormat="1" applyFont="1" applyFill="1" applyBorder="1" applyAlignment="1">
      <alignment horizontal="center"/>
    </xf>
    <xf numFmtId="0" fontId="17" fillId="7" borderId="5" xfId="0" applyFont="1" applyFill="1" applyBorder="1" applyAlignment="1">
      <alignment horizontal="center"/>
    </xf>
    <xf numFmtId="0" fontId="12" fillId="6" borderId="3" xfId="0" applyFont="1" applyFill="1" applyBorder="1" applyAlignment="1">
      <alignment vertical="center" wrapText="1"/>
    </xf>
    <xf numFmtId="0" fontId="12" fillId="6" borderId="5" xfId="0" applyFont="1" applyFill="1" applyBorder="1" applyAlignment="1">
      <alignment vertical="center" wrapText="1"/>
    </xf>
    <xf numFmtId="0" fontId="0" fillId="0" borderId="3" xfId="0" applyFont="1" applyBorder="1" applyAlignment="1">
      <alignment horizontal="center"/>
    </xf>
    <xf numFmtId="0" fontId="0" fillId="3" borderId="3" xfId="0" applyFont="1" applyFill="1" applyBorder="1" applyAlignment="1">
      <alignment horizontal="center"/>
    </xf>
    <xf numFmtId="0" fontId="17" fillId="7" borderId="3" xfId="0" applyFont="1" applyFill="1" applyBorder="1"/>
    <xf numFmtId="0" fontId="19" fillId="5" borderId="3" xfId="0" applyFont="1" applyFill="1" applyBorder="1" applyAlignment="1">
      <alignment horizontal="center" vertical="center" wrapText="1"/>
    </xf>
    <xf numFmtId="0" fontId="17" fillId="7" borderId="5" xfId="0" applyFont="1" applyFill="1" applyBorder="1" applyAlignment="1"/>
    <xf numFmtId="0" fontId="15" fillId="8" borderId="3" xfId="0" applyFont="1" applyFill="1" applyBorder="1" applyAlignment="1">
      <alignment horizontal="center"/>
    </xf>
    <xf numFmtId="0" fontId="10" fillId="5" borderId="3" xfId="0" applyFont="1" applyFill="1" applyBorder="1" applyAlignment="1">
      <alignment horizontal="center" vertical="center" wrapText="1"/>
    </xf>
    <xf numFmtId="0" fontId="0" fillId="5" borderId="3" xfId="0" applyFill="1" applyBorder="1" applyAlignment="1">
      <alignment horizontal="center" vertical="center" wrapText="1"/>
    </xf>
    <xf numFmtId="0" fontId="15" fillId="5" borderId="3" xfId="0" applyFont="1" applyFill="1" applyBorder="1" applyAlignment="1">
      <alignment horizontal="left"/>
    </xf>
    <xf numFmtId="0" fontId="27" fillId="5" borderId="3" xfId="0" applyFont="1" applyFill="1" applyBorder="1"/>
    <xf numFmtId="0" fontId="29" fillId="7" borderId="3" xfId="0" applyFont="1" applyFill="1" applyBorder="1" applyAlignment="1">
      <alignment horizontal="center" vertical="center" wrapText="1"/>
    </xf>
    <xf numFmtId="0" fontId="0" fillId="7" borderId="3" xfId="0" applyFill="1" applyBorder="1" applyAlignment="1">
      <alignment horizontal="center" vertical="center"/>
    </xf>
    <xf numFmtId="0" fontId="15" fillId="7" borderId="5" xfId="0" applyFont="1" applyFill="1" applyBorder="1"/>
    <xf numFmtId="0" fontId="12" fillId="6" borderId="3" xfId="0" applyFont="1" applyFill="1" applyBorder="1" applyAlignment="1">
      <alignment vertical="center"/>
    </xf>
    <xf numFmtId="0" fontId="15" fillId="7" borderId="3" xfId="0" applyFont="1" applyFill="1" applyBorder="1"/>
    <xf numFmtId="0" fontId="12" fillId="6" borderId="3" xfId="0" applyFont="1" applyFill="1" applyBorder="1" applyAlignment="1">
      <alignment wrapText="1"/>
    </xf>
    <xf numFmtId="0" fontId="12" fillId="6" borderId="5" xfId="0" applyFont="1" applyFill="1" applyBorder="1" applyAlignment="1">
      <alignment wrapText="1"/>
    </xf>
    <xf numFmtId="0" fontId="29" fillId="5" borderId="3" xfId="0" applyFont="1" applyFill="1" applyBorder="1" applyAlignment="1">
      <alignment horizontal="center" vertical="center" wrapText="1"/>
    </xf>
    <xf numFmtId="0" fontId="29" fillId="5" borderId="3" xfId="0" applyFont="1" applyFill="1" applyBorder="1" applyAlignment="1">
      <alignment horizontal="center" vertical="center"/>
    </xf>
    <xf numFmtId="0" fontId="27" fillId="7" borderId="3" xfId="0" applyFont="1" applyFill="1" applyBorder="1" applyAlignment="1">
      <alignment horizontal="center"/>
    </xf>
    <xf numFmtId="0" fontId="27" fillId="7" borderId="5" xfId="0" applyFont="1" applyFill="1" applyBorder="1"/>
    <xf numFmtId="0" fontId="0" fillId="7" borderId="3" xfId="0" applyFill="1" applyBorder="1" applyAlignment="1">
      <alignment horizontal="center" vertical="center" wrapText="1"/>
    </xf>
    <xf numFmtId="0" fontId="27" fillId="7" borderId="13" xfId="0" applyFont="1" applyFill="1" applyBorder="1"/>
    <xf numFmtId="0" fontId="27" fillId="7" borderId="0" xfId="0" applyFont="1" applyFill="1" applyBorder="1"/>
    <xf numFmtId="0" fontId="0" fillId="6" borderId="3" xfId="0" applyFill="1" applyBorder="1" applyAlignment="1">
      <alignment vertical="center" wrapText="1"/>
    </xf>
    <xf numFmtId="0" fontId="29" fillId="7" borderId="3" xfId="0" applyFont="1" applyFill="1" applyBorder="1" applyAlignment="1">
      <alignment horizontal="center" vertical="center"/>
    </xf>
    <xf numFmtId="0" fontId="27" fillId="7" borderId="3" xfId="0" applyFont="1" applyFill="1" applyBorder="1"/>
  </cellXfs>
  <cellStyles count="2">
    <cellStyle name="Normal" xfId="0" builtinId="0"/>
    <cellStyle name="Percent" xfId="1" builtinId="5"/>
  </cellStyles>
  <dxfs count="227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horizontal="center" textRotation="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textRotation="0" indent="0" justifyLastLine="0" shrinkToFit="0" readingOrder="0"/>
    </dxf>
    <dxf>
      <border>
        <bottom style="thin">
          <color indexed="64"/>
        </bottom>
      </border>
    </dxf>
    <dxf>
      <font>
        <strike val="0"/>
        <outline val="0"/>
        <shadow val="0"/>
        <u val="none"/>
        <vertAlign val="baseline"/>
        <sz val="12"/>
        <color theme="1"/>
        <name val="Calibri"/>
        <scheme val="minor"/>
      </font>
      <alignment horizontal="center" textRotation="0" indent="0" justifyLastLine="0" shrinkToFit="0" readingOrder="0"/>
      <border diagonalUp="0" diagonalDown="0" outline="0">
        <left style="thin">
          <color indexed="64"/>
        </left>
        <right style="thin">
          <color indexed="64"/>
        </right>
        <top/>
        <bottom/>
      </border>
    </dxf>
    <dxf>
      <alignmen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center" textRotation="0" wrapText="1" indent="0" justifyLastLine="0" shrinkToFit="0" readingOrder="0"/>
    </dxf>
    <dxf>
      <border>
        <bottom style="thin">
          <color indexed="64"/>
        </bottom>
      </border>
    </dxf>
    <dxf>
      <font>
        <strike val="0"/>
        <outline val="0"/>
        <shadow val="0"/>
        <u val="none"/>
        <vertAlign val="baseline"/>
        <sz val="12"/>
        <color theme="1"/>
        <name val="Calibri"/>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8"/>
        <color rgb="FF002B54"/>
        <name val="Arial"/>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rgb="FF002B54"/>
        <name val="Arial"/>
        <scheme val="none"/>
      </font>
      <numFmt numFmtId="30" formatCode="@"/>
      <fill>
        <patternFill patternType="none">
          <fgColor indexed="64"/>
          <bgColor indexed="65"/>
        </patternFill>
      </fill>
      <alignment horizontal="left" vertical="center" textRotation="0" wrapText="1" indent="1"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8"/>
        <color rgb="FF9E9E9E"/>
        <name val="Arial"/>
        <scheme val="none"/>
      </font>
      <numFmt numFmtId="2" formatCode="0.00"/>
      <alignment horizontal="left" vertical="center" textRotation="0" wrapText="1" indent="1"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9E9E9E"/>
        <name val="Arial"/>
        <scheme val="none"/>
      </font>
      <numFmt numFmtId="1" formatCode="0"/>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2" formatCode="0.00"/>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30" formatCode="@"/>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1" formatCode="0"/>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2" formatCode="0.00"/>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2B54"/>
        <name val="Arial"/>
        <scheme val="none"/>
      </font>
      <numFmt numFmtId="30" formatCode="@"/>
      <alignment horizontal="left" vertical="center" textRotation="0" wrapText="1" indent="1"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rgb="FF002B54"/>
        <name val="Arial"/>
        <scheme val="none"/>
      </font>
      <fill>
        <patternFill patternType="solid">
          <fgColor theme="4"/>
          <bgColor theme="4"/>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rgb="FF9E9E9E"/>
        <name val="Arial"/>
        <scheme val="none"/>
      </font>
      <numFmt numFmtId="2" formatCode="0.00"/>
      <fill>
        <patternFill patternType="none">
          <fgColor indexed="64"/>
          <bgColor auto="1"/>
        </patternFill>
      </fill>
      <alignment horizontal="left" vertical="center" textRotation="0" wrapText="1" indent="1"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left" vertical="center" textRotation="0" wrapText="1" indent="1"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2B54"/>
        <name val="Arial"/>
        <scheme val="none"/>
      </font>
      <fill>
        <patternFill patternType="none">
          <fgColor indexed="64"/>
          <bgColor auto="1"/>
        </patternFill>
      </fill>
      <alignment horizontal="left" vertical="center" textRotation="0" wrapText="1" indent="1"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2B54"/>
        <name val="Arial"/>
        <scheme val="none"/>
      </font>
      <numFmt numFmtId="1" formatCode="0"/>
      <fill>
        <patternFill patternType="none">
          <fgColor indexed="64"/>
          <bgColor auto="1"/>
        </patternFill>
      </fill>
      <alignment horizontal="left" vertical="center" textRotation="0" wrapText="1" indent="1"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2B54"/>
        <name val="Arial"/>
        <scheme val="none"/>
      </font>
      <numFmt numFmtId="1" formatCode="0"/>
      <fill>
        <patternFill patternType="none">
          <fgColor indexed="64"/>
          <bgColor auto="1"/>
        </patternFill>
      </fill>
      <alignment horizontal="left" vertical="center" textRotation="0" wrapText="1" indent="1"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8"/>
        <color rgb="FF002B54"/>
        <name val="Arial"/>
        <scheme val="none"/>
      </font>
      <numFmt numFmtId="30" formatCode="@"/>
      <fill>
        <patternFill patternType="none">
          <fgColor indexed="64"/>
          <bgColor auto="1"/>
        </patternFill>
      </fill>
      <alignment horizontal="left" vertical="center" textRotation="0" wrapText="0" indent="1" justifyLastLine="0" shrinkToFit="0" readingOrder="0"/>
      <border diagonalUp="0" diagonalDown="0" outline="0">
        <left/>
        <right/>
        <top style="medium">
          <color rgb="FF737780"/>
        </top>
        <bottom/>
      </border>
    </dxf>
    <dxf>
      <font>
        <b val="0"/>
        <i val="0"/>
        <strike val="0"/>
        <condense val="0"/>
        <extend val="0"/>
        <outline val="0"/>
        <shadow val="0"/>
        <u val="none"/>
        <vertAlign val="baseline"/>
        <sz val="8"/>
        <color rgb="FF002B54"/>
        <name val="Arial"/>
        <scheme val="none"/>
      </font>
      <numFmt numFmtId="30" formatCode="@"/>
      <fill>
        <patternFill patternType="none">
          <fgColor indexed="64"/>
          <bgColor auto="1"/>
        </patternFill>
      </fill>
      <alignment horizontal="left" vertical="center" textRotation="0" wrapText="1" indent="1" justifyLastLine="0" shrinkToFit="0" readingOrder="0"/>
      <border diagonalUp="0" diagonalDown="0" outline="0">
        <left/>
        <right/>
        <top style="medium">
          <color rgb="FF737780"/>
        </top>
        <bottom/>
      </border>
    </dxf>
    <dxf>
      <border outline="0">
        <left style="thin">
          <color theme="7" tint="0.39997558519241921"/>
        </left>
        <right style="thin">
          <color theme="7" tint="0.39997558519241921"/>
        </right>
        <top style="thin">
          <color theme="7" tint="0.39997558519241921"/>
        </top>
        <bottom style="thin">
          <color theme="7" tint="0.39997558519241921"/>
        </bottom>
      </border>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30" formatCode="@"/>
      <fill>
        <patternFill patternType="none">
          <fgColor indexed="64"/>
          <bgColor indexed="65"/>
        </patternFill>
      </fill>
      <alignment horizontal="left" vertical="center" textRotation="0" wrapText="1" indent="1"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2B54"/>
        <name val="Arial"/>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1"/>
        <color theme="0"/>
        <name val="Arial"/>
        <scheme val="none"/>
      </font>
      <numFmt numFmtId="2"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002B54"/>
        <name val="Arial"/>
        <scheme val="none"/>
      </font>
      <numFmt numFmtId="30" formatCode="@"/>
      <fill>
        <patternFill patternType="none">
          <fgColor indexed="64"/>
          <bgColor indexed="65"/>
        </patternFill>
      </fill>
      <alignment horizontal="left" vertical="center" textRotation="0" wrapText="1" indent="1"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2B54"/>
        <name val="Arial"/>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1"/>
        <color theme="0"/>
        <name val="Arial"/>
        <scheme val="none"/>
      </font>
      <numFmt numFmtId="2" formatCode="0.00"/>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[05_ITC_Trade_Data_Analysis.xlsx]01_Import_Trend!PivotTable3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solidFill>
                  <a:sysClr val="windowText" lastClr="000000"/>
                </a:solidFill>
              </a:rPr>
              <a:t>Year-wise Import Trend Analysis</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'01_Import_Trend'!$C$51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'01_Import_Trend'!$B$52:$B$60</c:f>
              <c:strCache>
                <c:ptCount val="9"/>
                <c:pt idx="0">
                  <c:v>16</c:v>
                </c:pt>
                <c:pt idx="1">
                  <c:v>17</c:v>
                </c:pt>
                <c:pt idx="2">
                  <c:v>18</c:v>
                </c:pt>
                <c:pt idx="3">
                  <c:v>19</c:v>
                </c:pt>
                <c:pt idx="4">
                  <c:v>20</c:v>
                </c:pt>
                <c:pt idx="5">
                  <c:v>21</c:v>
                </c:pt>
                <c:pt idx="6">
                  <c:v>22</c:v>
                </c:pt>
                <c:pt idx="7">
                  <c:v>23</c:v>
                </c:pt>
                <c:pt idx="8">
                  <c:v>24</c:v>
                </c:pt>
              </c:strCache>
            </c:strRef>
          </c:cat>
          <c:val>
            <c:numRef>
              <c:f>'01_Import_Trend'!$C$52:$C$60</c:f>
              <c:numCache>
                <c:formatCode>General</c:formatCode>
                <c:ptCount val="9"/>
                <c:pt idx="0">
                  <c:v>5174.0400000000054</c:v>
                </c:pt>
                <c:pt idx="1">
                  <c:v>5244.1300000000028</c:v>
                </c:pt>
                <c:pt idx="2">
                  <c:v>6603.2500000000018</c:v>
                </c:pt>
                <c:pt idx="3">
                  <c:v>6952.6600000000008</c:v>
                </c:pt>
                <c:pt idx="4">
                  <c:v>5134.4799999999996</c:v>
                </c:pt>
                <c:pt idx="5">
                  <c:v>7065.3999999999987</c:v>
                </c:pt>
                <c:pt idx="6">
                  <c:v>7152.15</c:v>
                </c:pt>
                <c:pt idx="7">
                  <c:v>9000.1700000000055</c:v>
                </c:pt>
                <c:pt idx="8">
                  <c:v>9135.0800000000036</c:v>
                </c:pt>
              </c:numCache>
            </c:numRef>
          </c:val>
          <c:smooth val="0"/>
          <c:extLst>
            <c:ext xmlns:c16="http://schemas.microsoft.com/office/drawing/2014/chart" uri="{C3380CC4-5D6E-409C-BE32-E72D297353CC}">
              <c16:uniqueId val="{00000000-20BD-4D86-A9DD-BD90CD13A23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33004192"/>
        <c:axId val="833004608"/>
      </c:lineChart>
      <c:catAx>
        <c:axId val="83300419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33004608"/>
        <c:crosses val="autoZero"/>
        <c:auto val="1"/>
        <c:lblAlgn val="ctr"/>
        <c:lblOffset val="100"/>
        <c:noMultiLvlLbl val="0"/>
      </c:catAx>
      <c:valAx>
        <c:axId val="833004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3004192"/>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[05_ITC_Trade_Data_Analysis.xlsx]02_Export_Trend!PivotTable4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a:solidFill>
                  <a:sysClr val="windowText" lastClr="000000"/>
                </a:solidFill>
              </a:rPr>
              <a:t>Year-wise Export Trend Analysis</a:t>
            </a:r>
          </a:p>
        </c:rich>
      </c:tx>
      <c:layout>
        <c:manualLayout>
          <c:xMode val="edge"/>
          <c:yMode val="edge"/>
          <c:x val="0.20404855643044623"/>
          <c:y val="3.70369175164579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'02_Export_Trend'!$C$50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'02_Export_Trend'!$B$51:$B$59</c:f>
              <c:strCache>
                <c:ptCount val="9"/>
                <c:pt idx="0">
                  <c:v>16</c:v>
                </c:pt>
                <c:pt idx="1">
                  <c:v>17</c:v>
                </c:pt>
                <c:pt idx="2">
                  <c:v>18</c:v>
                </c:pt>
                <c:pt idx="3">
                  <c:v>19</c:v>
                </c:pt>
                <c:pt idx="4">
                  <c:v>20</c:v>
                </c:pt>
                <c:pt idx="5">
                  <c:v>21</c:v>
                </c:pt>
                <c:pt idx="6">
                  <c:v>22</c:v>
                </c:pt>
                <c:pt idx="7">
                  <c:v>23</c:v>
                </c:pt>
                <c:pt idx="8">
                  <c:v>24</c:v>
                </c:pt>
              </c:strCache>
            </c:strRef>
          </c:cat>
          <c:val>
            <c:numRef>
              <c:f>'02_Export_Trend'!$C$51:$C$59</c:f>
              <c:numCache>
                <c:formatCode>General</c:formatCode>
                <c:ptCount val="9"/>
                <c:pt idx="0">
                  <c:v>508.34000000000003</c:v>
                </c:pt>
                <c:pt idx="1">
                  <c:v>605.23999999999967</c:v>
                </c:pt>
                <c:pt idx="2">
                  <c:v>929.9</c:v>
                </c:pt>
                <c:pt idx="3">
                  <c:v>762.33999999999969</c:v>
                </c:pt>
                <c:pt idx="4">
                  <c:v>629.04000000000019</c:v>
                </c:pt>
                <c:pt idx="5">
                  <c:v>1313.9599999999996</c:v>
                </c:pt>
                <c:pt idx="6">
                  <c:v>1361.87</c:v>
                </c:pt>
                <c:pt idx="7">
                  <c:v>1397.0599999999993</c:v>
                </c:pt>
                <c:pt idx="8">
                  <c:v>1564.8499999999983</c:v>
                </c:pt>
              </c:numCache>
            </c:numRef>
          </c:val>
          <c:smooth val="0"/>
          <c:extLst>
            <c:ext xmlns:c16="http://schemas.microsoft.com/office/drawing/2014/chart" uri="{C3380CC4-5D6E-409C-BE32-E72D297353CC}">
              <c16:uniqueId val="{00000000-E845-4225-B497-E6787DD5588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10784624"/>
        <c:axId val="910789616"/>
      </c:lineChart>
      <c:catAx>
        <c:axId val="9107846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10789616"/>
        <c:crosses val="autoZero"/>
        <c:auto val="1"/>
        <c:lblAlgn val="ctr"/>
        <c:lblOffset val="100"/>
        <c:noMultiLvlLbl val="0"/>
      </c:catAx>
      <c:valAx>
        <c:axId val="910789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10784624"/>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a:solidFill>
                  <a:sysClr val="windowText" lastClr="000000"/>
                </a:solidFill>
              </a:rPr>
              <a:t>Trade Balance</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'03_Trade_Balance'!$E$9</c:f>
              <c:strCache>
                <c:ptCount val="1"/>
                <c:pt idx="0">
                  <c:v>Trade Balance</c:v>
                </c:pt>
              </c:strCache>
            </c:strRef>
          </c:tx>
          <c:spPr>
            <a:pattFill prst="ltUpDiag">
              <a:fgClr>
                <a:schemeClr val="accent1"/>
              </a:fgClr>
              <a:bgClr>
                <a:schemeClr val="lt1"/>
              </a:bgClr>
            </a:pattFill>
            <a:ln>
              <a:noFill/>
            </a:ln>
            <a:effectLst/>
          </c:spPr>
          <c:invertIfNegative val="0"/>
          <c:cat>
            <c:numRef>
              <c:f>'03_Trade_Balance'!$B$10:$B$18</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'03_Trade_Balance'!$E$10:$E$18</c:f>
              <c:numCache>
                <c:formatCode>General</c:formatCode>
                <c:ptCount val="9"/>
                <c:pt idx="0">
                  <c:v>-4665.7</c:v>
                </c:pt>
                <c:pt idx="1">
                  <c:v>-4638.8900000000003</c:v>
                </c:pt>
                <c:pt idx="2">
                  <c:v>-5673.35</c:v>
                </c:pt>
                <c:pt idx="3">
                  <c:v>-6190.32</c:v>
                </c:pt>
                <c:pt idx="4">
                  <c:v>-4505.4399999999996</c:v>
                </c:pt>
                <c:pt idx="5">
                  <c:v>-5751.44</c:v>
                </c:pt>
                <c:pt idx="6">
                  <c:v>-5790.28</c:v>
                </c:pt>
                <c:pt idx="7">
                  <c:v>-7603.1100000000006</c:v>
                </c:pt>
                <c:pt idx="8">
                  <c:v>-7570.23</c:v>
                </c:pt>
              </c:numCache>
            </c:numRef>
          </c:val>
          <c:extLst>
            <c:ext xmlns:c16="http://schemas.microsoft.com/office/drawing/2014/chart" uri="{C3380CC4-5D6E-409C-BE32-E72D297353CC}">
              <c16:uniqueId val="{00000000-19A6-4D0E-A44C-BF9AAE1C9F64}"/>
            </c:ext>
          </c:extLst>
        </c:ser>
        <c:dLbls>
          <c:showLegendKey val="0"/>
          <c:showVal val="0"/>
          <c:showCatName val="0"/>
          <c:showSerName val="0"/>
          <c:showPercent val="0"/>
          <c:showBubbleSize val="0"/>
        </c:dLbls>
        <c:gapWidth val="269"/>
        <c:overlap val="-20"/>
        <c:axId val="1280917936"/>
        <c:axId val="1280907536"/>
      </c:barChart>
      <c:catAx>
        <c:axId val="1280917936"/>
        <c:scaling>
          <c:orientation val="minMax"/>
        </c:scaling>
        <c:delete val="0"/>
        <c:axPos val="t"/>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280907536"/>
        <c:crosses val="max"/>
        <c:auto val="1"/>
        <c:lblAlgn val="ctr"/>
        <c:lblOffset val="100"/>
        <c:noMultiLvlLbl val="0"/>
      </c:catAx>
      <c:valAx>
        <c:axId val="1280907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80917936"/>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[05_ITC_Trade_Data_Analysis.xlsx]06_Category-wise_Import!PivotTable5</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a:solidFill>
                  <a:schemeClr val="tx1"/>
                </a:solidFill>
              </a:rPr>
              <a:t>Category-wise Import Analysis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a:noFill/>
          </a:ln>
          <a:effectLst/>
        </c:spPr>
        <c:marker>
          <c:symbol val="none"/>
        </c:marker>
      </c:pivotFmt>
    </c:pivotFmts>
    <c:plotArea>
      <c:layout/>
      <c:barChart>
        <c:barDir val="bar"/>
        <c:grouping val="clustered"/>
        <c:varyColors val="0"/>
        <c:ser>
          <c:idx val="0"/>
          <c:order val="0"/>
          <c:tx>
            <c:strRef>
              <c:f>'06_Category-wise_Import'!$D$10</c:f>
              <c:strCache>
                <c:ptCount val="1"/>
                <c:pt idx="0">
                  <c:v>Total</c:v>
                </c:pt>
              </c:strCache>
            </c:strRef>
          </c:tx>
          <c:spPr>
            <a:pattFill prst="ltUpDiag">
              <a:fgClr>
                <a:schemeClr val="accent1"/>
              </a:fgClr>
              <a:bgClr>
                <a:schemeClr val="lt1"/>
              </a:bgClr>
            </a:pattFill>
            <a:ln>
              <a:noFill/>
            </a:ln>
            <a:effectLst/>
          </c:spPr>
          <c:invertIfNegative val="0"/>
          <c:cat>
            <c:strRef>
              <c:f>'06_Category-wise_Import'!$C$11:$C$17</c:f>
              <c:strCache>
                <c:ptCount val="6"/>
                <c:pt idx="0">
                  <c:v>Electrical</c:v>
                </c:pt>
                <c:pt idx="1">
                  <c:v>Kitchen Fittings</c:v>
                </c:pt>
                <c:pt idx="2">
                  <c:v>Plastics</c:v>
                </c:pt>
                <c:pt idx="3">
                  <c:v>Hardware</c:v>
                </c:pt>
                <c:pt idx="4">
                  <c:v>Decorative Materials</c:v>
                </c:pt>
                <c:pt idx="5">
                  <c:v>Sanitary</c:v>
                </c:pt>
              </c:strCache>
            </c:strRef>
          </c:cat>
          <c:val>
            <c:numRef>
              <c:f>'06_Category-wise_Import'!$D$11:$D$17</c:f>
              <c:numCache>
                <c:formatCode>General</c:formatCode>
                <c:ptCount val="6"/>
                <c:pt idx="0">
                  <c:v>4165.2200000000012</c:v>
                </c:pt>
                <c:pt idx="1">
                  <c:v>3296.6099999999997</c:v>
                </c:pt>
                <c:pt idx="2">
                  <c:v>1154.19</c:v>
                </c:pt>
                <c:pt idx="3">
                  <c:v>411.35999999999996</c:v>
                </c:pt>
                <c:pt idx="4">
                  <c:v>60.800000000000004</c:v>
                </c:pt>
                <c:pt idx="5">
                  <c:v>46.900000000000006</c:v>
                </c:pt>
              </c:numCache>
            </c:numRef>
          </c:val>
          <c:extLst>
            <c:ext xmlns:c16="http://schemas.microsoft.com/office/drawing/2014/chart" uri="{C3380CC4-5D6E-409C-BE32-E72D297353CC}">
              <c16:uniqueId val="{00000000-0C5E-455D-9F51-D514AECA554D}"/>
            </c:ext>
          </c:extLst>
        </c:ser>
        <c:dLbls>
          <c:showLegendKey val="0"/>
          <c:showVal val="0"/>
          <c:showCatName val="0"/>
          <c:showSerName val="0"/>
          <c:showPercent val="0"/>
          <c:showBubbleSize val="0"/>
        </c:dLbls>
        <c:gapWidth val="269"/>
        <c:overlap val="-20"/>
        <c:axId val="2074178560"/>
        <c:axId val="2074181056"/>
      </c:barChart>
      <c:catAx>
        <c:axId val="2074178560"/>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74181056"/>
        <c:crosses val="autoZero"/>
        <c:auto val="1"/>
        <c:lblAlgn val="ctr"/>
        <c:lblOffset val="100"/>
        <c:noMultiLvlLbl val="0"/>
      </c:catAx>
      <c:valAx>
        <c:axId val="207418105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74178560"/>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[05_ITC_Trade_Data_Analysis.xlsx]07_Category-wise_Export!PivotTable6</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a:solidFill>
                  <a:schemeClr val="tx1"/>
                </a:solidFill>
              </a:rPr>
              <a:t>Category-wise Export Analysis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a:noFill/>
          </a:ln>
          <a:effectLst/>
        </c:spPr>
        <c:marker>
          <c:symbol val="none"/>
        </c:marker>
      </c:pivotFmt>
    </c:pivotFmts>
    <c:plotArea>
      <c:layout/>
      <c:barChart>
        <c:barDir val="bar"/>
        <c:grouping val="clustered"/>
        <c:varyColors val="0"/>
        <c:ser>
          <c:idx val="0"/>
          <c:order val="0"/>
          <c:tx>
            <c:strRef>
              <c:f>'07_Category-wise_Export'!$D$10</c:f>
              <c:strCache>
                <c:ptCount val="1"/>
                <c:pt idx="0">
                  <c:v>Total</c:v>
                </c:pt>
              </c:strCache>
            </c:strRef>
          </c:tx>
          <c:spPr>
            <a:pattFill prst="ltUpDiag">
              <a:fgClr>
                <a:schemeClr val="accent1"/>
              </a:fgClr>
              <a:bgClr>
                <a:schemeClr val="lt1"/>
              </a:bgClr>
            </a:pattFill>
            <a:ln>
              <a:noFill/>
            </a:ln>
            <a:effectLst/>
          </c:spPr>
          <c:invertIfNegative val="0"/>
          <c:cat>
            <c:strRef>
              <c:f>'07_Category-wise_Export'!$C$11:$C$17</c:f>
              <c:strCache>
                <c:ptCount val="6"/>
                <c:pt idx="0">
                  <c:v>Hardware</c:v>
                </c:pt>
                <c:pt idx="1">
                  <c:v>Electrical</c:v>
                </c:pt>
                <c:pt idx="2">
                  <c:v>Kitchen Fittings</c:v>
                </c:pt>
                <c:pt idx="3">
                  <c:v>Plastics</c:v>
                </c:pt>
                <c:pt idx="4">
                  <c:v>Sanitary</c:v>
                </c:pt>
                <c:pt idx="5">
                  <c:v>Decorative Materials</c:v>
                </c:pt>
              </c:strCache>
            </c:strRef>
          </c:cat>
          <c:val>
            <c:numRef>
              <c:f>'07_Category-wise_Export'!$D$11:$D$17</c:f>
              <c:numCache>
                <c:formatCode>General</c:formatCode>
                <c:ptCount val="6"/>
                <c:pt idx="0">
                  <c:v>659.4899999999999</c:v>
                </c:pt>
                <c:pt idx="1">
                  <c:v>511.12999999999977</c:v>
                </c:pt>
                <c:pt idx="2">
                  <c:v>264.89999999999986</c:v>
                </c:pt>
                <c:pt idx="3">
                  <c:v>110.50000000000001</c:v>
                </c:pt>
                <c:pt idx="4">
                  <c:v>9.6499999999999968</c:v>
                </c:pt>
                <c:pt idx="5">
                  <c:v>9.18</c:v>
                </c:pt>
              </c:numCache>
            </c:numRef>
          </c:val>
          <c:extLst>
            <c:ext xmlns:c16="http://schemas.microsoft.com/office/drawing/2014/chart" uri="{C3380CC4-5D6E-409C-BE32-E72D297353CC}">
              <c16:uniqueId val="{00000000-1796-4C2B-80B0-A51B07A0A69A}"/>
            </c:ext>
          </c:extLst>
        </c:ser>
        <c:dLbls>
          <c:showLegendKey val="0"/>
          <c:showVal val="0"/>
          <c:showCatName val="0"/>
          <c:showSerName val="0"/>
          <c:showPercent val="0"/>
          <c:showBubbleSize val="0"/>
        </c:dLbls>
        <c:gapWidth val="269"/>
        <c:overlap val="-20"/>
        <c:axId val="73769152"/>
        <c:axId val="71995568"/>
      </c:barChart>
      <c:catAx>
        <c:axId val="73769152"/>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1995568"/>
        <c:crosses val="autoZero"/>
        <c:auto val="1"/>
        <c:lblAlgn val="ctr"/>
        <c:lblOffset val="100"/>
        <c:noMultiLvlLbl val="0"/>
      </c:catAx>
      <c:valAx>
        <c:axId val="7199556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3769152"/>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7620</xdr:colOff>
      <xdr:row>7</xdr:row>
      <xdr:rowOff>7620</xdr:rowOff>
    </xdr:from>
    <xdr:to>
      <xdr:col>15</xdr:col>
      <xdr:colOff>15240</xdr:colOff>
      <xdr:row>22</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426720</xdr:colOff>
      <xdr:row>6</xdr:row>
      <xdr:rowOff>163830</xdr:rowOff>
    </xdr:from>
    <xdr:to>
      <xdr:col>15</xdr:col>
      <xdr:colOff>45720</xdr:colOff>
      <xdr:row>21</xdr:row>
      <xdr:rowOff>163830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274320</xdr:colOff>
      <xdr:row>6</xdr:row>
      <xdr:rowOff>163830</xdr:rowOff>
    </xdr:from>
    <xdr:to>
      <xdr:col>13</xdr:col>
      <xdr:colOff>579120</xdr:colOff>
      <xdr:row>21</xdr:row>
      <xdr:rowOff>45720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365760</xdr:colOff>
      <xdr:row>6</xdr:row>
      <xdr:rowOff>171450</xdr:rowOff>
    </xdr:from>
    <xdr:to>
      <xdr:col>14</xdr:col>
      <xdr:colOff>7620</xdr:colOff>
      <xdr:row>21</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472440</xdr:colOff>
      <xdr:row>6</xdr:row>
      <xdr:rowOff>140970</xdr:rowOff>
    </xdr:from>
    <xdr:to>
      <xdr:col>13</xdr:col>
      <xdr:colOff>601980</xdr:colOff>
      <xdr:row>19</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kta_Trade_and_Distribution_Pvt_Ltd/Project%202/Phase%2003/03_Reference_Data/Ekta_Product_Mapp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_Mapping"/>
      <sheetName val="HS_Category_Map"/>
      <sheetName val="Category_Function_Map"/>
    </sheetNames>
    <sheetDataSet>
      <sheetData sheetId="0"/>
      <sheetData sheetId="1">
        <row r="2">
          <cell r="A2">
            <v>39</v>
          </cell>
          <cell r="B2" t="str">
            <v>Plastics</v>
          </cell>
        </row>
        <row r="3">
          <cell r="A3">
            <v>68</v>
          </cell>
          <cell r="B3" t="str">
            <v>Decorative Materials</v>
          </cell>
        </row>
        <row r="4">
          <cell r="A4">
            <v>69</v>
          </cell>
          <cell r="B4" t="str">
            <v>Sanitary</v>
          </cell>
        </row>
        <row r="5">
          <cell r="A5">
            <v>73</v>
          </cell>
          <cell r="B5" t="str">
            <v>Hardware</v>
          </cell>
        </row>
        <row r="6">
          <cell r="A6">
            <v>74</v>
          </cell>
          <cell r="B6" t="str">
            <v>Electrical</v>
          </cell>
        </row>
        <row r="7">
          <cell r="A7">
            <v>76</v>
          </cell>
          <cell r="B7" t="str">
            <v>Hardware</v>
          </cell>
        </row>
        <row r="8">
          <cell r="A8">
            <v>83</v>
          </cell>
          <cell r="B8" t="str">
            <v>Hardware</v>
          </cell>
        </row>
        <row r="9">
          <cell r="A9">
            <v>84</v>
          </cell>
          <cell r="B9" t="str">
            <v>Kitchen Fittings</v>
          </cell>
        </row>
        <row r="10">
          <cell r="A10">
            <v>85</v>
          </cell>
          <cell r="B10" t="str">
            <v>Electrical</v>
          </cell>
        </row>
      </sheetData>
      <sheetData sheetId="2">
        <row r="2">
          <cell r="A2" t="str">
            <v>Electrical</v>
          </cell>
          <cell r="B2" t="str">
            <v>Electrical Supplies</v>
          </cell>
          <cell r="C2" t="str">
            <v>High</v>
          </cell>
        </row>
        <row r="3">
          <cell r="A3" t="str">
            <v>Hardware</v>
          </cell>
          <cell r="B3" t="str">
            <v>Building Hardware</v>
          </cell>
          <cell r="C3" t="str">
            <v>High</v>
          </cell>
        </row>
        <row r="4">
          <cell r="A4" t="str">
            <v>Kitchen Fittings</v>
          </cell>
          <cell r="B4" t="str">
            <v>Kitchen &amp; Mechanical Solutions</v>
          </cell>
          <cell r="C4" t="str">
            <v>High</v>
          </cell>
        </row>
        <row r="5">
          <cell r="A5" t="str">
            <v>Sanitary</v>
          </cell>
          <cell r="B5" t="str">
            <v>Bathroom &amp; Sanitary Solutions</v>
          </cell>
          <cell r="C5" t="str">
            <v>Medium</v>
          </cell>
        </row>
        <row r="6">
          <cell r="A6" t="str">
            <v>Decorative Materials</v>
          </cell>
          <cell r="B6" t="str">
            <v>Interior &amp; Building Materials</v>
          </cell>
          <cell r="C6" t="str">
            <v>Medium</v>
          </cell>
        </row>
        <row r="7">
          <cell r="A7" t="str">
            <v>Plastics</v>
          </cell>
          <cell r="B7" t="str">
            <v>Plumbing &amp; Plastic Products</v>
          </cell>
          <cell r="C7" t="str">
            <v>High</v>
          </cell>
        </row>
      </sheetData>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ITC_Trade_Data_Cleaned_Analysi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ITC_Trade_Data_Cleaned_Analysis.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ITC_Trade_Data_Analysis.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microsoft.com/office/2006/relationships/xlExternalLinkPath/xlPathMissing" Target="ITC_Trade_Data_Analysis.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r:id="rId1" refreshedBy="PC" refreshedDate="46219.56233645833" createdVersion="6" refreshedVersion="6" minRefreshableVersion="3" recordCount="258">
  <cacheSource type="worksheet">
    <worksheetSource ref="A1:M259" sheet="TS_Imports_Cleaned" r:id="rId2"/>
  </cacheSource>
  <cacheFields count="12">
    <cacheField name="HS6 Code" numFmtId="49">
      <sharedItems containsSemiMixedTypes="0" containsString="0" containsNumber="1" containsInteger="1" minValue="3901" maxValue="8549" count="258">
        <n v="8542"/>
        <n v="8536"/>
        <n v="8541"/>
        <n v="8504"/>
        <n v="8537"/>
        <n v="8515"/>
        <n v="8532"/>
        <n v="8511"/>
        <n v="8507"/>
        <n v="8501"/>
        <n v="8525"/>
        <n v="8538"/>
        <n v="8544"/>
        <n v="8524"/>
        <n v="8517"/>
        <n v="8547"/>
        <n v="8543"/>
        <n v="8533"/>
        <n v="8512"/>
        <n v="8523"/>
        <n v="8503"/>
        <n v="8505"/>
        <n v="8539"/>
        <n v="8534"/>
        <n v="8514"/>
        <n v="8529"/>
        <n v="8540"/>
        <n v="8516"/>
        <n v="8545"/>
        <n v="8528"/>
        <n v="8530"/>
        <n v="8518"/>
        <n v="8506"/>
        <n v="8531"/>
        <n v="8546"/>
        <n v="8535"/>
        <n v="8527"/>
        <n v="8526"/>
        <n v="8521"/>
        <n v="8502"/>
        <n v="8522"/>
        <n v="8508"/>
        <n v="8513"/>
        <n v="8519"/>
        <n v="8509"/>
        <n v="8548"/>
        <n v="8549"/>
        <n v="8510"/>
        <n v="3904"/>
        <n v="3906"/>
        <n v="3926"/>
        <n v="3909"/>
        <n v="3901"/>
        <n v="3912"/>
        <n v="3907"/>
        <n v="3902"/>
        <n v="3919"/>
        <n v="3920"/>
        <n v="3905"/>
        <n v="3911"/>
        <n v="3903"/>
        <n v="3908"/>
        <n v="3923"/>
        <n v="3910"/>
        <n v="3917"/>
        <n v="3921"/>
        <n v="3914"/>
        <n v="3913"/>
        <n v="3916"/>
        <n v="3924"/>
        <n v="3925"/>
        <n v="3922"/>
        <n v="3918"/>
        <n v="3915"/>
        <n v="6813"/>
        <n v="6804"/>
        <n v="6815"/>
        <n v="6806"/>
        <n v="6805"/>
        <n v="6814"/>
        <n v="6812"/>
        <n v="6811"/>
        <n v="6810"/>
        <n v="6802"/>
        <n v="6803"/>
        <n v="6807"/>
        <n v="6808"/>
        <n v="6809"/>
        <n v="6909"/>
        <n v="6903"/>
        <n v="6902"/>
        <n v="6914"/>
        <n v="6910"/>
        <n v="6911"/>
        <n v="6912"/>
        <n v="6907"/>
        <n v="6905"/>
        <n v="6906"/>
        <n v="6904"/>
        <n v="6913"/>
        <n v="6901"/>
        <n v="6908"/>
        <n v="7318"/>
        <n v="7302"/>
        <n v="7326"/>
        <n v="7304"/>
        <n v="7307"/>
        <n v="7320"/>
        <n v="7315"/>
        <n v="7308"/>
        <n v="7306"/>
        <n v="7325"/>
        <n v="7319"/>
        <n v="7310"/>
        <n v="7314"/>
        <n v="7312"/>
        <n v="7309"/>
        <n v="7322"/>
        <n v="7311"/>
        <n v="7321"/>
        <n v="7323"/>
        <n v="7317"/>
        <n v="7324"/>
        <n v="7303"/>
        <n v="7316"/>
        <n v="7301"/>
        <n v="7305"/>
        <n v="7313"/>
        <n v="7403"/>
        <n v="7408"/>
        <n v="7409"/>
        <n v="7419"/>
        <n v="7407"/>
        <n v="7404"/>
        <n v="7402"/>
        <n v="7410"/>
        <n v="7412"/>
        <n v="7406"/>
        <n v="7411"/>
        <n v="7413"/>
        <n v="7415"/>
        <n v="7418"/>
        <n v="7401"/>
        <n v="7405"/>
        <n v="7602"/>
        <n v="7606"/>
        <n v="7616"/>
        <n v="7607"/>
        <n v="7604"/>
        <n v="7605"/>
        <n v="7608"/>
        <n v="7610"/>
        <n v="7603"/>
        <n v="7609"/>
        <n v="7612"/>
        <n v="7601"/>
        <n v="7615"/>
        <n v="7613"/>
        <n v="7611"/>
        <n v="7614"/>
        <n v="8311"/>
        <n v="8301"/>
        <n v="8302"/>
        <n v="8307"/>
        <n v="8310"/>
        <n v="8309"/>
        <n v="8308"/>
        <n v="8305"/>
        <n v="8303"/>
        <n v="8306"/>
        <n v="8304"/>
        <n v="8479"/>
        <n v="8457"/>
        <n v="8411"/>
        <n v="8443"/>
        <n v="8409"/>
        <n v="8481"/>
        <n v="8477"/>
        <n v="8414"/>
        <n v="8482"/>
        <n v="8431"/>
        <n v="8413"/>
        <n v="8462"/>
        <n v="8446"/>
        <n v="8421"/>
        <n v="8466"/>
        <n v="8483"/>
        <n v="8408"/>
        <n v="8429"/>
        <n v="8460"/>
        <n v="8458"/>
        <n v="8445"/>
        <n v="8412"/>
        <n v="8455"/>
        <n v="8428"/>
        <n v="8415"/>
        <n v="8433"/>
        <n v="8454"/>
        <n v="8473"/>
        <n v="8422"/>
        <n v="8424"/>
        <n v="8461"/>
        <n v="8419"/>
        <n v="8456"/>
        <n v="8471"/>
        <n v="8447"/>
        <n v="8406"/>
        <n v="8448"/>
        <n v="8459"/>
        <n v="8427"/>
        <n v="8423"/>
        <n v="8417"/>
        <n v="8486"/>
        <n v="8480"/>
        <n v="8407"/>
        <n v="8484"/>
        <n v="8467"/>
        <n v="8441"/>
        <n v="8426"/>
        <n v="8452"/>
        <n v="8474"/>
        <n v="8487"/>
        <n v="8438"/>
        <n v="8425"/>
        <n v="8464"/>
        <n v="8463"/>
        <n v="8444"/>
        <n v="8416"/>
        <n v="8418"/>
        <n v="8468"/>
        <n v="8451"/>
        <n v="8430"/>
        <n v="8476"/>
        <n v="8453"/>
        <n v="8439"/>
        <n v="8440"/>
        <n v="8465"/>
        <n v="8472"/>
        <n v="8432"/>
        <n v="8475"/>
        <n v="8420"/>
        <n v="8442"/>
        <n v="8485"/>
        <n v="8437"/>
        <n v="8404"/>
        <n v="8405"/>
        <n v="8450"/>
        <n v="8402"/>
        <n v="8410"/>
        <n v="8436"/>
        <n v="8449"/>
        <n v="8478"/>
        <n v="8401"/>
        <n v="8403"/>
        <n v="8434"/>
        <n v="8435"/>
        <n v="8469"/>
        <n v="8470"/>
      </sharedItems>
    </cacheField>
    <cacheField name="Product Description" numFmtId="49">
      <sharedItems count="258" longText="1">
        <s v="Electronic integrated circuits; parts thereof "/>
        <s v="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 "/>
        <s v="Semiconductor devices &quot;e.g. diodes, transistors, semiconductor-based transducers&quot;; photosensitive semiconductor devices, incl. photovoltaic cells whether or not assembled in modules or made up into panels (excl. photovoltaic generators); light emitting diodes &quot;LED&quot;, whether or not assembled with other light-emitting diodes &quot;LED&quot;; mounted piezoelectric crystals; parts thereof "/>
        <s v="Electrical transformers, static converters, e.g. rectifiers, and inductors; parts thereof "/>
        <s v="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 "/>
        <s v="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 "/>
        <s v="Electrical capacitors, fixed, variable or adjustable &quot;pre-set&quot;; parts thereof "/>
        <s v="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 "/>
        <s v="Electric accumulators, incl. separators therefor, whether or not square or rectangular; parts thereof (excl. spent and those of unhardened rubber or textiles) "/>
        <s v="Electric motors and generators (excl. generating sets) "/>
        <s v="Transmission apparatus for radio-broadcasting or television, whether or not incorporating reception apparatus or sound recording or reproducing apparatus; television cameras, digital cameras and video camera recorders "/>
        <s v="Parts suitable for use solely or principally with the apparatus of heading 8535, 8536 or 8537, n.e.s. "/>
        <s v="Insulated &quot;incl. enamelled or anodised&quot; wire, cable &quot;incl. coaxial cable&quot; and other insulated electric conductors, whether or not fitted with connectors; optical fibre cables, made up of individually sheathed fibres, whether or not assembled with electric conductors or fitted with connectors "/>
        <s v="Flat panel display modules, whether or not incorporating touch-sensitive screens "/>
        <s v="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
        <s v="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s v="Electrical machines and apparatus, having individual functions, n.e.s. in chapter 85 and parts thereof "/>
        <s v="Electrical resistors, incl. rheostats and potentiometers (excl. heating resistors); parts thereof "/>
        <s v="Electrical lighting or signalling equipment (excl. lamps of heading 8539), windscreen wipers, defrosters and demisters, of a kind used for cycles or motor vehicles; parts thereof "/>
        <s v="Discs, tapes, solid-state non-volatile storage devices, &quot;smart cards&quot; and other media for the recording of sound or of other phenomena, whether or not recorded, incl. matrices and masters for the production of discs (excl. products of chapter 37) "/>
        <s v="Parts suitable for use solely or principally with electric motors and generators, electric generating sets and rotary converters, n.e.s. "/>
        <s v="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 "/>
        <s v="Electric filament or discharge lamps, incl. sealed beam lamp units and ultraviolet or infra-red lamps; arc lamps; light-emitting diode &quot;LED&quot; light sources; parts thereof "/>
        <s v="Printed circuits "/>
        <s v="Industrial or laboratory electric furnaces and ovens, incl. those functioning by induction or dielectric loss; other industrial or laboratory equipment for the heat treatment of materials by induction or dielectric loss; parts thereof "/>
        <s v="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
        <s v="Thermionic, cold cathode or photo-cathode valves and tubes, e.g. vacuum or vapour or gas filled valves and tubes, mercury arc rectifying valves and tubes, cathode ray tubes and television camera tubes; parts thereof "/>
        <s v="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 "/>
        <s v="Carbon electrodes, carbon brushes, lamp carbons, battery carbons and other articles of graphite or other carbon, with or without metal, of a kind used for electrical purposes "/>
        <s v="Monitors and projectors, not incorporating television reception apparatus; reception apparatus for television, whether or not incorporating radio-broadcast receivers or sound or video recording or reproducing apparatus "/>
        <s v="Electrical signalling, safety or traffic control equipment for railways, tramways, roads, inland waterways, parking facilities, port installations or airfields (excl. mechanical or electromechanical equipment of heading 8608); parts thereof "/>
        <s v="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 "/>
        <s v="Primary cells and primary batteries, electrical; parts thereof (excl. spent) "/>
        <s v="Electric sound or visual signalling apparatus, e.g. bells, sirens, indicator panels, burglar or fire alarms (excl. those for cycles, motor vehicles and traffic signalling); parts thereof "/>
        <s v="Electrical insulators of any material (excl. insulating fittings) "/>
        <s v="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 "/>
        <s v="Reception apparatus for radio-broadcasting, whether or not combined, in the same housing, with sound recording or reproducing apparatus or a clock "/>
        <s v="Radar apparatus, radio navigational aid apparatus and radio remote control apparatus "/>
        <s v="Video recording or reproducing apparatus, whether or not incorporating a video tuner (excl. video camera recorders) "/>
        <s v="Electric generating sets and rotary converters "/>
        <s v="Parts and accessories suitable for use solely or principally with sound reproducing and recording apparatus and with video equipment for recording and reproducing pictures and sound "/>
        <s v="Vacuum cleaners, incl. dry cleaners and wet vacuum cleaners "/>
        <s v="Portable electric lamps designed to function by their own source of energy, e.g. dry batteries, accumulators and magnetos; parts thereof (excl. lighting equipment of heading 8512) "/>
        <s v="Sound recording or sound reproducing apparatus "/>
        <s v="Electromechanical domestic appliances, with self-contained electric motor; parts thereof (excl. vacuum cleaners, dry and wet vacuum cleaners) "/>
        <s v="Waste and scrap of primary cells, primary batteries and electric accumulators; spent primary cells, spent primary batteries and spent electric accumulators; electrical parts of machinery or apparatus, not specified or included elsewhere in chapter 85 "/>
        <s v="Electrical and electronic waste and scrap "/>
        <s v="Electric shavers, hair clippers and hair-removing appliances, with self-contained electric motor; parts thereof "/>
        <s v="Polymers of vinyl chloride or of other halogenated olefins, in primary forms "/>
        <s v="Acrylic polymers, in primary forms "/>
        <s v="Articles of plastics and articles of other materials of heading 3901 to 3914, n.e.s. "/>
        <s v="Amino-resins, phenolic resins and polyurethanes, in primary forms "/>
        <s v="Polymers of ethylene, in primary forms "/>
        <s v="Cellulose and its chemical derivatives, n.e.s., in primary forms "/>
        <s v="Polyacetals, other polyethers and epoxide resins, in primary forms; polycarbonates, alkyd resins, polyallyl esters and other polyesters, in primary forms "/>
        <s v="Polymers of propylene or of other olefins, in primary forms "/>
        <s v="Self-adhesive plates, sheets, film, foil, tape, strip and other flat shapes, of plastics, whether or not in rolls (excl. floor, wall and ceiling coverings of heading 3918) "/>
        <s v="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 "/>
        <s v="Polymers of vinyl acetate or of other vinyl esters, in primary forms; other vinyl polymers, in primary forms "/>
        <s v="Petroleum resins, coumarone-indene resins, polyterpenes, polysulphides, polysulphones and other polymers and prepolymers produced by chemical synthesis, n.e.s., in primary forms "/>
        <s v="Polymers of styrene, in primary forms "/>
        <s v="Polyamides, in primary forms "/>
        <s v="Articles for the conveyance or packaging of goods, of plastics; stoppers, lids, caps and other closures, of plastics "/>
        <s v="Silicones in primary forms "/>
        <s v="Tubes, pipes and hoses, and fittings therefor, e.g. joints, elbows, flanges, of plastics "/>
        <s v="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 "/>
        <s v="Ion-exchangers based on polymers of heading 3901 to 3913, in primary forms "/>
        <s v="Natural polymers, e.g. alginic acid, and modified natural polymers, e.g. hardened proteins, chemical derivatives of natural rubber, n.e.s., in primary forms "/>
        <s v="Monofilament of which any cross-sectional dimension &gt; 1 mm, rods, sticks and profile shapes, of plastics, whether or not surface-worked but not further worked "/>
        <s v="Tableware, kitchenware, other household articles and toilet articles, of plastics (excl. baths, shower-baths, washbasins, bidets, lavatory pans, seats and covers, flushing cisterns and similar sanitary ware) "/>
        <s v="Builders' ware of plastics, n.e.s. "/>
        <s v="Baths, shower-baths, sinks, washbasins, bidets, lavatory pans, seats and covers, flushing cisterns and similar sanitary ware, of plastics "/>
        <s v="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 "/>
        <s v="Waste, parings and scrap, of plastics "/>
        <s v="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 "/>
        <s v="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 "/>
        <s v="Articles of stone or of other mineral substances, incl. carbon fibres, articles of carbon fibres and articles of peat, n.e.s. "/>
        <s v="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 "/>
        <s v="Natural or artificial abrasive powder or grain, on a base of textile material, paper, paperboard or other materials, whether or not cut to shape or sewn or otherwise made up "/>
        <s v="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 "/>
        <s v="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 "/>
        <s v="Articles of asbestos-cement, cellulose fibre-cement or the like "/>
        <s v="Articles of cement, concrete or artificial stone, whether or not reinforced "/>
        <s v="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 "/>
        <s v="Worked slate and articles of slate or of agglomerated slate (excluding slate granules, chippings and powder, mosaic cubes and the like, slate pencils, and ready-to-use slates or boards with writing or drawing surfaces) "/>
        <s v="Articles of asphalt or of similar materials, e.g. petroleum bitumen or coal tar pitch "/>
        <s v="Panels, boards, tiles, blocks and similar articles of vegetable fibre, of straw or of shavings, chips, particles, sawdust or other waste of wood, agglomerated with cement, plaster or other mineral binders (excluding articles of asbestos-cement, cellulose fibre-cement or the like) "/>
        <s v="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 "/>
        <s v="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 "/>
        <s v="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 "/>
        <s v="Refractory bricks, blocks, tiles and similar refractory ceramic constructional goods (excl. those of siliceous fossil meals or similar siliceous earths) "/>
        <s v="Ceramic articles, n.e.s. "/>
        <s v="Ceramic sinks, washbasins, washbasin pedestals, baths, bidets, water closet pans, flushing cisterns, urinals and similar sanitary fixtures (excl. soap dishes, sponge holders, tooth-brush holders, towel hooks and toilet paper holders) "/>
        <s v="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 "/>
        <s v="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 "/>
        <s v="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 "/>
        <s v="Roofing tiles, chimney pots, cowls, chimney liners, architectural ornaments and other ceramic constructional goods (excl. of siliceous fossil meals or similar siliceous earths, refractory ceramic constructional components, pipes and other components for drainage and similar purposes) "/>
        <s v="Ceramic pipes, conduits, guttering and pipe fittings (excluding of siliceous fossil meals or similar siliceous earths, refractory ceramic goods, chimney liners, pipes specifically manufactured for laboratories, insulating tubing and fittings and other piping for electrotechnical purposes) "/>
        <s v="Ceramic building bricks, flooring blocks, support or filler tiles and the like (excl. those of siliceous fossil meals or similar siliceous earths, refractory bricks of heading 6902, and flags and pavings, hearth and wall tiles of heading 6907 and 6908) "/>
        <s v="Statuettes and other ornamental ceramic articles, n.e.s. "/>
        <s v="Bricks, blocks, tiles and other ceramic goods of siliceous fossil meals, e.g. kieselguhr, tripolite or diatomite, or of similar siliceous earths "/>
        <s v="Glazed ceramic flags and paving, hearth or wall tiles; glazed ceramic mosaic cubes and the like, whether or not on a backing (excluding of siliceous fossil meals or similar siliceous earths, refractory ceramic goods, tiles specially adapted as table mats, ornamental articles and tiles specifically manufactured for stoves) "/>
        <s v="Screws, bolts, nuts, coach screws, screw hooks, rivets, cotters, cotter pins, washers, incl. spring washers, and similar articles, of iron or steel (excl. lag screws, stoppers, plugs and the like, threaded) "/>
        <s v="Railway or tramway track construction material of iron or steel, the following : rails, check-rails and rack rails, switch blades, crossing frogs, point rods and other crossing pieces, sleepers &quot;cross-ties&quot;, fish-plates, chairs, chair wedges, sole plates &quot;base plates&quot;, rail clips, bedplates, ties and other material specialised for jointing or fixing rails "/>
        <s v="Articles of iron or steel, n.e.s. (excl. cast articles) "/>
        <s v="Tubes, pipes and hollow profiles, seamless, of iron or steel (excl. products of cast iron) "/>
        <s v="Tube or pipe fittings &quot;e.g. couplings, elbows, sleeves&quot;, of iron or steel "/>
        <s v="Springs and leaves for springs, of iron or steel (excl. clock and watch springs, springs for sticks and handles of umbrellas or parasols, shock absorbers and torque rod or torsion bar springs of Section 17) "/>
        <s v="Chain and parts thereof, or iron or steel (excl. watch chains, necklace chains and the like, cutting and saw chain, skid chain, scraper chain for conveyors, toothed chain for textile machinery and the like, safety devices with chains for securing doors, measuring chains) "/>
        <s v="Structures and parts of structures &quot;e.g., bridges and bridge-sections, lock-gates, towers, lattice masts, roofs, roofing frameworks, doors and windows and their frames and thresholds for doors, shutters, balustrades, pillars and columns&quot;, of iron or steel; plates, rods, angles, shapes, sections, tubes and the like, prepared for use in structures, of iron or steel (excl. prefabricated buildings of heading 9406) "/>
        <s v="Tubes, pipes and hollow profiles &quot;e.g., open seam or welded, riveted or similarly closed&quot;, of iron or steel (excl. of cast iron, seamless tubes and pipes and tubes having internal and external circular cross-sections and an external diameter of &gt; 406,4 mm) "/>
        <s v="Articles of iron or steel, cast, n.e.s. "/>
        <s v="Sewing needles, knitting needles, bodkins, crochet hoods, embroidery stilettos and similar articles, for use in the hand, of iron or steel; safety pins and other pins of iron or steel, n.e.s. "/>
        <s v="Tanks, casks, drums, cans, boxes and similar containers, of iron or steel, for any material &quot;other than compressed or liquefied gas&quot;, of a capacity of &lt;= 300 l, not fitted with mechanical or thermal equipment, whether or not lined or heat-insulated, n.e.s. "/>
        <s v="Cloth, incl. endless bands, grill, netting and fencing, of iron or steel wire, expanded metal of iron or steel (excl. woven products of metal fibres of a kind used for cladding, lining or similar purposes) "/>
        <s v="Stranded wire, ropes, cables, plaited bands, slings and the like, of iron or steel (excl. electrically insulated products and twisted fencing wire and barbed wire) "/>
        <s v="Reservoirs, tanks, vats and similar containers, of iron or steel, for any material &quot;other than compressed or liquefied gas&quot;, of a capacity of &gt; 300 l, not fitted with mechanical or thermal equipment, whether or not lined or heat-insulated (excluding containers specifically constructed or equipped for one or more types of transport) "/>
        <s v="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
        <s v="Containers of iron or steel, for compressed or liquefied gas (excluding containers specifically constructed or equipped for one or more types of transport) "/>
        <s v="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 v="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s v="Nails, tacks, drawing pins, corrugated nails, staples and similar articles of iron or steel, whether or not with heads of other material (excluding such articles with heads of copper and staples in strips) "/>
        <s v="Sanitary ware, and parts thereof, of iron or steel (excl. cans, boxes and similar containers of heading 7310, small wall cabinets for medical supplies or toiletries and other furniture of chapter 94, and fittings) "/>
        <s v="Tubes, pipes and hollow profiles, of cast iron "/>
        <s v="Anchors, grapnels and parts thereof, of iron or steel "/>
        <s v="Sheet piling of iron or steel, whether or not drilled, punched or made from assembled elements; welded angles, shapes and sections, of iron or steel "/>
        <s v="Tubes and pipes, having circular cross-sections and an external diameter of &gt; 406,4 mm, of flat-rolled products of iron or steel &quot;e.g., welded, riveted or similarly closed&quot; "/>
        <s v="Barbed wire of iron or steel; twisted hoop or single flat wire, barbed or not, and loosely twisted double wire, of a kind used for fencing, of iron or steel "/>
        <s v="Copper, refined, and copper alloys, unwrought (excl. copper alloys of heading 7405) "/>
        <s v="Copper wire (excl. surgical sutures, stranded wire, cables, plaited bands and the like and other articles of heading 7413, electrically insulated wires and strings for musical instruments) "/>
        <s v="Plates, sheets and strip, of copper, of a thickness of &gt; 0,15 mm (excl. expanded sheet and strip copper and electrically insulated strip) "/>
        <s v="Other articles of copper, n.e.s. "/>
        <s v="Bars, rods and profiles, of copper, n.e.s. "/>
        <s v="Waste and scrap, of copper (excluding ingots or other similar unwrought shapes, of remelted copper waste and scrap, ashes and residues containing copper, and waste and scrap of primary cells, primary batteries and electric accumulators) "/>
        <s v="Copper, unrefined; copper anodes for electrolytic refining "/>
        <s v="Copper foil &quot;whether or not printed or backed with paper, paperboard, plastics or similar backing materials&quot;, of a thickness &quot;excl. any backing&quot; of &lt;= 0,15 mm (excl. stamping foils of heading 3212, metal yarns and metallised yarns and foil made up as christmas tree decorating material) "/>
        <s v="Copper tube or pipe fittings &quot;e.g., couplings, elbows, sleeves&quot; "/>
        <s v="Powders and flakes, of copper (excl. grains of copper and spangles of heading 8308) "/>
        <s v="Copper tubes and pipes "/>
        <s v="Stranded wire, cables, plaited bands and the like, of copper (excluding electrically insulated products) "/>
        <s v="Nails, tacks, drawing pins, staples and similar articles, of copper or with shafts of iron or steel and heads of copper, screws, bolts, nuts, screw hooks, rivets, cotters, cotter pins, washers &quot;incl. spring washers&quot; and similar articles, of copper (excl. staples in strips, and lag screws, plugs, bungs and the like, threaded) "/>
        <s v="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 "/>
        <s v="Copper mattes; cement copper &quot;precipitated copper&quot; "/>
        <s v="Master alloys of copper (excluding phosphorus-copper compounds &quot;copper phosphide&quot; containing by weight &gt; 15% phosphorus) "/>
        <s v="Waste and scrap, of aluminium (excluding slags, scale and the like from iron and steel production, containing recoverable aluminium in the form of silicates, ingots or other similar unwrought shapes, of remelted waste and scrap, of aluminium, ashes and residues from aluminium production) "/>
        <s v="Plates, sheets and strip, of aluminium, of a thickness of &gt; 0,2 mm (excl. expanded plates, sheets and strip) "/>
        <s v="Articles of aluminium, n.e.s. "/>
        <s v="Aluminium foil, &quot;whether or not printed or backed with paper, paperboard, plastics or similar backing materials&quot;, of a thickness &quot;excl. any backing&quot; of &lt;= 0,2 mm (excl. stamping foils of heading 3212, christmas tree decorating material) "/>
        <s v="Bars, rods and profiles, of aluminium, n.e.s. "/>
        <s v="Aluminium wire (excl. stranded wire, cables, plaited bands and the like and other articles of heading 7614, electrically insulated wires, and strings for musical instruments) "/>
        <s v="Aluminium tubes and pipes (excl. hollow profiles) "/>
        <s v="Structures and parts of structures &quot;e.g., bridges and bridge-sections, towers, lattice masts, pillars and columns, roofs, roofing frameworks, doors and windows and their frames and thresholds for doors, shutters, balustrades&quot;, of aluminium (excl. prefabricated buildings of heading 9406); plates, rods, profiles, tubes and the like, prepared for use in structures, of aluminium "/>
        <s v="Powder and flakes, of aluminium (excl. pellets of aluminium, and spangles) "/>
        <s v="Aluminium tube or pipe fittings &quot;e.g., couplings, elbows, sleeves&quot; "/>
        <s v="Casks, drums, cans, boxes and similar containers, incl. rigid or collapsible tubular containers, of aluminium, for any material (other than compressed or liquefied gas), of a capacity of &lt;= 300 l, not fitted with mechanical or thermal equipment, whether or not lined or heat-insulated, n.e.s. "/>
        <s v="Unwrought aluminium "/>
        <s v="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s v="Aluminium containers for compressed or liquefied gas "/>
        <s v="Reservoirs, tanks, vats and similar containers, of aluminium, for any material (other than compressed or liquefied gas), of a capacity of &gt; 300 l, not fitted with mechanical or thermal equipment, whether or not lined or heat-insulated (excluding containers specifically constructed or equipped for one or more types of transport) "/>
        <s v="Stranded wire, cables, plaited bands and the like, of aluminium (excl. such products electrically insulated) "/>
        <s v="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s v="Padlocks and locks &quot;key, combination or electrically operated&quot;, of base metal; clasps and frames with clasps, incorporating locks, of base metal; keys for any of the foregoing articles, of base metal "/>
        <s v="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s v="Flexible tubing of base metal, with or without fittings "/>
        <s v="Sign-plates, nameplates, address-plates and similar plates, numbers, letters and other symbols, of base metal, incl. traffic signs (excluding those of heading 9405, type and the like, and signal boards, signal discs and signal arms for traffic of heading 8608) "/>
        <s v="Stoppers, caps and lids, incl. crown corks, screw caps and pouring stoppers, capsules for bottles, threaded bungs, bung covers, seals and other packing accessories, of base metal "/>
        <s v="Clasps, frames with clasps, buckles, buckle-clasps, hooks, eyes, eyelets and the like, of base metal, of a kind used for clothing, footwear, awnings, handbags, travel goods or other made-up articles, tubular or bifurcated rivets, of base metal; beads and spangles of base metal "/>
        <s v="Fittings for loose-leaf binders or files, letter clips, letter corners, paper clips, indexing tags and similar office articles, of base metal (excl. drawing pins and clasps for books or registers); staples in strips, e.g. for use in offices, upholstery and packaging, of base metal "/>
        <s v="Armoured or reinforced safes, strongboxes and doors and safe deposit lockers for strongrooms, cash or deed boxes and the like, of base metal "/>
        <s v="Bells, gongs and the like, non-electric, of base metal (excl. musical instruments); statuettes and other ornaments, of base metal (excl. works of art, collectors' pieces and antiques); photograph, picture or similar frames, of base metal; mirrors of base metal (excl. optical elements) "/>
        <s v="Filing cabinets, card-index cabinets, paper trays, paper rests, pen trays, office-stamp stands and similar office or desk equipment, of base metal (excluding office furniture of heading 9403 and waste paper bins) "/>
        <s v="Machines and mechanical appliances having individual functions, not specified or included elsewhere in this chapter; parts thereof "/>
        <s v="Machining centres, unit construction machines &quot;single station&quot; and multi-station transfer machines for working metal "/>
        <s v="Turbojets, turbopropellers and other gas turbines "/>
        <s v="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 "/>
        <s v="Parts suitable for use solely or principally with internal combustion piston engine of heading 8407 or 8408 "/>
        <s v="Taps, cocks, valves and similar appliances for pipes, boiler shells, tanks, vats or the like, incl. pressure-reducing valves and thermostatically controlled valves; parts thereof "/>
        <s v="Machinery for working rubber or plastics or for the manufacture of products from these materials, not specified or included elsewhere in this chapter, parts thereof "/>
        <s v="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 "/>
        <s v="Ball or roller bearings (excl. steel balls of heading 7326); parts thereof "/>
        <s v="Parts suitable for use solely or principally with the machinery of heading 8425 to 8430, n.e.s. "/>
        <s v="Pumps for liquids, whether or not fitted with a measuring device (excl. ceramic pumps and secretion aspirating pumps for medical use and medical pumps carried on or implanted in the body); liquid elevators (excl. pumps); parts thereof "/>
        <s v="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 "/>
        <s v="Weaving machines &quot;looms&quot; "/>
        <s v="Centrifuges, incl. centrifugal dryers (excl. those for isotope separation); filtering or purifying machinery and apparatus, for liquids or gases; parts thereof (excl. artificial kidneys) "/>
        <s v="Parts and accessories suitable for use solely or principally with the machines of headings 8456 to 8465, incl. work or tool holders, self-opening dieheads, dividing heads and other special attachments for the machines, n.e.s.; tool holders for any type of tool for working in the hand "/>
        <s v="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 "/>
        <s v="Compression-ignition internal combustion piston engine &quot;diesel or semi-diesel engine&quot; "/>
        <s v="Self-propelled bulldozers, angledozers, graders, levellers, scrapers, mechanical shovels, excavators, shovel loaders, tamping machines and roadrollers "/>
        <s v="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 "/>
        <s v="Lathes, incl. turning centres, for removing metal "/>
        <s v="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 "/>
        <s v="Engines and motors (excl. steam turbines, internal combustion piston engine, hydraulic turbines, water wheels, gas turbines and electric motors); parts thereof "/>
        <s v="Metal-rolling mills and rolls therefor; parts of metal-rolling mills "/>
        <s v="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 "/>
        <s v="Air conditioning machines comprising a motor-driven fan and elements for changing the temperature and humidity, incl. those machines in which the humidity cannot be separately regulated; parts thereof "/>
        <s v="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 "/>
        <s v="Converters, ladles, ingot moulds and casting machines of a kind used in metallurgy or in metal foundries (excl. metal powder presses); parts thereof "/>
        <s v="Parts and accessories (other than covers, carrying cases and the like) suitable for use solely or principally with machines of heading 8469 to 8472, n.e.s. "/>
        <s v="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 "/>
        <s v="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
        <s v="Machine tools for planing, shaping, slotting, broaching, gear cutting, gear grinding or gear finishing, sawing, cutting-off and other machine tools working by removing metal, sintered metal carbides or cermets, n.e.s. "/>
        <s v="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
        <s v="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 "/>
        <s v="Automatic data-processing machines and units thereof; magnetic or optical readers, machines for transcribing data onto data media in coded form and machines for processing such data, n.e.s. "/>
        <s v="Knitting machines, stitch-bonding machines and machines for making gimped yarn, tulle, lace, embroidery, trimmings, braid or net and machines for tufting (excl. hem-stitching machines) "/>
        <s v="Steam turbines and other vapour turbines; parts thereof "/>
        <s v="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 "/>
        <s v="Machine tools, incl. way-type unit head machines, for drilling, boring, milling, threading or tapping (excl. lathes and turning centres of heading 8458, gear cutting machines of heading 8461 and hand-operated machines) "/>
        <s v="Fork-lift trucks; other works trucks fitted with lifting or handling equipment (excl. straddle carriers and works trucks fitted with a crane) "/>
        <s v="Weighing machinery, incl. weight-operated counting or checking machines (excl. balances of a sensitivity of 5 cg or better); weighing machine weights of all kinds; parts thereof "/>
        <s v="Industrial or laboratory furnaces and ovens, non-electric, incl. incinerators (excl. drying ovens and ovens for cracking operations) "/>
        <s v="Machines and apparatus of a kind used solely or principally for the manufacture of semiconductor boules or wafers, semiconductor devices, electronic integrated circuits or flat panel displays; machines and apparatus specified in note 11 C to chapter 84; parts and accessories, n.e.s. "/>
        <s v="Moulding boxes for metal foundry; mould bases; moulding patterns; moulds for metal (other than ingot moulds), metal carbides, glass, mineral materials, rubber or plastics (excl. moulds of graphite or other carbons, ceramic or glass moulds and linotype moulds or matrices) "/>
        <s v="Spark-ignition reciprocating or rotary internal combustion piston engine "/>
        <s v="Gaskets and similar joints of metal sheeting combined with other material or of two or more layers of metal; sets or assortments of gaskets and similar joints, dissimilar in composition, put up in pouches, envelopes or similar packings; mechanical seals "/>
        <s v="Tools for working in the hand, pneumatic, hydraulic or with self-contained electric or non-electric motor; parts thereof "/>
        <s v="Machinery for making up paper pulp, paper or paperboard, incl. cutting machines of all kinds, n.e.s.; parts thereof "/>
        <s v="Ships' derricks; cranes, incl. cable cranes (excl. wheel-mounted cranes and vehicle cranes for railways); mobile lifting frames, straddle carriers and works trucks fitted with a crane "/>
        <s v="Sewing machines (other than book-sewing machines of heading 8440); furniture, bases and covers specially designed for sewing machines; sewing machine needles; parts thereof "/>
        <s v="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 "/>
        <s v="Machinery parts, n.e.s. in chapter 84 (excl. parts containing electrical connectors, insulators, coils, contacts or other electrical features) "/>
        <s v="Machinery, not specified or included elsewhere in this chapter, for the industrial preparation or manufacture of food or drink (other than machinery for the extraction or preparation of animal or fixed vegetable fats or oils); parts thereof "/>
        <s v="Pulley tackle and hoists (other than skip hoists); winches and capstans; jacks "/>
        <s v="Machine tools for working stone, ceramics, concrete, asbestos-cement or like mineral materials or for cold-working glass (excl. machines for working in the hand) "/>
        <s v="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 "/>
        <s v="Machines for extruding, drawing, texturing or cutting man-made textile materials "/>
        <s v="Furnace burners for liquid fuel, for pulverised solid fuel or for gas; mechanical stokers, incl. their mechanical grates, mechanical ash dischargers and similar appliances; parts thereof "/>
        <s v="Refrigerators, freezers and other refrigerating or freezing equipment, electric or other; heat pumps; parts thereof (excl. air conditioning machines of heading 8415) "/>
        <s v="Machinery and apparatus for soldering, brazing or welding, whether or not capable of cutting (other than those of heading 8515); gas-operated surface tempering machines and appliances; parts thereof "/>
        <s v="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 "/>
        <s v="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 "/>
        <s v="Automatic goods-vending machines, e.g. postage stamp, cigarette, food or beverage machines, incl. money-changing machines; parts thereof "/>
        <s v="Machinery for preparing, tanning or working hides, skins or leather or for making or repairing footwear or other articles of hides, skins or leather (excl. drying machines, spray guns, machines for the dehairing of pigs, sewing machines and general purpose presses); parts thereof "/>
        <s v="Machinery for making pulp of fibrous cellulosic material or for making or finishing paper or paperboard (excl. autoclaves, boilers, dryers, other heating appliances and calenders); parts thereof "/>
        <s v="Bookbinding machinery, incl. book-sewing machines (excl. machinery of heading 8441, general-purpose presses, printing machinery of heading 8443 and machines of uses ancillary to printing); parts thereof "/>
        <s v="Machine tools, incl. machines for nailing, stapling, glueing or otherwise assembling, for working wood, cork, bone, hard rubber, hard plastics or similar hard materials (excl. machines for working in the hand and machines for additive manufacturing) "/>
        <s v="Office machines, e.g. hectograph or stencil duplicating machines, addressing machines, automatic banknote dispensers, coin-sorting machines, coin-counting or coin-wrapping machines, pencil-sharpening machines, perforating or stapling machines, n.e.s. "/>
        <s v="Agricultural, horticultural or forestry machinery for soil preparation or cultivation (excl. sprayers and dusters); lawn or sports-ground rollers; parts thereof "/>
        <s v="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 "/>
        <s v="Calendering or other rolling machines (other than for metals or glass) and cylinders therefor; parts thereof "/>
        <s v="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 "/>
        <s v="Machines for additive manufacturing "/>
        <s v="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 "/>
        <s v="Auxiliary plant for use with boilers of heading 8402 or 8403, e.g. economizers, superheaters, soot removers and gas recoverers; condensers for steam or other vapour power units; parts thereof "/>
        <s v="Producer gas or water gas generators, with or without their purifiers; acetylene gas generators and similar water process gas generators, with or without their purifiers; parts thereof (excl. coke ovens, electrolytic process gas generators and carbide lamps) "/>
        <s v="Household or laundry-type washing machines, incl. machines which both wash and dry; parts thereof "/>
        <s v="Steam or other vapour generating boilers (excl. central heating hot water boilers capable also of producing low pressure steam); superheated water boilers; parts thereof "/>
        <s v="Hydraulic turbines, water wheels, and regulators therefor (excl. hydraulic power engines and motors of heading 8412) "/>
        <s v="Agricultural, horticultural, forestry, poultry-keeping or bee-keeping machinery, incl. germination plant fitted with mechanical or thermal equipment; poultry incubators and brooders; parts thereof "/>
        <s v="Machinery for the manufacture or finishing of felt or nonwovens in the piece or in shapes, incl. machinery for making felt hats; blocks for making hats; parts thereof (excluding machinery for preparing fibres for felt and calenders) "/>
        <s v="Machinery for preparing or making up tobacco, not specified or included elsewhere in this chapter; parts thereof "/>
        <s v="Nuclear reactors; fuel elements &quot;cartridges&quot;, non-irradiated, for nuclear reactors; machinery and apparatus for isotopic separation; parts thereof "/>
        <s v="Central heating boilers, non-electric; parts thereof (excl. vapour generating boilers and superheated water boilers of heading 8402) "/>
        <s v="Milking machines and dairy machinery (excl. refrigerating or heat treatment equipment, cream separators, clarifying centrifuges, filter presses and other filtering equipment); parts thereof "/>
        <s v="Presses, crushers and similar machinery used in the manufacture of wine, cider, fruit juices or similar beverages (excl. machinery for the treatment of these beverages, incl. centrifuges, filter presses, other filtering equipment and domestic appliances); parts thereof "/>
        <s v="Typewriters and word-processing machines (excluding automatic data-processing machines and units thereof of heading 8443 and laser, thermal and electrosensitive printers) "/>
        <s v="Calculating machines and pocket-size &quot;dimensions &lt;= 170 mm x 100 mm x 45 mm&quot;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 "/>
      </sharedItems>
    </cacheField>
    <cacheField name="2016" numFmtId="2">
      <sharedItems containsSemiMixedTypes="0" containsString="0" containsNumber="1" minValue="0" maxValue="276.67"/>
    </cacheField>
    <cacheField name="2017" numFmtId="2">
      <sharedItems containsSemiMixedTypes="0" containsString="0" containsNumber="1" minValue="0" maxValue="347.51"/>
    </cacheField>
    <cacheField name="2018" numFmtId="2">
      <sharedItems containsSemiMixedTypes="0" containsString="0" containsNumber="1" minValue="0" maxValue="387.45"/>
    </cacheField>
    <cacheField name="2019" numFmtId="2">
      <sharedItems containsMixedTypes="1" containsNumber="1" minValue="0" maxValue="676.63"/>
    </cacheField>
    <cacheField name="2020" numFmtId="2">
      <sharedItems containsMixedTypes="1" containsNumber="1" minValue="0" maxValue="758.82"/>
    </cacheField>
    <cacheField name="2021" numFmtId="2">
      <sharedItems containsMixedTypes="1" containsNumber="1" minValue="0" maxValue="1103.99"/>
    </cacheField>
    <cacheField name="2022" numFmtId="2">
      <sharedItems containsMixedTypes="1" containsNumber="1" minValue="0" maxValue="942.91"/>
    </cacheField>
    <cacheField name="2023" numFmtId="2">
      <sharedItems containsMixedTypes="1" containsNumber="1" minValue="0" maxValue="1908.09"/>
    </cacheField>
    <cacheField name="2024" numFmtId="2">
      <sharedItems containsMixedTypes="1" containsNumber="1" minValue="0" maxValue="1994.98"/>
    </cacheField>
    <cacheField name="2025" numFmtId="2">
      <sharedItems containsSemiMixedTypes="0" containsString="0" containsNumber="1" minValue="0" maxValue="1970.1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PC" refreshedDate="46219.574954629628" createdVersion="6" refreshedVersion="6" minRefreshableVersion="3" recordCount="253">
  <cacheSource type="worksheet">
    <worksheetSource ref="A1:M254" sheet="TS_Exports_Cleaned" r:id="rId2"/>
  </cacheSource>
  <cacheFields count="12">
    <cacheField name="HS6 Code" numFmtId="49">
      <sharedItems containsSemiMixedTypes="0" containsString="0" containsNumber="1" containsInteger="1" minValue="3901" maxValue="8549" count="253">
        <n v="8517"/>
        <n v="8544"/>
        <n v="8511"/>
        <n v="8504"/>
        <n v="8507"/>
        <n v="8527"/>
        <n v="8525"/>
        <n v="8545"/>
        <n v="8537"/>
        <n v="8536"/>
        <n v="8501"/>
        <n v="8512"/>
        <n v="8549"/>
        <n v="8503"/>
        <n v="8538"/>
        <n v="8502"/>
        <n v="8546"/>
        <n v="8542"/>
        <n v="8529"/>
        <n v="8541"/>
        <n v="8523"/>
        <n v="8543"/>
        <n v="8533"/>
        <n v="8505"/>
        <n v="8518"/>
        <n v="8528"/>
        <n v="8516"/>
        <n v="8514"/>
        <n v="8534"/>
        <n v="8532"/>
        <n v="8540"/>
        <n v="8531"/>
        <n v="8515"/>
        <n v="8530"/>
        <n v="8535"/>
        <n v="8526"/>
        <n v="8539"/>
        <n v="8547"/>
        <n v="8521"/>
        <n v="8524"/>
        <n v="8508"/>
        <n v="8548"/>
        <n v="8509"/>
        <n v="8522"/>
        <n v="8510"/>
        <n v="8519"/>
        <n v="8506"/>
        <n v="8513"/>
        <n v="3926"/>
        <n v="3904"/>
        <n v="3911"/>
        <n v="3920"/>
        <n v="3923"/>
        <n v="3907"/>
        <n v="3917"/>
        <n v="3908"/>
        <n v="3914"/>
        <n v="3903"/>
        <n v="3921"/>
        <n v="3913"/>
        <n v="3910"/>
        <n v="3924"/>
        <n v="3912"/>
        <n v="3902"/>
        <n v="3909"/>
        <n v="3905"/>
        <n v="3919"/>
        <n v="3906"/>
        <n v="3916"/>
        <n v="3901"/>
        <n v="3918"/>
        <n v="3922"/>
        <n v="3925"/>
        <n v="3915"/>
        <n v="6802"/>
        <n v="6814"/>
        <n v="6806"/>
        <n v="6815"/>
        <n v="6813"/>
        <n v="6804"/>
        <n v="6803"/>
        <n v="6801"/>
        <n v="6805"/>
        <n v="6808"/>
        <n v="6809"/>
        <n v="6807"/>
        <n v="6810"/>
        <n v="6811"/>
        <n v="6812"/>
        <n v="6910"/>
        <n v="6902"/>
        <n v="6907"/>
        <n v="6903"/>
        <n v="6912"/>
        <n v="6909"/>
        <n v="6913"/>
        <n v="6914"/>
        <n v="6911"/>
        <n v="6901"/>
        <n v="6904"/>
        <n v="6905"/>
        <n v="6906"/>
        <n v="6908"/>
        <n v="7326"/>
        <n v="7308"/>
        <n v="7325"/>
        <n v="7323"/>
        <n v="7310"/>
        <n v="7307"/>
        <n v="7320"/>
        <n v="7318"/>
        <n v="7301"/>
        <n v="7315"/>
        <n v="7304"/>
        <n v="7321"/>
        <n v="7306"/>
        <n v="7319"/>
        <n v="7309"/>
        <n v="7302"/>
        <n v="7312"/>
        <n v="7311"/>
        <n v="7317"/>
        <n v="7324"/>
        <n v="7316"/>
        <n v="7303"/>
        <n v="7305"/>
        <n v="7314"/>
        <n v="7322"/>
        <n v="7404"/>
        <n v="7419"/>
        <n v="7403"/>
        <n v="7408"/>
        <n v="7406"/>
        <n v="7412"/>
        <n v="7402"/>
        <n v="7418"/>
        <n v="7407"/>
        <n v="7409"/>
        <n v="7411"/>
        <n v="7415"/>
        <n v="7410"/>
        <n v="7413"/>
        <n v="7405"/>
        <n v="7601"/>
        <n v="7616"/>
        <n v="7607"/>
        <n v="7602"/>
        <n v="7606"/>
        <n v="7603"/>
        <n v="7615"/>
        <n v="7612"/>
        <n v="7604"/>
        <n v="7605"/>
        <n v="7610"/>
        <n v="7608"/>
        <n v="7613"/>
        <n v="7614"/>
        <n v="7609"/>
        <n v="8301"/>
        <n v="8302"/>
        <n v="8306"/>
        <n v="8307"/>
        <n v="8311"/>
        <n v="8305"/>
        <n v="8309"/>
        <n v="8310"/>
        <n v="8308"/>
        <n v="8303"/>
        <n v="8304"/>
        <n v="8411"/>
        <n v="8409"/>
        <n v="8413"/>
        <n v="8481"/>
        <n v="8477"/>
        <n v="8408"/>
        <n v="8431"/>
        <n v="8406"/>
        <n v="8482"/>
        <n v="8483"/>
        <n v="8414"/>
        <n v="8421"/>
        <n v="8480"/>
        <n v="8486"/>
        <n v="8479"/>
        <n v="8473"/>
        <n v="8474"/>
        <n v="8443"/>
        <n v="8412"/>
        <n v="8410"/>
        <n v="8466"/>
        <n v="8419"/>
        <n v="8415"/>
        <n v="8428"/>
        <n v="8475"/>
        <n v="8484"/>
        <n v="8487"/>
        <n v="8448"/>
        <n v="8438"/>
        <n v="8445"/>
        <n v="8422"/>
        <n v="8465"/>
        <n v="8456"/>
        <n v="8471"/>
        <n v="8418"/>
        <n v="8455"/>
        <n v="8420"/>
        <n v="8429"/>
        <n v="8454"/>
        <n v="8472"/>
        <n v="8441"/>
        <n v="8467"/>
        <n v="8407"/>
        <n v="8417"/>
        <n v="8424"/>
        <n v="8425"/>
        <n v="8423"/>
        <n v="8416"/>
        <n v="8462"/>
        <n v="8468"/>
        <n v="8437"/>
        <n v="8405"/>
        <n v="8461"/>
        <n v="8457"/>
        <n v="8439"/>
        <n v="8426"/>
        <n v="8433"/>
        <n v="8434"/>
        <n v="8430"/>
        <n v="8432"/>
        <n v="8404"/>
        <n v="8460"/>
        <n v="8458"/>
        <n v="8451"/>
        <n v="8442"/>
        <n v="8402"/>
        <n v="8459"/>
        <n v="8464"/>
        <n v="8452"/>
        <n v="8436"/>
        <n v="8446"/>
        <n v="8427"/>
        <n v="8476"/>
        <n v="8450"/>
        <n v="8470"/>
        <n v="8485"/>
        <n v="8403"/>
        <n v="8435"/>
        <n v="8440"/>
        <n v="8444"/>
        <n v="8447"/>
        <n v="8449"/>
        <n v="8453"/>
        <n v="8463"/>
      </sharedItems>
    </cacheField>
    <cacheField name="Product Description" numFmtId="49">
      <sharedItems count="253" longText="1">
        <s v="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
        <s v="Insulated &quot;incl. enamelled or anodised&quot; wire, cable &quot;incl. coaxial cable&quot; and other insulated electric conductors, whether or not fitted with connectors; optical fibre cables, made up of individually sheathed fibres, whether or not assembled with electric conductors or fitted with connectors "/>
        <s v="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 "/>
        <s v="Electrical transformers, static converters, e.g. rectifiers, and inductors; parts thereof "/>
        <s v="Electric accumulators, incl. separators therefor, whether or not square or rectangular; parts thereof (excl. spent and those of unhardened rubber or textiles) "/>
        <s v="Reception apparatus for radio-broadcasting, whether or not combined, in the same housing, with sound recording or reproducing apparatus or a clock "/>
        <s v="Transmission apparatus for radio-broadcasting or television, whether or not incorporating reception apparatus or sound recording or reproducing apparatus; television cameras, digital cameras and video camera recorders "/>
        <s v="Carbon electrodes, carbon brushes, lamp carbons, battery carbons and other articles of graphite or other carbon, with or without metal, of a kind used for electrical purposes "/>
        <s v="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 "/>
        <s v="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 "/>
        <s v="Electric motors and generators (excl. generating sets) "/>
        <s v="Electrical lighting or signalling equipment (excl. lamps of heading 8539), windscreen wipers, defrosters and demisters, of a kind used for cycles or motor vehicles; parts thereof "/>
        <s v="Electrical and electronic waste and scrap "/>
        <s v="Parts suitable for use solely or principally with electric motors and generators, electric generating sets and rotary converters, n.e.s. "/>
        <s v="Parts suitable for use solely or principally with the apparatus of heading 8535, 8536 or 8537, n.e.s. "/>
        <s v="Electric generating sets and rotary converters "/>
        <s v="Electrical insulators of any material (excl. insulating fittings) "/>
        <s v="Electronic integrated circuits; parts thereof "/>
        <s v="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
        <s v="Semiconductor devices &quot;e.g. diodes, transistors, semiconductor-based transducers&quot;; photosensitive semiconductor devices, incl. photovoltaic cells whether or not assembled in modules or made up into panels (excl. photovoltaic generators); light emitting diodes &quot;LED&quot;, whether or not assembled with other light-emitting diodes &quot;LED&quot;; mounted piezoelectric crystals; parts thereof "/>
        <s v="Discs, tapes, solid-state non-volatile storage devices, &quot;smart cards&quot; and other media for the recording of sound or of other phenomena, whether or not recorded, incl. matrices and masters for the production of discs (excl. products of chapter 37) "/>
        <s v="Electrical machines and apparatus, having individual functions, n.e.s. in chapter 85 and parts thereof "/>
        <s v="Electrical resistors, incl. rheostats and potentiometers (excl. heating resistors); parts thereof "/>
        <s v="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 "/>
        <s v="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 "/>
        <s v="Monitors and projectors, not incorporating television reception apparatus; reception apparatus for television, whether or not incorporating radio-broadcast receivers or sound or video recording or reproducing apparatus "/>
        <s v="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 "/>
        <s v="Industrial or laboratory electric furnaces and ovens, incl. those functioning by induction or dielectric loss; other industrial or laboratory equipment for the heat treatment of materials by induction or dielectric loss; parts thereof "/>
        <s v="Printed circuits "/>
        <s v="Electrical capacitors, fixed, variable or adjustable &quot;pre-set&quot;; parts thereof "/>
        <s v="Thermionic, cold cathode or photo-cathode valves and tubes, e.g. vacuum or vapour or gas filled valves and tubes, mercury arc rectifying valves and tubes, cathode ray tubes and television camera tubes; parts thereof "/>
        <s v="Electric sound or visual signalling apparatus, e.g. bells, sirens, indicator panels, burglar or fire alarms (excl. those for cycles, motor vehicles and traffic signalling); parts thereof "/>
        <s v="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 "/>
        <s v="Electrical signalling, safety or traffic control equipment for railways, tramways, roads, inland waterways, parking facilities, port installations or airfields (excl. mechanical or electromechanical equipment of heading 8608); parts thereof "/>
        <s v="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 "/>
        <s v="Radar apparatus, radio navigational aid apparatus and radio remote control apparatus "/>
        <s v="Electric filament or discharge lamps, incl. sealed beam lamp units and ultraviolet or infra-red lamps; arc lamps; light-emitting diode &quot;LED&quot; light sources; parts thereof "/>
        <s v="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s v="Video recording or reproducing apparatus, whether or not incorporating a video tuner (excl. video camera recorders) "/>
        <s v="Flat panel display modules, whether or not incorporating touch-sensitive screens "/>
        <s v="Vacuum cleaners, incl. dry cleaners and wet vacuum cleaners "/>
        <s v="Waste and scrap of primary cells, primary batteries and electric accumulators; spent primary cells, spent primary batteries and spent electric accumulators; electrical parts of machinery or apparatus, not specified or included elsewhere in chapter 85 "/>
        <s v="Electromechanical domestic appliances, with self-contained electric motor; parts thereof (excl. vacuum cleaners, dry and wet vacuum cleaners) "/>
        <s v="Parts and accessories suitable for use solely or principally with sound reproducing and recording apparatus and with video equipment for recording and reproducing pictures and sound "/>
        <s v="Electric shavers, hair clippers and hair-removing appliances, with self-contained electric motor; parts thereof "/>
        <s v="Sound recording or sound reproducing apparatus "/>
        <s v="Primary cells and primary batteries, electrical; parts thereof (excl. spent) "/>
        <s v="Portable electric lamps designed to function by their own source of energy, e.g. dry batteries, accumulators and magnetos; parts thereof (excl. lighting equipment of heading 8512) "/>
        <s v="Articles of plastics and articles of other materials of heading 3901 to 3914, n.e.s. "/>
        <s v="Polymers of vinyl chloride or of other halogenated olefins, in primary forms "/>
        <s v="Petroleum resins, coumarone-indene resins, polyterpenes, polysulphides, polysulphones and other polymers and prepolymers produced by chemical synthesis, n.e.s., in primary forms "/>
        <s v="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 "/>
        <s v="Articles for the conveyance or packaging of goods, of plastics; stoppers, lids, caps and other closures, of plastics "/>
        <s v="Polyacetals, other polyethers and epoxide resins, in primary forms; polycarbonates, alkyd resins, polyallyl esters and other polyesters, in primary forms "/>
        <s v="Tubes, pipes and hoses, and fittings therefor, e.g. joints, elbows, flanges, of plastics "/>
        <s v="Polyamides, in primary forms "/>
        <s v="Ion-exchangers based on polymers of heading 3901 to 3913, in primary forms "/>
        <s v="Polymers of styrene, in primary forms "/>
        <s v="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 "/>
        <s v="Natural polymers, e.g. alginic acid, and modified natural polymers, e.g. hardened proteins, chemical derivatives of natural rubber, n.e.s., in primary forms "/>
        <s v="Silicones in primary forms "/>
        <s v="Tableware, kitchenware, other household articles and toilet articles, of plastics (excl. baths, shower-baths, washbasins, bidets, lavatory pans, seats and covers, flushing cisterns and similar sanitary ware) "/>
        <s v="Cellulose and its chemical derivatives, n.e.s., in primary forms "/>
        <s v="Polymers of propylene or of other olefins, in primary forms "/>
        <s v="Amino-resins, phenolic resins and polyurethanes, in primary forms "/>
        <s v="Polymers of vinyl acetate or of other vinyl esters, in primary forms; other vinyl polymers, in primary forms "/>
        <s v="Self-adhesive plates, sheets, film, foil, tape, strip and other flat shapes, of plastics, whether or not in rolls (excl. floor, wall and ceiling coverings of heading 3918) "/>
        <s v="Acrylic polymers, in primary forms "/>
        <s v="Monofilament of which any cross-sectional dimension &gt; 1 mm, rods, sticks and profile shapes, of plastics, whether or not surface-worked but not further worked "/>
        <s v="Polymers of ethylene, in primary forms "/>
        <s v="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 "/>
        <s v="Baths, shower-baths, sinks, washbasins, bidets, lavatory pans, seats and covers, flushing cisterns and similar sanitary ware, of plastics "/>
        <s v="Builders' ware of plastics, n.e.s. "/>
        <s v="Waste, parings and scrap, of plastics "/>
        <s v="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 "/>
        <s v="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 "/>
        <s v="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 "/>
        <s v="Articles of stone or of other mineral substances, incl. carbon fibres, articles of carbon fibres and articles of peat, n.e.s. "/>
        <s v="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 "/>
        <s v="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 "/>
        <s v="Worked slate and articles of slate or of agglomerated slate (excluding slate granules, chippings and powder, mosaic cubes and the like, slate pencils, and ready-to-use slates or boards with writing or drawing surfaces) "/>
        <s v="Setts, curbstones and flagstones, of natural stone (excluding slate) "/>
        <s v="Natural or artificial abrasive powder or grain, on a base of textile material, paper, paperboard or other materials, whether or not cut to shape or sewn or otherwise made up "/>
        <s v="Panels, boards, tiles, blocks and similar articles of vegetable fibre, of straw or of shavings, chips, particles, sawdust or other waste of wood, agglomerated with cement, plaster or other mineral binders (excluding articles of asbestos-cement, cellulose fibre-cement or the like) "/>
        <s v="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 "/>
        <s v="Articles of asphalt or of similar materials, e.g. petroleum bitumen or coal tar pitch "/>
        <s v="Articles of cement, concrete or artificial stone, whether or not reinforced "/>
        <s v="Articles of asbestos-cement, cellulose fibre-cement or the like "/>
        <s v="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 "/>
        <s v="Ceramic sinks, washbasins, washbasin pedestals, baths, bidets, water closet pans, flushing cisterns, urinals and similar sanitary fixtures (excl. soap dishes, sponge holders, tooth-brush holders, towel hooks and toilet paper holders) "/>
        <s v="Refractory bricks, blocks, tiles and similar refractory ceramic constructional goods (excl. those of siliceous fossil meals or similar siliceous earths) "/>
        <s v="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 "/>
        <s v="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 "/>
        <s v="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 "/>
        <s v="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 "/>
        <s v="Statuettes and other ornamental ceramic articles, n.e.s. "/>
        <s v="Ceramic articles, n.e.s. "/>
        <s v="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 "/>
        <s v="Bricks, blocks, tiles and other ceramic goods of siliceous fossil meals, e.g. kieselguhr, tripolite or diatomite, or of similar siliceous earths "/>
        <s v="Ceramic building bricks, flooring blocks, support or filler tiles and the like (excl. those of siliceous fossil meals or similar siliceous earths, refractory bricks of heading 6902, and flags and pavings, hearth and wall tiles of heading 6907 and 6908) "/>
        <s v="Roofing tiles, chimney pots, cowls, chimney liners, architectural ornaments and other ceramic constructional goods (excl. of siliceous fossil meals or similar siliceous earths, refractory ceramic constructional components, pipes and other components for drainage and similar purposes) "/>
        <s v="Ceramic pipes, conduits, guttering and pipe fittings (excluding of siliceous fossil meals or similar siliceous earths, refractory ceramic goods, chimney liners, pipes specifically manufactured for laboratories, insulating tubing and fittings and other piping for electrotechnical purposes) "/>
        <s v="Glazed ceramic flags and paving, hearth or wall tiles; glazed ceramic mosaic cubes and the like, whether or not on a backing (excluding of siliceous fossil meals or similar siliceous earths, refractory ceramic goods, tiles specially adapted as table mats, ornamental articles and tiles specifically manufactured for stoves) "/>
        <s v="Articles of iron or steel, n.e.s. (excl. cast articles) "/>
        <s v="Structures and parts of structures &quot;e.g., bridges and bridge-sections, lock-gates, towers, lattice masts, roofs, roofing frameworks, doors and windows and their frames and thresholds for doors, shutters, balustrades, pillars and columns&quot;, of iron or steel; plates, rods, angles, shapes, sections, tubes and the like, prepared for use in structures, of iron or steel (excl. prefabricated buildings of heading 9406) "/>
        <s v="Articles of iron or steel, cast, n.e.s. "/>
        <s v="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s v="Tanks, casks, drums, cans, boxes and similar containers, of iron or steel, for any material &quot;other than compressed or liquefied gas&quot;, of a capacity of &lt;= 300 l, not fitted with mechanical or thermal equipment, whether or not lined or heat-insulated, n.e.s. "/>
        <s v="Tube or pipe fittings &quot;e.g. couplings, elbows, sleeves&quot;, of iron or steel "/>
        <s v="Springs and leaves for springs, of iron or steel (excl. clock and watch springs, springs for sticks and handles of umbrellas or parasols, shock absorbers and torque rod or torsion bar springs of Section 17) "/>
        <s v="Screws, bolts, nuts, coach screws, screw hooks, rivets, cotters, cotter pins, washers, incl. spring washers, and similar articles, of iron or steel (excl. lag screws, stoppers, plugs and the like, threaded) "/>
        <s v="Sheet piling of iron or steel, whether or not drilled, punched or made from assembled elements; welded angles, shapes and sections, of iron or steel "/>
        <s v="Chain and parts thereof, or iron or steel (excl. watch chains, necklace chains and the like, cutting and saw chain, skid chain, scraper chain for conveyors, toothed chain for textile machinery and the like, safety devices with chains for securing doors, measuring chains) "/>
        <s v="Tubes, pipes and hollow profiles, seamless, of iron or steel (excl. products of cast iron) "/>
        <s v="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 v="Tubes, pipes and hollow profiles &quot;e.g., open seam or welded, riveted or similarly closed&quot;, of iron or steel (excl. of cast iron, seamless tubes and pipes and tubes having internal and external circular cross-sections and an external diameter of &gt; 406,4 mm) "/>
        <s v="Sewing needles, knitting needles, bodkins, crochet hoods, embroidery stilettos and similar articles, for use in the hand, of iron or steel; safety pins and other pins of iron or steel, n.e.s. "/>
        <s v="Reservoirs, tanks, vats and similar containers, of iron or steel, for any material &quot;other than compressed or liquefied gas&quot;, of a capacity of &gt; 300 l, not fitted with mechanical or thermal equipment, whether or not lined or heat-insulated (excluding containers specifically constructed or equipped for one or more types of transport) "/>
        <s v="Railway or tramway track construction material of iron or steel, the following : rails, check-rails and rack rails, switch blades, crossing frogs, point rods and other crossing pieces, sleepers &quot;cross-ties&quot;, fish-plates, chairs, chair wedges, sole plates &quot;base plates&quot;, rail clips, bedplates, ties and other material specialised for jointing or fixing rails "/>
        <s v="Stranded wire, ropes, cables, plaited bands, slings and the like, of iron or steel (excl. electrically insulated products and twisted fencing wire and barbed wire) "/>
        <s v="Containers of iron or steel, for compressed or liquefied gas (excluding containers specifically constructed or equipped for one or more types of transport) "/>
        <s v="Nails, tacks, drawing pins, corrugated nails, staples and similar articles of iron or steel, whether or not with heads of other material (excluding such articles with heads of copper and staples in strips) "/>
        <s v="Sanitary ware, and parts thereof, of iron or steel (excl. cans, boxes and similar containers of heading 7310, small wall cabinets for medical supplies or toiletries and other furniture of chapter 94, and fittings) "/>
        <s v="Anchors, grapnels and parts thereof, of iron or steel "/>
        <s v="Tubes, pipes and hollow profiles, of cast iron "/>
        <s v="Tubes and pipes, having circular cross-sections and an external diameter of &gt; 406,4 mm, of flat-rolled products of iron or steel &quot;e.g., welded, riveted or similarly closed&quot; "/>
        <s v="Cloth, incl. endless bands, grill, netting and fencing, of iron or steel wire, expanded metal of iron or steel (excl. woven products of metal fibres of a kind used for cladding, lining or similar purposes) "/>
        <s v="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
        <s v="Waste and scrap, of copper (excluding ingots or other similar unwrought shapes, of remelted copper waste and scrap, ashes and residues containing copper, and waste and scrap of primary cells, primary batteries and electric accumulators) "/>
        <s v="Other articles of copper, n.e.s. "/>
        <s v="Copper, refined, and copper alloys, unwrought (excl. copper alloys of heading 7405) "/>
        <s v="Copper wire (excl. surgical sutures, stranded wire, cables, plaited bands and the like and other articles of heading 7413, electrically insulated wires and strings for musical instruments) "/>
        <s v="Powders and flakes, of copper (excl. grains of copper and spangles of heading 8308) "/>
        <s v="Copper tube or pipe fittings &quot;e.g., couplings, elbows, sleeves&quot; "/>
        <s v="Copper, unrefined; copper anodes for electrolytic refining "/>
        <s v="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 "/>
        <s v="Bars, rods and profiles, of copper, n.e.s. "/>
        <s v="Plates, sheets and strip, of copper, of a thickness of &gt; 0,15 mm (excl. expanded sheet and strip copper and electrically insulated strip) "/>
        <s v="Copper tubes and pipes "/>
        <s v="Nails, tacks, drawing pins, staples and similar articles, of copper or with shafts of iron or steel and heads of copper, screws, bolts, nuts, screw hooks, rivets, cotters, cotter pins, washers &quot;incl. spring washers&quot; and similar articles, of copper (excl. staples in strips, and lag screws, plugs, bungs and the like, threaded) "/>
        <s v="Copper foil &quot;whether or not printed or backed with paper, paperboard, plastics or similar backing materials&quot;, of a thickness &quot;excl. any backing&quot; of &lt;= 0,15 mm (excl. stamping foils of heading 3212, metal yarns and metallised yarns and foil made up as christmas tree decorating material) "/>
        <s v="Stranded wire, cables, plaited bands and the like, of copper (excluding electrically insulated products) "/>
        <s v="Master alloys of copper (excluding phosphorus-copper compounds &quot;copper phosphide&quot; containing by weight &gt; 15% phosphorus) "/>
        <s v="Unwrought aluminium "/>
        <s v="Articles of aluminium, n.e.s. "/>
        <s v="Aluminium foil, &quot;whether or not printed or backed with paper, paperboard, plastics or similar backing materials&quot;, of a thickness &quot;excl. any backing&quot; of &lt;= 0,2 mm (excl. stamping foils of heading 3212, christmas tree decorating material) "/>
        <s v="Waste and scrap, of aluminium (excluding slags, scale and the like from iron and steel production, containing recoverable aluminium in the form of silicates, ingots or other similar unwrought shapes, of remelted waste and scrap, of aluminium, ashes and residues from aluminium production) "/>
        <s v="Plates, sheets and strip, of aluminium, of a thickness of &gt; 0,2 mm (excl. expanded plates, sheets and strip) "/>
        <s v="Powder and flakes, of aluminium (excl. pellets of aluminium, and spangles) "/>
        <s v="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s v="Casks, drums, cans, boxes and similar containers, incl. rigid or collapsible tubular containers, of aluminium, for any material (other than compressed or liquefied gas), of a capacity of &lt;= 300 l, not fitted with mechanical or thermal equipment, whether or not lined or heat-insulated, n.e.s. "/>
        <s v="Bars, rods and profiles, of aluminium, n.e.s. "/>
        <s v="Aluminium wire (excl. stranded wire, cables, plaited bands and the like and other articles of heading 7614, electrically insulated wires, and strings for musical instruments) "/>
        <s v="Structures and parts of structures &quot;e.g., bridges and bridge-sections, towers, lattice masts, pillars and columns, roofs, roofing frameworks, doors and windows and their frames and thresholds for doors, shutters, balustrades&quot;, of aluminium (excl. prefabricated buildings of heading 9406); plates, rods, profiles, tubes and the like, prepared for use in structures, of aluminium "/>
        <s v="Aluminium tubes and pipes (excl. hollow profiles) "/>
        <s v="Aluminium containers for compressed or liquefied gas "/>
        <s v="Stranded wire, cables, plaited bands and the like, of aluminium (excl. such products electrically insulated) "/>
        <s v="Aluminium tube or pipe fittings &quot;e.g., couplings, elbows, sleeves&quot; "/>
        <s v="Padlocks and locks &quot;key, combination or electrically operated&quot;, of base metal; clasps and frames with clasps, incorporating locks, of base metal; keys for any of the foregoing articles, of base metal "/>
        <s v="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s v="Bells, gongs and the like, non-electric, of base metal (excl. musical instruments); statuettes and other ornaments, of base metal (excl. works of art, collectors' pieces and antiques); photograph, picture or similar frames, of base metal; mirrors of base metal (excl. optical elements) "/>
        <s v="Flexible tubing of base metal, with or without fittings "/>
        <s v="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s v="Fittings for loose-leaf binders or files, letter clips, letter corners, paper clips, indexing tags and similar office articles, of base metal (excl. drawing pins and clasps for books or registers); staples in strips, e.g. for use in offices, upholstery and packaging, of base metal "/>
        <s v="Stoppers, caps and lids, incl. crown corks, screw caps and pouring stoppers, capsules for bottles, threaded bungs, bung covers, seals and other packing accessories, of base metal "/>
        <s v="Sign-plates, nameplates, address-plates and similar plates, numbers, letters and other symbols, of base metal, incl. traffic signs (excluding those of heading 9405, type and the like, and signal boards, signal discs and signal arms for traffic of heading 8608) "/>
        <s v="Clasps, frames with clasps, buckles, buckle-clasps, hooks, eyes, eyelets and the like, of base metal, of a kind used for clothing, footwear, awnings, handbags, travel goods or other made-up articles, tubular or bifurcated rivets, of base metal; beads and spangles of base metal "/>
        <s v="Armoured or reinforced safes, strongboxes and doors and safe deposit lockers for strongrooms, cash or deed boxes and the like, of base metal "/>
        <s v="Filing cabinets, card-index cabinets, paper trays, paper rests, pen trays, office-stamp stands and similar office or desk equipment, of base metal (excluding office furniture of heading 9403 and waste paper bins) "/>
        <s v="Turbojets, turbopropellers and other gas turbines "/>
        <s v="Parts suitable for use solely or principally with internal combustion piston engine of heading 8407 or 8408 "/>
        <s v="Pumps for liquids, whether or not fitted with a measuring device (excl. ceramic pumps and secretion aspirating pumps for medical use and medical pumps carried on or implanted in the body); liquid elevators (excl. pumps); parts thereof "/>
        <s v="Taps, cocks, valves and similar appliances for pipes, boiler shells, tanks, vats or the like, incl. pressure-reducing valves and thermostatically controlled valves; parts thereof "/>
        <s v="Machinery for working rubber or plastics or for the manufacture of products from these materials, not specified or included elsewhere in this chapter, parts thereof "/>
        <s v="Compression-ignition internal combustion piston engine &quot;diesel or semi-diesel engine&quot; "/>
        <s v="Parts suitable for use solely or principally with the machinery of heading 8425 to 8430, n.e.s. "/>
        <s v="Steam turbines and other vapour turbines; parts thereof "/>
        <s v="Ball or roller bearings (excl. steel balls of heading 7326); parts thereof "/>
        <s v="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 "/>
        <s v="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 "/>
        <s v="Centrifuges, incl. centrifugal dryers (excl. those for isotope separation); filtering or purifying machinery and apparatus, for liquids or gases; parts thereof (excl. artificial kidneys) "/>
        <s v="Moulding boxes for metal foundry; mould bases; moulding patterns; moulds for metal (other than ingot moulds), metal carbides, glass, mineral materials, rubber or plastics (excl. moulds of graphite or other carbons, ceramic or glass moulds and linotype moulds or matrices) "/>
        <s v="Machines and apparatus of a kind used solely or principally for the manufacture of semiconductor boules or wafers, semiconductor devices, electronic integrated circuits or flat panel displays; machines and apparatus specified in note 11 C to chapter 84; parts and accessories, n.e.s. "/>
        <s v="Machines and mechanical appliances having individual functions, not specified or included elsewhere in this chapter; parts thereof "/>
        <s v="Parts and accessories (other than covers, carrying cases and the like) suitable for use solely or principally with machines of heading 8469 to 8472, n.e.s. "/>
        <s v="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 "/>
        <s v="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 "/>
        <s v="Engines and motors (excl. steam turbines, internal combustion piston engine, hydraulic turbines, water wheels, gas turbines and electric motors); parts thereof "/>
        <s v="Hydraulic turbines, water wheels, and regulators therefor (excl. hydraulic power engines and motors of heading 8412) "/>
        <s v="Parts and accessories suitable for use solely or principally with the machines of headings 8456 to 8465, incl. work or tool holders, self-opening dieheads, dividing heads and other special attachments for the machines, n.e.s.; tool holders for any type of tool for working in the hand "/>
        <s v="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
        <s v="Air conditioning machines comprising a motor-driven fan and elements for changing the temperature and humidity, incl. those machines in which the humidity cannot be separately regulated; parts thereof "/>
        <s v="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 "/>
        <s v="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 "/>
        <s v="Gaskets and similar joints of metal sheeting combined with other material or of two or more layers of metal; sets or assortments of gaskets and similar joints, dissimilar in composition, put up in pouches, envelopes or similar packings; mechanical seals "/>
        <s v="Machinery parts, n.e.s. in chapter 84 (excl. parts containing electrical connectors, insulators, coils, contacts or other electrical features) "/>
        <s v="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 "/>
        <s v="Machinery, not specified or included elsewhere in this chapter, for the industrial preparation or manufacture of food or drink (other than machinery for the extraction or preparation of animal or fixed vegetable fats or oils); parts thereof "/>
        <s v="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 "/>
        <s v="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 "/>
        <s v="Machine tools, incl. machines for nailing, stapling, glueing or otherwise assembling, for working wood, cork, bone, hard rubber, hard plastics or similar hard materials (excl. machines for working in the hand and machines for additive manufacturing) "/>
        <s v="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 "/>
        <s v="Automatic data-processing machines and units thereof; magnetic or optical readers, machines for transcribing data onto data media in coded form and machines for processing such data, n.e.s. "/>
        <s v="Refrigerators, freezers and other refrigerating or freezing equipment, electric or other; heat pumps; parts thereof (excl. air conditioning machines of heading 8415) "/>
        <s v="Metal-rolling mills and rolls therefor; parts of metal-rolling mills "/>
        <s v="Calendering or other rolling machines (other than for metals or glass) and cylinders therefor; parts thereof "/>
        <s v="Self-propelled bulldozers, angledozers, graders, levellers, scrapers, mechanical shovels, excavators, shovel loaders, tamping machines and roadrollers "/>
        <s v="Converters, ladles, ingot moulds and casting machines of a kind used in metallurgy or in metal foundries (excl. metal powder presses); parts thereof "/>
        <s v="Office machines, e.g. hectograph or stencil duplicating machines, addressing machines, automatic banknote dispensers, coin-sorting machines, coin-counting or coin-wrapping machines, pencil-sharpening machines, perforating or stapling machines, n.e.s. "/>
        <s v="Machinery for making up paper pulp, paper or paperboard, incl. cutting machines of all kinds, n.e.s.; parts thereof "/>
        <s v="Tools for working in the hand, pneumatic, hydraulic or with self-contained electric or non-electric motor; parts thereof "/>
        <s v="Spark-ignition reciprocating or rotary internal combustion piston engine "/>
        <s v="Industrial or laboratory furnaces and ovens, non-electric, incl. incinerators (excl. drying ovens and ovens for cracking operations) "/>
        <s v="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
        <s v="Pulley tackle and hoists (other than skip hoists); winches and capstans; jacks "/>
        <s v="Weighing machinery, incl. weight-operated counting or checking machines (excl. balances of a sensitivity of 5 cg or better); weighing machine weights of all kinds; parts thereof "/>
        <s v="Furnace burners for liquid fuel, for pulverised solid fuel or for gas; mechanical stokers, incl. their mechanical grates, mechanical ash dischargers and similar appliances; parts thereof "/>
        <s v="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 "/>
        <s v="Machinery and apparatus for soldering, brazing or welding, whether or not capable of cutting (other than those of heading 8515); gas-operated surface tempering machines and appliances; parts thereof "/>
        <s v="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 "/>
        <s v="Producer gas or water gas generators, with or without their purifiers; acetylene gas generators and similar water process gas generators, with or without their purifiers; parts thereof (excl. coke ovens, electrolytic process gas generators and carbide lamps) "/>
        <s v="Machine tools for planing, shaping, slotting, broaching, gear cutting, gear grinding or gear finishing, sawing, cutting-off and other machine tools working by removing metal, sintered metal carbides or cermets, n.e.s. "/>
        <s v="Machining centres, unit construction machines &quot;single station&quot; and multi-station transfer machines for working metal "/>
        <s v="Machinery for making pulp of fibrous cellulosic material or for making or finishing paper or paperboard (excl. autoclaves, boilers, dryers, other heating appliances and calenders); parts thereof "/>
        <s v="Ships' derricks; cranes, incl. cable cranes (excl. wheel-mounted cranes and vehicle cranes for railways); mobile lifting frames, straddle carriers and works trucks fitted with a crane "/>
        <s v="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 "/>
        <s v="Milking machines and dairy machinery (excl. refrigerating or heat treatment equipment, cream separators, clarifying centrifuges, filter presses and other filtering equipment); parts thereof "/>
        <s v="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 "/>
        <s v="Agricultural, horticultural or forestry machinery for soil preparation or cultivation (excl. sprayers and dusters); lawn or sports-ground rollers; parts thereof "/>
        <s v="Auxiliary plant for use with boilers of heading 8402 or 8403, e.g. economizers, superheaters, soot removers and gas recoverers; condensers for steam or other vapour power units; parts thereof "/>
        <s v="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 "/>
        <s v="Lathes, incl. turning centres, for removing metal "/>
        <s v="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 "/>
        <s v="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 "/>
        <s v="Steam or other vapour generating boilers (excl. central heating hot water boilers capable also of producing low pressure steam); superheated water boilers; parts thereof "/>
        <s v="Machine tools, incl. way-type unit head machines, for drilling, boring, milling, threading or tapping (excl. lathes and turning centres of heading 8458, gear cutting machines of heading 8461 and hand-operated machines) "/>
        <s v="Machine tools for working stone, ceramics, concrete, asbestos-cement or like mineral materials or for cold-working glass (excl. machines for working in the hand) "/>
        <s v="Sewing machines (other than book-sewing machines of heading 8440); furniture, bases and covers specially designed for sewing machines; sewing machine needles; parts thereof "/>
        <s v="Agricultural, horticultural, forestry, poultry-keeping or bee-keeping machinery, incl. germination plant fitted with mechanical or thermal equipment; poultry incubators and brooders; parts thereof "/>
        <s v="Weaving machines &quot;looms&quot; "/>
        <s v="Fork-lift trucks; other works trucks fitted with lifting or handling equipment (excl. straddle carriers and works trucks fitted with a crane) "/>
        <s v="Automatic goods-vending machines, e.g. postage stamp, cigarette, food or beverage machines, incl. money-changing machines; parts thereof "/>
        <s v="Household or laundry-type washing machines, incl. machines which both wash and dry; parts thereof "/>
        <s v="Calculating machines and pocket-size &quot;dimensions &lt;= 170 mm x 100 mm x 45 mm&quot;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 "/>
        <s v="Machines for additive manufacturing "/>
        <s v="Central heating boilers, non-electric; parts thereof (excl. vapour generating boilers and superheated water boilers of heading 8402) "/>
        <s v="Presses, crushers and similar machinery used in the manufacture of wine, cider, fruit juices or similar beverages (excl. machinery for the treatment of these beverages, incl. centrifuges, filter presses, other filtering equipment and domestic appliances); parts thereof "/>
        <s v="Bookbinding machinery, incl. book-sewing machines (excl. machinery of heading 8441, general-purpose presses, printing machinery of heading 8443 and machines of uses ancillary to printing); parts thereof "/>
        <s v="Machines for extruding, drawing, texturing or cutting man-made textile materials "/>
        <s v="Knitting machines, stitch-bonding machines and machines for making gimped yarn, tulle, lace, embroidery, trimmings, braid or net and machines for tufting (excl. hem-stitching machines) "/>
        <s v="Machinery for the manufacture or finishing of felt or nonwovens in the piece or in shapes, incl. machinery for making felt hats; blocks for making hats; parts thereof (excluding machinery for preparing fibres for felt and calenders) "/>
        <s v="Machinery for preparing, tanning or working hides, skins or leather or for making or repairing footwear or other articles of hides, skins or leather (excl. drying machines, spray guns, machines for the dehairing of pigs, sewing machines and general purpose presses); parts thereof "/>
        <s v="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 "/>
      </sharedItems>
    </cacheField>
    <cacheField name="2016" numFmtId="2">
      <sharedItems containsMixedTypes="1" containsNumber="1" minValue="0" maxValue="64.22"/>
    </cacheField>
    <cacheField name="2017" numFmtId="2">
      <sharedItems containsMixedTypes="1" containsNumber="1" minValue="0" maxValue="114.14"/>
    </cacheField>
    <cacheField name="2018" numFmtId="2">
      <sharedItems containsMixedTypes="1" containsNumber="1" minValue="0" maxValue="168.12"/>
    </cacheField>
    <cacheField name="2019" numFmtId="2">
      <sharedItems containsMixedTypes="1" containsNumber="1" minValue="0" maxValue="147.86000000000001"/>
    </cacheField>
    <cacheField name="2020" numFmtId="2">
      <sharedItems containsMixedTypes="1" containsNumber="1" minValue="0" maxValue="99.18"/>
    </cacheField>
    <cacheField name="2021" numFmtId="2">
      <sharedItems containsMixedTypes="1" containsNumber="1" minValue="0" maxValue="270.66000000000003"/>
    </cacheField>
    <cacheField name="2022" numFmtId="2">
      <sharedItems containsMixedTypes="1" containsNumber="1" minValue="0" maxValue="292.92"/>
    </cacheField>
    <cacheField name="2023" numFmtId="2">
      <sharedItems containsMixedTypes="1" containsNumber="1" minValue="0" maxValue="398.71"/>
    </cacheField>
    <cacheField name="2024" numFmtId="2">
      <sharedItems containsMixedTypes="1" containsNumber="1" minValue="0" maxValue="331.88"/>
    </cacheField>
    <cacheField name="2025" numFmtId="2">
      <sharedItems containsSemiMixedTypes="0" containsString="0" containsNumber="1" minValue="0" maxValue="327.3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PC" refreshedDate="46224.502247337965" createdVersion="6" refreshedVersion="6" minRefreshableVersion="3" recordCount="258">
  <cacheSource type="worksheet">
    <worksheetSource ref="A1:M259" sheet="TS_Imports" r:id="rId2"/>
  </cacheSource>
  <cacheFields count="13">
    <cacheField name="HS6 Code" numFmtId="49">
      <sharedItems containsSemiMixedTypes="0" containsString="0" containsNumber="1" containsInteger="1" minValue="3901" maxValue="8549"/>
    </cacheField>
    <cacheField name="Product Description" numFmtId="49">
      <sharedItems longText="1"/>
    </cacheField>
    <cacheField name="2016" numFmtId="2">
      <sharedItems containsSemiMixedTypes="0" containsString="0" containsNumber="1" minValue="0" maxValue="276.67"/>
    </cacheField>
    <cacheField name="2017" numFmtId="2">
      <sharedItems containsSemiMixedTypes="0" containsString="0" containsNumber="1" minValue="0" maxValue="347.51"/>
    </cacheField>
    <cacheField name="2018" numFmtId="2">
      <sharedItems containsSemiMixedTypes="0" containsString="0" containsNumber="1" minValue="0" maxValue="387.45"/>
    </cacheField>
    <cacheField name="2019" numFmtId="2">
      <sharedItems containsMixedTypes="1" containsNumber="1" minValue="0" maxValue="676.63"/>
    </cacheField>
    <cacheField name="2020" numFmtId="2">
      <sharedItems containsMixedTypes="1" containsNumber="1" minValue="0" maxValue="758.82"/>
    </cacheField>
    <cacheField name="2021" numFmtId="2">
      <sharedItems containsMixedTypes="1" containsNumber="1" minValue="0" maxValue="1103.99"/>
    </cacheField>
    <cacheField name="2022" numFmtId="2">
      <sharedItems containsMixedTypes="1" containsNumber="1" minValue="0" maxValue="942.91"/>
    </cacheField>
    <cacheField name="2023" numFmtId="2">
      <sharedItems containsMixedTypes="1" containsNumber="1" minValue="0" maxValue="1908.09"/>
    </cacheField>
    <cacheField name="2024" numFmtId="2">
      <sharedItems containsMixedTypes="1" containsNumber="1" minValue="0" maxValue="1994.98"/>
    </cacheField>
    <cacheField name="2025" numFmtId="2">
      <sharedItems containsSemiMixedTypes="0" containsString="0" containsNumber="1" minValue="0" maxValue="1970.11"/>
    </cacheField>
    <cacheField name="Ekta Category" numFmtId="2">
      <sharedItems count="6">
        <s v="Electrical"/>
        <s v="Plastics"/>
        <s v="Decorative Materials"/>
        <s v="Sanitary"/>
        <s v="Hardware"/>
        <s v="Kitchen Fitting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PC" refreshedDate="46224.505135995372" createdVersion="6" refreshedVersion="6" minRefreshableVersion="3" recordCount="253">
  <cacheSource type="worksheet">
    <worksheetSource ref="A1:M254" sheet="TS_Exports" r:id="rId2"/>
  </cacheSource>
  <cacheFields count="13">
    <cacheField name="HS6 Code" numFmtId="49">
      <sharedItems containsSemiMixedTypes="0" containsString="0" containsNumber="1" containsInteger="1" minValue="3901" maxValue="8549"/>
    </cacheField>
    <cacheField name="Product Description" numFmtId="49">
      <sharedItems longText="1"/>
    </cacheField>
    <cacheField name="2016" numFmtId="2">
      <sharedItems containsMixedTypes="1" containsNumber="1" minValue="0" maxValue="64.22"/>
    </cacheField>
    <cacheField name="2017" numFmtId="2">
      <sharedItems containsMixedTypes="1" containsNumber="1" minValue="0" maxValue="114.14"/>
    </cacheField>
    <cacheField name="2018" numFmtId="2">
      <sharedItems containsMixedTypes="1" containsNumber="1" minValue="0" maxValue="168.12"/>
    </cacheField>
    <cacheField name="2019" numFmtId="2">
      <sharedItems containsMixedTypes="1" containsNumber="1" minValue="0" maxValue="147.86000000000001"/>
    </cacheField>
    <cacheField name="2020" numFmtId="2">
      <sharedItems containsMixedTypes="1" containsNumber="1" minValue="0" maxValue="99.18"/>
    </cacheField>
    <cacheField name="2021" numFmtId="2">
      <sharedItems containsMixedTypes="1" containsNumber="1" minValue="0" maxValue="270.66000000000003"/>
    </cacheField>
    <cacheField name="2022" numFmtId="2">
      <sharedItems containsMixedTypes="1" containsNumber="1" minValue="0" maxValue="292.92"/>
    </cacheField>
    <cacheField name="2023" numFmtId="2">
      <sharedItems containsMixedTypes="1" containsNumber="1" minValue="0" maxValue="398.71"/>
    </cacheField>
    <cacheField name="2024" numFmtId="2">
      <sharedItems containsMixedTypes="1" containsNumber="1" minValue="0" maxValue="331.88"/>
    </cacheField>
    <cacheField name="2025" numFmtId="2">
      <sharedItems containsSemiMixedTypes="0" containsString="0" containsNumber="1" minValue="0" maxValue="327.37"/>
    </cacheField>
    <cacheField name="Ekta Category" numFmtId="2">
      <sharedItems count="6">
        <s v="Electrical"/>
        <s v="Plastics"/>
        <s v="Decorative Materials"/>
        <s v="Sanitary"/>
        <s v="Hardware"/>
        <s v="Kitchen Fittings"/>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PC" refreshedDate="46224.507782638888" createdVersion="6" refreshedVersion="6" minRefreshableVersion="3" recordCount="239">
  <cacheSource type="worksheet">
    <worksheetSource name="Table6"/>
  </cacheSource>
  <cacheFields count="10">
    <cacheField name="HS6 Code" numFmtId="49">
      <sharedItems containsSemiMixedTypes="0" containsString="0" containsNumber="1" containsInteger="1" minValue="3901" maxValue="8548" count="239">
        <n v="8542"/>
        <n v="8536"/>
        <n v="8541"/>
        <n v="8504"/>
        <n v="8537"/>
        <n v="8515"/>
        <n v="8532"/>
        <n v="8511"/>
        <n v="8507"/>
        <n v="8501"/>
        <n v="8525"/>
        <n v="8538"/>
        <n v="8544"/>
        <n v="8517"/>
        <n v="8543"/>
        <n v="8547"/>
        <n v="8533"/>
        <n v="8512"/>
        <n v="8523"/>
        <n v="8503"/>
        <n v="8505"/>
        <n v="8534"/>
        <n v="8514"/>
        <n v="8516"/>
        <n v="8540"/>
        <n v="8545"/>
        <n v="8528"/>
        <n v="8530"/>
        <n v="8518"/>
        <n v="8539"/>
        <n v="8506"/>
        <n v="8531"/>
        <n v="8546"/>
        <n v="8529"/>
        <n v="8535"/>
        <n v="8527"/>
        <n v="8526"/>
        <n v="8521"/>
        <n v="8508"/>
        <n v="8509"/>
        <n v="8548"/>
        <n v="8522"/>
        <n v="8502"/>
        <n v="8510"/>
        <n v="8513"/>
        <n v="8519"/>
        <n v="3904"/>
        <n v="3906"/>
        <n v="3926"/>
        <n v="3909"/>
        <n v="3901"/>
        <n v="3912"/>
        <n v="3907"/>
        <n v="3902"/>
        <n v="3919"/>
        <n v="3920"/>
        <n v="3905"/>
        <n v="3911"/>
        <n v="3903"/>
        <n v="3908"/>
        <n v="3923"/>
        <n v="3910"/>
        <n v="3917"/>
        <n v="3921"/>
        <n v="3914"/>
        <n v="3913"/>
        <n v="3916"/>
        <n v="3924"/>
        <n v="3925"/>
        <n v="3922"/>
        <n v="3918"/>
        <n v="3915"/>
        <n v="6813"/>
        <n v="6804"/>
        <n v="6815"/>
        <n v="6806"/>
        <n v="6805"/>
        <n v="6814"/>
        <n v="6812"/>
        <n v="6811"/>
        <n v="6810"/>
        <n v="6909"/>
        <n v="6903"/>
        <n v="6902"/>
        <n v="6914"/>
        <n v="6910"/>
        <n v="6911"/>
        <n v="6912"/>
        <n v="6907"/>
        <n v="6905"/>
        <n v="6906"/>
        <n v="6904"/>
        <n v="6913"/>
        <n v="7318"/>
        <n v="7302"/>
        <n v="7326"/>
        <n v="7304"/>
        <n v="7307"/>
        <n v="7320"/>
        <n v="7315"/>
        <n v="7308"/>
        <n v="7306"/>
        <n v="7325"/>
        <n v="7319"/>
        <n v="7310"/>
        <n v="7314"/>
        <n v="7312"/>
        <n v="7309"/>
        <n v="7322"/>
        <n v="7311"/>
        <n v="7321"/>
        <n v="7317"/>
        <n v="7323"/>
        <n v="7324"/>
        <n v="7303"/>
        <n v="7316"/>
        <n v="7403"/>
        <n v="7408"/>
        <n v="7409"/>
        <n v="7419"/>
        <n v="7407"/>
        <n v="7404"/>
        <n v="7402"/>
        <n v="7410"/>
        <n v="7412"/>
        <n v="7406"/>
        <n v="7411"/>
        <n v="7413"/>
        <n v="7415"/>
        <n v="7418"/>
        <n v="7401"/>
        <n v="7405"/>
        <n v="7602"/>
        <n v="7606"/>
        <n v="7616"/>
        <n v="7607"/>
        <n v="7604"/>
        <n v="7605"/>
        <n v="7608"/>
        <n v="7610"/>
        <n v="7603"/>
        <n v="7609"/>
        <n v="7612"/>
        <n v="7601"/>
        <n v="7615"/>
        <n v="7613"/>
        <n v="7611"/>
        <n v="7614"/>
        <n v="8311"/>
        <n v="8301"/>
        <n v="8302"/>
        <n v="8307"/>
        <n v="8310"/>
        <n v="8309"/>
        <n v="8308"/>
        <n v="8305"/>
        <n v="8303"/>
        <n v="8306"/>
        <n v="8479"/>
        <n v="8457"/>
        <n v="8411"/>
        <n v="8443"/>
        <n v="8409"/>
        <n v="8481"/>
        <n v="8477"/>
        <n v="8482"/>
        <n v="8421"/>
        <n v="8431"/>
        <n v="8413"/>
        <n v="8462"/>
        <n v="8414"/>
        <n v="8446"/>
        <n v="8466"/>
        <n v="8483"/>
        <n v="8408"/>
        <n v="8429"/>
        <n v="8460"/>
        <n v="8458"/>
        <n v="8445"/>
        <n v="8412"/>
        <n v="8455"/>
        <n v="8428"/>
        <n v="8415"/>
        <n v="8473"/>
        <n v="8433"/>
        <n v="8454"/>
        <n v="8422"/>
        <n v="8424"/>
        <n v="8461"/>
        <n v="8419"/>
        <n v="8456"/>
        <n v="8471"/>
        <n v="8447"/>
        <n v="8406"/>
        <n v="8448"/>
        <n v="8459"/>
        <n v="8427"/>
        <n v="8486"/>
        <n v="8423"/>
        <n v="8417"/>
        <n v="8480"/>
        <n v="8407"/>
        <n v="8484"/>
        <n v="8467"/>
        <n v="8441"/>
        <n v="8426"/>
        <n v="8452"/>
        <n v="8474"/>
        <n v="8438"/>
        <n v="8487"/>
        <n v="8425"/>
        <n v="8418"/>
        <n v="8464"/>
        <n v="8463"/>
        <n v="8444"/>
        <n v="8416"/>
        <n v="8468"/>
        <n v="8451"/>
        <n v="8430"/>
        <n v="8476"/>
        <n v="8453"/>
        <n v="8439"/>
        <n v="8440"/>
        <n v="8465"/>
        <n v="8472"/>
        <n v="8475"/>
        <n v="8432"/>
        <n v="8420"/>
        <n v="8442"/>
        <n v="8450"/>
        <n v="8436"/>
        <n v="8437"/>
        <n v="8404"/>
        <n v="8405"/>
        <n v="8478"/>
        <n v="8402"/>
        <n v="8410"/>
        <n v="8449"/>
        <n v="8401"/>
      </sharedItems>
    </cacheField>
    <cacheField name="Product Descripton" numFmtId="49">
      <sharedItems count="239" longText="1">
        <s v="Electronic integrated circuits; parts thereof "/>
        <s v="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 "/>
        <s v="Semiconductor devices &quot;e.g. diodes, transistors, semiconductor-based transducers&quot;; photosensitive semiconductor devices, incl. photovoltaic cells whether or not assembled in modules or made up into panels (excl. photovoltaic generators); light emitting diodes &quot;LED&quot;, whether or not assembled with other light-emitting diodes &quot;LED&quot;; mounted piezoelectric crystals; parts thereof "/>
        <s v="Electrical transformers, static converters, e.g. rectifiers, and inductors; parts thereof "/>
        <s v="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 "/>
        <s v="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 "/>
        <s v="Electrical capacitors, fixed, variable or adjustable &quot;pre-set&quot;; parts thereof "/>
        <s v="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 "/>
        <s v="Electric accumulators, incl. separators therefor, whether or not square or rectangular; parts thereof (excl. spent and those of unhardened rubber or textiles) "/>
        <s v="Electric motors and generators (excl. generating sets) "/>
        <s v="Transmission apparatus for radio-broadcasting or television, whether or not incorporating reception apparatus or sound recording or reproducing apparatus; television cameras, digital cameras and video camera recorders "/>
        <s v="Parts suitable for use solely or principally with the apparatus of heading 8535, 8536 or 8537, n.e.s. "/>
        <s v="Insulated &quot;incl. enamelled or anodised&quot; wire, cable &quot;incl. coaxial cable&quot; and other insulated electric conductors, whether or not fitted with connectors; optical fibre cables, made up of individually sheathed fibres, whether or not assembled with electric conductors or fitted with connectors "/>
        <s v="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
        <s v="Electrical machines and apparatus, having individual functions, n.e.s. in chapter 85 and parts thereof "/>
        <s v="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s v="Electrical resistors, incl. rheostats and potentiometers (excl. heating resistors); parts thereof "/>
        <s v="Electrical lighting or signalling equipment (excl. lamps of heading 8539), windscreen wipers, defrosters and demisters, of a kind used for cycles or motor vehicles; parts thereof "/>
        <s v="Discs, tapes, solid-state non-volatile storage devices, &quot;smart cards&quot; and other media for the recording of sound or of other phenomena, whether or not recorded, incl. matrices and masters for the production of discs (excl. products of chapter 37) "/>
        <s v="Parts suitable for use solely or principally with electric motors and generators, electric generating sets and rotary converters, n.e.s. "/>
        <s v="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 "/>
        <s v="Printed circuits "/>
        <s v="Industrial or laboratory electric furnaces and ovens, incl. those functioning by induction or dielectric loss; other industrial or laboratory equipment for the heat treatment of materials by induction or dielectric loss; parts thereof "/>
        <s v="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 "/>
        <s v="Thermionic, cold cathode or photo-cathode valves and tubes, e.g. vacuum or vapour or gas filled valves and tubes, mercury arc rectifying valves and tubes, cathode ray tubes and television camera tubes; parts thereof "/>
        <s v="Carbon electrodes, carbon brushes, lamp carbons, battery carbons and other articles of graphite or other carbon, with or without metal, of a kind used for electrical purposes "/>
        <s v="Monitors and projectors, not incorporating television reception apparatus; reception apparatus for television, whether or not incorporating radio-broadcast receivers or sound or video recording or reproducing apparatus "/>
        <s v="Electrical signalling, safety or traffic control equipment for railways, tramways, roads, inland waterways, parking facilities, port installations or airfields (excl. mechanical or electromechanical equipment of heading 8608); parts thereof "/>
        <s v="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 "/>
        <s v="Electric filament or discharge lamps, incl. sealed beam lamp units and ultraviolet or infra-red lamps; arc lamps; light-emitting diode &quot;LED&quot; light sources; parts thereof "/>
        <s v="Primary cells and primary batteries, electrical; parts thereof (excl. spent) "/>
        <s v="Electric sound or visual signalling apparatus, e.g. bells, sirens, indicator panels, burglar or fire alarms (excl. those for cycles, motor vehicles and traffic signalling); parts thereof "/>
        <s v="Electrical insulators of any material (excl. insulating fittings) "/>
        <s v="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
        <s v="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 "/>
        <s v="Reception apparatus for radio-broadcasting, whether or not combined, in the same housing, with sound recording or reproducing apparatus or a clock "/>
        <s v="Radar apparatus, radio navigational aid apparatus and radio remote control apparatus "/>
        <s v="Video recording or reproducing apparatus, whether or not incorporating a video tuner (excl. video camera recorders) "/>
        <s v="Vacuum cleaners, incl. dry cleaners and wet vacuum cleaners "/>
        <s v="Electromechanical domestic appliances, with self-contained electric motor; parts thereof (excl. vacuum cleaners, dry and wet vacuum cleaners) "/>
        <s v="Waste and scrap of primary cells, primary batteries and electric accumulators; spent primary cells, spent primary batteries and spent electric accumulators; electrical parts of machinery or apparatus, not specified or included elsewhere in chapter 85 "/>
        <s v="Parts and accessories suitable for use solely or principally with sound reproducing and recording apparatus and with video equipment for recording and reproducing pictures and sound "/>
        <s v="Electric generating sets and rotary converters "/>
        <s v="Electric shavers, hair clippers and hair-removing appliances, with self-contained electric motor; parts thereof "/>
        <s v="Portable electric lamps designed to function by their own source of energy, e.g. dry batteries, accumulators and magnetos; parts thereof (excl. lighting equipment of heading 8512) "/>
        <s v="Sound recording or sound reproducing apparatus "/>
        <s v="Polymers of vinyl chloride or of other halogenated olefins, in primary forms "/>
        <s v="Acrylic polymers, in primary forms "/>
        <s v="Articles of plastics and articles of other materials of heading 3901 to 3914, n.e.s. "/>
        <s v="Amino-resins, phenolic resins and polyurethanes, in primary forms "/>
        <s v="Polymers of ethylene, in primary forms "/>
        <s v="Cellulose and its chemical derivatives, n.e.s., in primary forms "/>
        <s v="Polyacetals, other polyethers and epoxide resins, in primary forms; polycarbonates, alkyd resins, polyallyl esters and other polyesters, in primary forms "/>
        <s v="Polymers of propylene or of other olefins, in primary forms "/>
        <s v="Self-adhesive plates, sheets, film, foil, tape, strip and other flat shapes, of plastics, whether or not in rolls (excl. floor, wall and ceiling coverings of heading 3918) "/>
        <s v="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 "/>
        <s v="Polymers of vinyl acetate or of other vinyl esters, in primary forms; other vinyl polymers, in primary forms "/>
        <s v="Petroleum resins, coumarone-indene resins, polyterpenes, polysulphides, polysulphones and other polymers and prepolymers produced by chemical synthesis, n.e.s., in primary forms "/>
        <s v="Polymers of styrene, in primary forms "/>
        <s v="Polyamides, in primary forms "/>
        <s v="Articles for the conveyance or packaging of goods, of plastics; stoppers, lids, caps and other closures, of plastics "/>
        <s v="Silicones in primary forms "/>
        <s v="Tubes, pipes and hoses, and fittings therefor, e.g. joints, elbows, flanges, of plastics "/>
        <s v="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 "/>
        <s v="Ion-exchangers based on polymers of heading 3901 to 3913, in primary forms "/>
        <s v="Natural polymers, e.g. alginic acid, and modified natural polymers, e.g. hardened proteins, chemical derivatives of natural rubber, n.e.s., in primary forms "/>
        <s v="Monofilament of which any cross-sectional dimension &gt; 1 mm, rods, sticks and profile shapes, of plastics, whether or not surface-worked but not further worked "/>
        <s v="Tableware, kitchenware, other household articles and toilet articles, of plastics (excl. baths, shower-baths, washbasins, bidets, lavatory pans, seats and covers, flushing cisterns and similar sanitary ware) "/>
        <s v="Builders' ware of plastics, n.e.s. "/>
        <s v="Baths, shower-baths, sinks, washbasins, bidets, lavatory pans, seats and covers, flushing cisterns and similar sanitary ware, of plastics "/>
        <s v="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 "/>
        <s v="Waste, parings and scrap, of plastics "/>
        <s v="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 "/>
        <s v="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 "/>
        <s v="Articles of stone or of other mineral substances, incl. carbon fibres, articles of carbon fibres and articles of peat, n.e.s. "/>
        <s v="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 "/>
        <s v="Natural or artificial abrasive powder or grain, on a base of textile material, paper, paperboard or other materials, whether or not cut to shape or sewn or otherwise made up "/>
        <s v="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 "/>
        <s v="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 "/>
        <s v="Articles of asbestos-cement, cellulose fibre-cement or the like "/>
        <s v="Articles of cement, concrete or artificial stone, whether or not reinforced "/>
        <s v="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 "/>
        <s v="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 "/>
        <s v="Refractory bricks, blocks, tiles and similar refractory ceramic constructional goods (excl. those of siliceous fossil meals or similar siliceous earths) "/>
        <s v="Ceramic articles, n.e.s. "/>
        <s v="Ceramic sinks, washbasins, washbasin pedestals, baths, bidets, water closet pans, flushing cisterns, urinals and similar sanitary fixtures (excl. soap dishes, sponge holders, tooth-brush holders, towel hooks and toilet paper holders) "/>
        <s v="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 "/>
        <s v="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 "/>
        <s v="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 "/>
        <s v="Roofing tiles, chimney pots, cowls, chimney liners, architectural ornaments and other ceramic constructional goods (excl. of siliceous fossil meals or similar siliceous earths, refractory ceramic constructional components, pipes and other components for drainage and similar purposes) "/>
        <s v="Ceramic pipes, conduits, guttering and pipe fittings (excluding of siliceous fossil meals or similar siliceous earths, refractory ceramic goods, chimney liners, pipes specifically manufactured for laboratories, insulating tubing and fittings and other piping for electrotechnical purposes) "/>
        <s v="Ceramic building bricks, flooring blocks, support or filler tiles and the like (excl. those of siliceous fossil meals or similar siliceous earths, refractory bricks of heading 6902, and flags and pavings, hearth and wall tiles of heading 6907 and 6908) "/>
        <s v="Statuettes and other ornamental ceramic articles, n.e.s. "/>
        <s v="Screws, bolts, nuts, coach screws, screw hooks, rivets, cotters, cotter pins, washers, incl. spring washers, and similar articles, of iron or steel (excl. lag screws, stoppers, plugs and the like, threaded) "/>
        <s v="Railway or tramway track construction material of iron or steel, the following : rails, check-rails and rack rails, switch blades, crossing frogs, point rods and other crossing pieces, sleepers &quot;cross-ties&quot;, fish-plates, chairs, chair wedges, sole plates &quot;base plates&quot;, rail clips, bedplates, ties and other material specialised for jointing or fixing rails "/>
        <s v="Articles of iron or steel, n.e.s. (excl. cast articles) "/>
        <s v="Tubes, pipes and hollow profiles, seamless, of iron or steel (excl. products of cast iron) "/>
        <s v="Tube or pipe fittings &quot;e.g. couplings, elbows, sleeves&quot;, of iron or steel "/>
        <s v="Springs and leaves for springs, of iron or steel (excl. clock and watch springs, springs for sticks and handles of umbrellas or parasols, shock absorbers and torque rod or torsion bar springs of Section 17) "/>
        <s v="Chain and parts thereof, or iron or steel (excl. watch chains, necklace chains and the like, cutting and saw chain, skid chain, scraper chain for conveyors, toothed chain for textile machinery and the like, safety devices with chains for securing doors, measuring chains) "/>
        <s v="Structures and parts of structures &quot;e.g., bridges and bridge-sections, lock-gates, towers, lattice masts, roofs, roofing frameworks, doors and windows and their frames and thresholds for doors, shutters, balustrades, pillars and columns&quot;, of iron or steel; plates, rods, angles, shapes, sections, tubes and the like, prepared for use in structures, of iron or steel (excl. prefabricated buildings of heading 9406) "/>
        <s v="Tubes, pipes and hollow profiles &quot;e.g., open seam or welded, riveted or similarly closed&quot;, of iron or steel (excl. of cast iron, seamless tubes and pipes and tubes having internal and external circular cross-sections and an external diameter of &gt; 406,4 mm) "/>
        <s v="Articles of iron or steel, cast, n.e.s. "/>
        <s v="Sewing needles, knitting needles, bodkins, crochet hoods, embroidery stilettos and similar articles, for use in the hand, of iron or steel; safety pins and other pins of iron or steel, n.e.s. "/>
        <s v="Tanks, casks, drums, cans, boxes and similar containers, of iron or steel, for any material &quot;other than compressed or liquefied gas&quot;, of a capacity of &lt;= 300 l, not fitted with mechanical or thermal equipment, whether or not lined or heat-insulated, n.e.s. "/>
        <s v="Cloth, incl. endless bands, grill, netting and fencing, of iron or steel wire, expanded metal of iron or steel (excl. woven products of metal fibres of a kind used for cladding, lining or similar purposes) "/>
        <s v="Stranded wire, ropes, cables, plaited bands, slings and the like, of iron or steel (excl. electrically insulated products and twisted fencing wire and barbed wire) "/>
        <s v="Reservoirs, tanks, vats and similar containers, of iron or steel, for any material &quot;other than compressed or liquefied gas&quot;, of a capacity of &gt; 300 l, not fitted with mechanical or thermal equipment, whether or not lined or heat-insulated (excluding containers specifically constructed or equipped for one or more types of transport) "/>
        <s v="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
        <s v="Containers of iron or steel, for compressed or liquefied gas (excluding containers specifically constructed or equipped for one or more types of transport) "/>
        <s v="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 v="Nails, tacks, drawing pins, corrugated nails, staples and similar articles of iron or steel, whether or not with heads of other material (excluding such articles with heads of copper and staples in strips) "/>
        <s v="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s v="Sanitary ware, and parts thereof, of iron or steel (excl. cans, boxes and similar containers of heading 7310, small wall cabinets for medical supplies or toiletries and other furniture of chapter 94, and fittings) "/>
        <s v="Tubes, pipes and hollow profiles, of cast iron "/>
        <s v="Anchors, grapnels and parts thereof, of iron or steel "/>
        <s v="Copper, refined, and copper alloys, unwrought (excl. copper alloys of heading 7405) "/>
        <s v="Copper wire (excl. surgical sutures, stranded wire, cables, plaited bands and the like and other articles of heading 7413, electrically insulated wires and strings for musical instruments) "/>
        <s v="Plates, sheets and strip, of copper, of a thickness of &gt; 0,15 mm (excl. expanded sheet and strip copper and electrically insulated strip) "/>
        <s v="Other articles of copper, n.e.s. "/>
        <s v="Bars, rods and profiles, of copper, n.e.s. "/>
        <s v="Waste and scrap, of copper (excluding ingots or other similar unwrought shapes, of remelted copper waste and scrap, ashes and residues containing copper, and waste and scrap of primary cells, primary batteries and electric accumulators) "/>
        <s v="Copper, unrefined; copper anodes for electrolytic refining "/>
        <s v="Copper foil &quot;whether or not printed or backed with paper, paperboard, plastics or similar backing materials&quot;, of a thickness &quot;excl. any backing&quot; of &lt;= 0,15 mm (excl. stamping foils of heading 3212, metal yarns and metallised yarns and foil made up as christmas tree decorating material) "/>
        <s v="Copper tube or pipe fittings &quot;e.g., couplings, elbows, sleeves&quot; "/>
        <s v="Powders and flakes, of copper (excl. grains of copper and spangles of heading 8308) "/>
        <s v="Copper tubes and pipes "/>
        <s v="Stranded wire, cables, plaited bands and the like, of copper (excluding electrically insulated products) "/>
        <s v="Nails, tacks, drawing pins, staples and similar articles, of copper or with shafts of iron or steel and heads of copper, screws, bolts, nuts, screw hooks, rivets, cotters, cotter pins, washers &quot;incl. spring washers&quot; and similar articles, of copper (excl. staples in strips, and lag screws, plugs, bungs and the like, threaded) "/>
        <s v="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 "/>
        <s v="Copper mattes; cement copper &quot;precipitated copper&quot; "/>
        <s v="Master alloys of copper (excluding phosphorus-copper compounds &quot;copper phosphide&quot; containing by weight &gt; 15% phosphorus) "/>
        <s v="Waste and scrap, of aluminium (excluding slags, scale and the like from iron and steel production, containing recoverable aluminium in the form of silicates, ingots or other similar unwrought shapes, of remelted waste and scrap, of aluminium, ashes and residues from aluminium production) "/>
        <s v="Plates, sheets and strip, of aluminium, of a thickness of &gt; 0,2 mm (excl. expanded plates, sheets and strip) "/>
        <s v="Articles of aluminium, n.e.s. "/>
        <s v="Aluminium foil, &quot;whether or not printed or backed with paper, paperboard, plastics or similar backing materials&quot;, of a thickness &quot;excl. any backing&quot; of &lt;= 0,2 mm (excl. stamping foils of heading 3212, christmas tree decorating material) "/>
        <s v="Bars, rods and profiles, of aluminium, n.e.s. "/>
        <s v="Aluminium wire (excl. stranded wire, cables, plaited bands and the like and other articles of heading 7614, electrically insulated wires, and strings for musical instruments) "/>
        <s v="Aluminium tubes and pipes (excl. hollow profiles) "/>
        <s v="Structures and parts of structures &quot;e.g., bridges and bridge-sections, towers, lattice masts, pillars and columns, roofs, roofing frameworks, doors and windows and their frames and thresholds for doors, shutters, balustrades&quot;, of aluminium (excl. prefabricated buildings of heading 9406); plates, rods, profiles, tubes and the like, prepared for use in structures, of aluminium "/>
        <s v="Powder and flakes, of aluminium (excl. pellets of aluminium, and spangles) "/>
        <s v="Aluminium tube or pipe fittings &quot;e.g., couplings, elbows, sleeves&quot; "/>
        <s v="Casks, drums, cans, boxes and similar containers, incl. rigid or collapsible tubular containers, of aluminium, for any material (other than compressed or liquefied gas), of a capacity of &lt;= 300 l, not fitted with mechanical or thermal equipment, whether or not lined or heat-insulated, n.e.s. "/>
        <s v="Unwrought aluminium "/>
        <s v="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s v="Aluminium containers for compressed or liquefied gas "/>
        <s v="Reservoirs, tanks, vats and similar containers, of aluminium, for any material (other than compressed or liquefied gas), of a capacity of &gt; 300 l, not fitted with mechanical or thermal equipment, whether or not lined or heat-insulated (excluding containers specifically constructed or equipped for one or more types of transport) "/>
        <s v="Stranded wire, cables, plaited bands and the like, of aluminium (excl. such products electrically insulated) "/>
        <s v="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s v="Padlocks and locks &quot;key, combination or electrically operated&quot;, of base metal; clasps and frames with clasps, incorporating locks, of base metal; keys for any of the foregoing articles, of base metal "/>
        <s v="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s v="Flexible tubing of base metal, with or without fittings "/>
        <s v="Sign-plates, nameplates, address-plates and similar plates, numbers, letters and other symbols, of base metal, incl. traffic signs (excluding those of heading 9405, type and the like, and signal boards, signal discs and signal arms for traffic of heading 8608) "/>
        <s v="Stoppers, caps and lids, incl. crown corks, screw caps and pouring stoppers, capsules for bottles, threaded bungs, bung covers, seals and other packing accessories, of base metal "/>
        <s v="Clasps, frames with clasps, buckles, buckle-clasps, hooks, eyes, eyelets and the like, of base metal, of a kind used for clothing, footwear, awnings, handbags, travel goods or other made-up articles, tubular or bifurcated rivets, of base metal; beads and spangles of base metal "/>
        <s v="Fittings for loose-leaf binders or files, letter clips, letter corners, paper clips, indexing tags and similar office articles, of base metal (excl. drawing pins and clasps for books or registers); staples in strips, e.g. for use in offices, upholstery and packaging, of base metal "/>
        <s v="Armoured or reinforced safes, strongboxes and doors and safe deposit lockers for strongrooms, cash or deed boxes and the like, of base metal "/>
        <s v="Bells, gongs and the like, non-electric, of base metal (excl. musical instruments); statuettes and other ornaments, of base metal (excl. works of art, collectors' pieces and antiques); photograph, picture or similar frames, of base metal; mirrors of base metal (excl. optical elements) "/>
        <s v="Machines and mechanical appliances having individual functions, not specified or included elsewhere in this chapter; parts thereof "/>
        <s v="Machining centres, unit construction machines &quot;single station&quot; and multi-station transfer machines for working metal "/>
        <s v="Turbojets, turbopropellers and other gas turbines "/>
        <s v="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 "/>
        <s v="Parts suitable for use solely or principally with internal combustion piston engine of heading 8407 or 8408 "/>
        <s v="Taps, cocks, valves and similar appliances for pipes, boiler shells, tanks, vats or the like, incl. pressure-reducing valves and thermostatically controlled valves; parts thereof "/>
        <s v="Machinery for working rubber or plastics or for the manufacture of products from these materials, not specified or included elsewhere in this chapter, parts thereof "/>
        <s v="Ball or roller bearings (excl. steel balls of heading 7326); parts thereof "/>
        <s v="Centrifuges, incl. centrifugal dryers (excl. those for isotope separation); filtering or purifying machinery and apparatus, for liquids or gases; parts thereof (excl. artificial kidneys) "/>
        <s v="Parts suitable for use solely or principally with the machinery of heading 8425 to 8430, n.e.s. "/>
        <s v="Pumps for liquids, whether or not fitted with a measuring device (excl. ceramic pumps and secretion aspirating pumps for medical use and medical pumps carried on or implanted in the body); liquid elevators (excl. pumps); parts thereof "/>
        <s v="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 "/>
        <s v="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 "/>
        <s v="Weaving machines &quot;looms&quot; "/>
        <s v="Parts and accessories suitable for use solely or principally with the machines of headings 8456 to 8465, incl. work or tool holders, self-opening dieheads, dividing heads and other special attachments for the machines, n.e.s.; tool holders for any type of tool for working in the hand "/>
        <s v="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 "/>
        <s v="Compression-ignition internal combustion piston engine &quot;diesel or semi-diesel engine&quot; "/>
        <s v="Self-propelled bulldozers, angledozers, graders, levellers, scrapers, mechanical shovels, excavators, shovel loaders, tamping machines and roadrollers "/>
        <s v="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 "/>
        <s v="Lathes, incl. turning centres, for removing metal "/>
        <s v="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 "/>
        <s v="Engines and motors (excl. steam turbines, internal combustion piston engine, hydraulic turbines, water wheels, gas turbines and electric motors); parts thereof "/>
        <s v="Metal-rolling mills and rolls therefor; parts of metal-rolling mills "/>
        <s v="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 "/>
        <s v="Air conditioning machines comprising a motor-driven fan and elements for changing the temperature and humidity, incl. those machines in which the humidity cannot be separately regulated; parts thereof "/>
        <s v="Parts and accessories (other than covers, carrying cases and the like) suitable for use solely or principally with machines of heading 8469 to 8472, n.e.s. "/>
        <s v="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 "/>
        <s v="Converters, ladles, ingot moulds and casting machines of a kind used in metallurgy or in metal foundries (excl. metal powder presses); parts thereof "/>
        <s v="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 "/>
        <s v="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
        <s v="Machine tools for planing, shaping, slotting, broaching, gear cutting, gear grinding or gear finishing, sawing, cutting-off and other machine tools working by removing metal, sintered metal carbides or cermets, n.e.s. "/>
        <s v="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
        <s v="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 "/>
        <s v="Automatic data-processing machines and units thereof; magnetic or optical readers, machines for transcribing data onto data media in coded form and machines for processing such data, n.e.s. "/>
        <s v="Knitting machines, stitch-bonding machines and machines for making gimped yarn, tulle, lace, embroidery, trimmings, braid or net and machines for tufting (excl. hem-stitching machines) "/>
        <s v="Steam turbines and other vapour turbines; parts thereof "/>
        <s v="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 "/>
        <s v="Machine tools, incl. way-type unit head machines, for drilling, boring, milling, threading or tapping (excl. lathes and turning centres of heading 8458, gear cutting machines of heading 8461 and hand-operated machines) "/>
        <s v="Fork-lift trucks; other works trucks fitted with lifting or handling equipment (excl. straddle carriers and works trucks fitted with a crane) "/>
        <s v="Machines and apparatus of a kind used solely or principally for the manufacture of semiconductor boules or wafers, semiconductor devices, electronic integrated circuits or flat panel displays; machines and apparatus specified in note 11 C to chapter 84; parts and accessories, n.e.s. "/>
        <s v="Weighing machinery, incl. weight-operated counting or checking machines (excl. balances of a sensitivity of 5 cg or better); weighing machine weights of all kinds; parts thereof "/>
        <s v="Industrial or laboratory furnaces and ovens, non-electric, incl. incinerators (excl. drying ovens and ovens for cracking operations) "/>
        <s v="Moulding boxes for metal foundry; mould bases; moulding patterns; moulds for metal (other than ingot moulds), metal carbides, glass, mineral materials, rubber or plastics (excl. moulds of graphite or other carbons, ceramic or glass moulds and linotype moulds or matrices) "/>
        <s v="Spark-ignition reciprocating or rotary internal combustion piston engine "/>
        <s v="Gaskets and similar joints of metal sheeting combined with other material or of two or more layers of metal; sets or assortments of gaskets and similar joints, dissimilar in composition, put up in pouches, envelopes or similar packings; mechanical seals "/>
        <s v="Tools for working in the hand, pneumatic, hydraulic or with self-contained electric or non-electric motor; parts thereof "/>
        <s v="Machinery for making up paper pulp, paper or paperboard, incl. cutting machines of all kinds, n.e.s.; parts thereof "/>
        <s v="Ships' derricks; cranes, incl. cable cranes (excl. wheel-mounted cranes and vehicle cranes for railways); mobile lifting frames, straddle carriers and works trucks fitted with a crane "/>
        <s v="Sewing machines (other than book-sewing machines of heading 8440); furniture, bases and covers specially designed for sewing machines; sewing machine needles; parts thereof "/>
        <s v="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 "/>
        <s v="Machinery, not specified or included elsewhere in this chapter, for the industrial preparation or manufacture of food or drink (other than machinery for the extraction or preparation of animal or fixed vegetable fats or oils); parts thereof "/>
        <s v="Machinery parts, n.e.s. in chapter 84 (excl. parts containing electrical connectors, insulators, coils, contacts or other electrical features) "/>
        <s v="Pulley tackle and hoists (other than skip hoists); winches and capstans; jacks "/>
        <s v="Refrigerators, freezers and other refrigerating or freezing equipment, electric or other; heat pumps; parts thereof (excl. air conditioning machines of heading 8415) "/>
        <s v="Machine tools for working stone, ceramics, concrete, asbestos-cement or like mineral materials or for cold-working glass (excl. machines for working in the hand) "/>
        <s v="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 "/>
        <s v="Machines for extruding, drawing, texturing or cutting man-made textile materials "/>
        <s v="Furnace burners for liquid fuel, for pulverised solid fuel or for gas; mechanical stokers, incl. their mechanical grates, mechanical ash dischargers and similar appliances; parts thereof "/>
        <s v="Machinery and apparatus for soldering, brazing or welding, whether or not capable of cutting (other than those of heading 8515); gas-operated surface tempering machines and appliances; parts thereof "/>
        <s v="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 "/>
        <s v="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 "/>
        <s v="Automatic goods-vending machines, e.g. postage stamp, cigarette, food or beverage machines, incl. money-changing machines; parts thereof "/>
        <s v="Machinery for preparing, tanning or working hides, skins or leather or for making or repairing footwear or other articles of hides, skins or leather (excl. drying machines, spray guns, machines for the dehairing of pigs, sewing machines and general purpose presses); parts thereof "/>
        <s v="Machinery for making pulp of fibrous cellulosic material or for making or finishing paper or paperboard (excl. autoclaves, boilers, dryers, other heating appliances and calenders); parts thereof "/>
        <s v="Bookbinding machinery, incl. book-sewing machines (excl. machinery of heading 8441, general-purpose presses, printing machinery of heading 8443 and machines of uses ancillary to printing); parts thereof "/>
        <s v="Machine tools, incl. machines for nailing, stapling, glueing or otherwise assembling, for working wood, cork, bone, hard rubber, hard plastics or similar hard materials (excl. machines for working in the hand and machines for additive manufacturing) "/>
        <s v="Office machines, e.g. hectograph or stencil duplicating machines, addressing machines, automatic banknote dispensers, coin-sorting machines, coin-counting or coin-wrapping machines, pencil-sharpening machines, perforating or stapling machines, n.e.s. "/>
        <s v="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 "/>
        <s v="Agricultural, horticultural or forestry machinery for soil preparation or cultivation (excl. sprayers and dusters); lawn or sports-ground rollers; parts thereof "/>
        <s v="Calendering or other rolling machines (other than for metals or glass) and cylinders therefor; parts thereof "/>
        <s v="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 "/>
        <s v="Household or laundry-type washing machines, incl. machines which both wash and dry; parts thereof "/>
        <s v="Agricultural, horticultural, forestry, poultry-keeping or bee-keeping machinery, incl. germination plant fitted with mechanical or thermal equipment; poultry incubators and brooders; parts thereof "/>
        <s v="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 "/>
        <s v="Auxiliary plant for use with boilers of heading 8402 or 8403, e.g. economizers, superheaters, soot removers and gas recoverers; condensers for steam or other vapour power units; parts thereof "/>
        <s v="Producer gas or water gas generators, with or without their purifiers; acetylene gas generators and similar water process gas generators, with or without their purifiers; parts thereof (excl. coke ovens, electrolytic process gas generators and carbide lamps) "/>
        <s v="Machinery for preparing or making up tobacco, not specified or included elsewhere in this chapter; parts thereof "/>
        <s v="Steam or other vapour generating boilers (excl. central heating hot water boilers capable also of producing low pressure steam); superheated water boilers; parts thereof "/>
        <s v="Hydraulic turbines, water wheels, and regulators therefor (excl. hydraulic power engines and motors of heading 8412) "/>
        <s v="Machinery for the manufacture or finishing of felt or nonwovens in the piece or in shapes, incl. machinery for making felt hats; blocks for making hats; parts thereof (excluding machinery for preparing fibres for felt and calenders) "/>
        <s v="Nuclear reactors; fuel elements &quot;cartridges&quot;, non-irradiated, for nuclear reactors; machinery and apparatus for isotopic separation; parts thereof "/>
      </sharedItems>
    </cacheField>
    <cacheField name="Import Value (USD Thousands)" numFmtId="1">
      <sharedItems containsSemiMixedTypes="0" containsString="0" containsNumber="1" containsInteger="1" minValue="1" maxValue="1970108"/>
    </cacheField>
    <cacheField name="Quantity" numFmtId="1">
      <sharedItems containsSemiMixedTypes="0" containsString="0" containsNumber="1" containsInteger="1" minValue="0" maxValue="42430156939"/>
    </cacheField>
    <cacheField name="Units" numFmtId="0">
      <sharedItems/>
    </cacheField>
    <cacheField name="Unit Valure" numFmtId="2">
      <sharedItems/>
    </cacheField>
    <cacheField name="Units2" numFmtId="0">
      <sharedItems/>
    </cacheField>
    <cacheField name="Share in India's imports (%)" numFmtId="2">
      <sharedItems containsSemiMixedTypes="0" containsString="0" containsNumber="1" minValue="0" maxValue="84.7"/>
    </cacheField>
    <cacheField name="Annual growth in import (2021-2025) (%)" numFmtId="1">
      <sharedItems containsMixedTypes="1" containsNumber="1" containsInteger="1" minValue="-86" maxValue="234"/>
    </cacheField>
    <cacheField name="Annual growth in quantity (2021-2025)" numFmtId="2">
      <sharedItems containsMixedTypes="1" containsNumber="1" containsInteger="1" minValue="-82" maxValue="15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PC" refreshedDate="46224.512060648151" createdVersion="6" refreshedVersion="6" minRefreshableVersion="3" recordCount="234">
  <cacheSource type="worksheet">
    <worksheetSource name="Table5"/>
  </cacheSource>
  <cacheFields count="10">
    <cacheField name="HS6 code" numFmtId="49">
      <sharedItems containsMixedTypes="1" containsNumber="1" containsInteger="1" minValue="3901" maxValue="8548" count="234">
        <n v="8517"/>
        <n v="8544"/>
        <n v="8504"/>
        <n v="8511"/>
        <n v="8507"/>
        <n v="8527"/>
        <n v="8525"/>
        <n v="8545"/>
        <n v="8537"/>
        <n v="8536"/>
        <n v="8501"/>
        <n v="8512"/>
        <n v="8503"/>
        <n v="8538"/>
        <n v="8502"/>
        <n v="8542"/>
        <n v="8546"/>
        <n v="8541"/>
        <n v="8523"/>
        <n v="8543"/>
        <n v="8533"/>
        <n v="8505"/>
        <n v="8518"/>
        <n v="8548"/>
        <n v="8528"/>
        <n v="8516"/>
        <n v="8534"/>
        <n v="8514"/>
        <n v="8532"/>
        <n v="8531"/>
        <n v="8540"/>
        <n v="8515"/>
        <n v="8530"/>
        <n v="8529"/>
        <n v="8526"/>
        <n v="8535"/>
        <n v="8547"/>
        <n v="8539"/>
        <n v="8508"/>
        <n v="8521"/>
        <n v="8509"/>
        <n v="8510"/>
        <n v="8506"/>
        <n v="8522"/>
        <n v="8519"/>
        <n v="8513"/>
        <n v="3926"/>
        <n v="3904"/>
        <n v="3911"/>
        <n v="3920"/>
        <n v="3923"/>
        <n v="3907"/>
        <n v="3917"/>
        <n v="3908"/>
        <n v="3914"/>
        <n v="3903"/>
        <n v="3921"/>
        <n v="3913"/>
        <n v="3910"/>
        <n v="3924"/>
        <n v="3912"/>
        <n v="3902"/>
        <n v="3909"/>
        <n v="3905"/>
        <n v="3919"/>
        <n v="3906"/>
        <n v="3916"/>
        <n v="3901"/>
        <n v="3918"/>
        <n v="3922"/>
        <n v="3925"/>
        <n v="6802"/>
        <n v="6814"/>
        <n v="6806"/>
        <n v="6815"/>
        <n v="6813"/>
        <n v="6804"/>
        <n v="6803"/>
        <n v="6801"/>
        <n v="6805"/>
        <n v="6808"/>
        <n v="6809"/>
        <n v="6910"/>
        <n v="6902"/>
        <n v="6907"/>
        <n v="6903"/>
        <n v="6912"/>
        <n v="6909"/>
        <n v="6913"/>
        <n v="6914"/>
        <n v="6911"/>
        <n v="7326"/>
        <n v="7308"/>
        <n v="7325"/>
        <n v="7323"/>
        <n v="7310"/>
        <n v="7307"/>
        <n v="7320"/>
        <n v="7318"/>
        <n v="7301"/>
        <n v="7315"/>
        <n v="7304"/>
        <n v="7321"/>
        <n v="7306"/>
        <n v="7319"/>
        <n v="7309"/>
        <n v="7302"/>
        <n v="7312"/>
        <n v="7317"/>
        <n v="7311"/>
        <n v="7324"/>
        <n v="7316"/>
        <n v="7404"/>
        <n v="7419"/>
        <n v="7403"/>
        <n v="7408"/>
        <n v="7406"/>
        <n v="7412"/>
        <n v="7402"/>
        <n v="7418"/>
        <n v="7407"/>
        <n v="7409"/>
        <n v="7411"/>
        <n v="7415"/>
        <n v="7410"/>
        <n v="7413"/>
        <n v="7601"/>
        <n v="7616"/>
        <n v="7607"/>
        <n v="7602"/>
        <n v="7606"/>
        <n v="7603"/>
        <n v="7615"/>
        <n v="7612"/>
        <n v="7604"/>
        <n v="7605"/>
        <n v="7610"/>
        <n v="7608"/>
        <n v="7613"/>
        <n v="7614"/>
        <n v="8301"/>
        <n v="8302"/>
        <n v="8306"/>
        <n v="8307"/>
        <n v="8311"/>
        <n v="8305"/>
        <n v="8309"/>
        <n v="8310"/>
        <n v="8308"/>
        <n v="8303"/>
        <n v="8411"/>
        <n v="8409"/>
        <n v="8413"/>
        <n v="8481"/>
        <n v="8477"/>
        <n v="8408"/>
        <n v="8431"/>
        <n v="8406"/>
        <n v="8421"/>
        <n v="8482"/>
        <n v="8483"/>
        <n v="8480"/>
        <n v="8414"/>
        <n v="8486"/>
        <n v="8479"/>
        <n v="8473"/>
        <n v="8474"/>
        <n v="8443"/>
        <n v="8412"/>
        <n v="8410"/>
        <n v="8466"/>
        <n v="8419"/>
        <n v="8415"/>
        <n v="8428"/>
        <n v="8475"/>
        <n v="8471"/>
        <n v="8484"/>
        <n v="8487"/>
        <n v="8448"/>
        <n v="8438"/>
        <n v="8422"/>
        <n v="8445"/>
        <n v="8465"/>
        <n v="8456"/>
        <n v="8418"/>
        <n v="8455"/>
        <n v="8420"/>
        <n v="8429"/>
        <n v="8454"/>
        <n v="8472"/>
        <n v="8441"/>
        <n v="8467"/>
        <n v="8407"/>
        <n v="8424"/>
        <n v="8417"/>
        <n v="8425"/>
        <n v="8423"/>
        <n v="8462"/>
        <n v="8416"/>
        <n v="8468"/>
        <n v="8437"/>
        <n v="8405"/>
        <n v="8457"/>
        <n v="8461"/>
        <n v="8439"/>
        <n v="8433"/>
        <n v="8426"/>
        <n v="8434"/>
        <n v="8430"/>
        <n v="8432"/>
        <n v="8451"/>
        <n v="8458"/>
        <n v="8460"/>
        <n v="8404"/>
        <n v="8402"/>
        <n v="8442"/>
        <n v="8459"/>
        <n v="8427"/>
        <n v="8436"/>
        <n v="8450"/>
        <n v="8452"/>
        <n v="8464"/>
        <n v="8403"/>
        <n v="8446"/>
        <n v="8470"/>
        <n v="8476"/>
        <n v="8401"/>
        <n v="8447"/>
        <n v="8463"/>
        <n v="8478"/>
        <n v="8440"/>
        <n v="8444"/>
        <n v="8449"/>
        <s v="8453"/>
      </sharedItems>
    </cacheField>
    <cacheField name="Product Description" numFmtId="49">
      <sharedItems count="234" longText="1">
        <s v="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
        <s v="Insulated &quot;incl. enamelled or anodised&quot; wire, cable &quot;incl. coaxial cable&quot; and other insulated electric conductors, whether or not fitted with connectors; optical fibre cables, made up of individually sheathed fibres, whether or not assembled with electric conductors or fitted with connectors "/>
        <s v="Electrical transformers, static converters, e.g. rectifiers, and inductors; parts thereof "/>
        <s v="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 "/>
        <s v="Electric accumulators, incl. separators therefor, whether or not square or rectangular; parts thereof (excl. spent and those of unhardened rubber or textiles) "/>
        <s v="Reception apparatus for radio-broadcasting, whether or not combined, in the same housing, with sound recording or reproducing apparatus or a clock "/>
        <s v="Transmission apparatus for radio-broadcasting or television, whether or not incorporating reception apparatus or sound recording or reproducing apparatus; television cameras, digital cameras and video camera recorders "/>
        <s v="Carbon electrodes, carbon brushes, lamp carbons, battery carbons and other articles of graphite or other carbon, with or without metal, of a kind used for electrical purposes "/>
        <s v="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 "/>
        <s v="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 "/>
        <s v="Electric motors and generators (excl. generating sets) "/>
        <s v="Electrical lighting or signalling equipment (excl. lamps of heading 8539), windscreen wipers, defrosters and demisters, of a kind used for cycles or motor vehicles; parts thereof "/>
        <s v="Parts suitable for use solely or principally with electric motors and generators, electric generating sets and rotary converters, n.e.s. "/>
        <s v="Parts suitable for use solely or principally with the apparatus of heading 8535, 8536 or 8537, n.e.s. "/>
        <s v="Electric generating sets and rotary converters "/>
        <s v="Electronic integrated circuits; parts thereof "/>
        <s v="Electrical insulators of any material (excl. insulating fittings) "/>
        <s v="Semiconductor devices &quot;e.g. diodes, transistors, semiconductor-based transducers&quot;; photosensitive semiconductor devices, incl. photovoltaic cells whether or not assembled in modules or made up into panels (excl. photovoltaic generators); light emitting diodes &quot;LED&quot;, whether or not assembled with other light-emitting diodes &quot;LED&quot;; mounted piezoelectric crystals; parts thereof "/>
        <s v="Discs, tapes, solid-state non-volatile storage devices, &quot;smart cards&quot; and other media for the recording of sound or of other phenomena, whether or not recorded, incl. matrices and masters for the production of discs (excl. products of chapter 37) "/>
        <s v="Electrical machines and apparatus, having individual functions, n.e.s. in chapter 85 and parts thereof "/>
        <s v="Electrical resistors, incl. rheostats and potentiometers (excl. heating resistors); parts thereof "/>
        <s v="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 "/>
        <s v="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 "/>
        <s v="Waste and scrap of primary cells, primary batteries and electric accumulators; spent primary cells, spent primary batteries and spent electric accumulators; electrical parts of machinery or apparatus, not specified or included elsewhere in chapter 85 "/>
        <s v="Monitors and projectors, not incorporating television reception apparatus; reception apparatus for television, whether or not incorporating radio-broadcast receivers or sound or video recording or reproducing apparatus "/>
        <s v="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 "/>
        <s v="Printed circuits "/>
        <s v="Industrial or laboratory electric furnaces and ovens, incl. those functioning by induction or dielectric loss; other industrial or laboratory equipment for the heat treatment of materials by induction or dielectric loss; parts thereof "/>
        <s v="Electrical capacitors, fixed, variable or adjustable &quot;pre-set&quot;; parts thereof "/>
        <s v="Electric sound or visual signalling apparatus, e.g. bells, sirens, indicator panels, burglar or fire alarms (excl. those for cycles, motor vehicles and traffic signalling); parts thereof "/>
        <s v="Thermionic, cold cathode or photo-cathode valves and tubes, e.g. vacuum or vapour or gas filled valves and tubes, mercury arc rectifying valves and tubes, cathode ray tubes and television camera tubes; parts thereof "/>
        <s v="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 "/>
        <s v="Electrical signalling, safety or traffic control equipment for railways, tramways, roads, inland waterways, parking facilities, port installations or airfields (excl. mechanical or electromechanical equipment of heading 8608); parts thereof "/>
        <s v="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
        <s v="Radar apparatus, radio navigational aid apparatus and radio remote control apparatus "/>
        <s v="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 "/>
        <s v="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s v="Electric filament or discharge lamps, incl. sealed beam lamp units and ultraviolet or infra-red lamps; arc lamps; light-emitting diode &quot;LED&quot; light sources; parts thereof "/>
        <s v="Vacuum cleaners, incl. dry cleaners and wet vacuum cleaners "/>
        <s v="Video recording or reproducing apparatus, whether or not incorporating a video tuner (excl. video camera recorders) "/>
        <s v="Electromechanical domestic appliances, with self-contained electric motor; parts thereof (excl. vacuum cleaners, dry and wet vacuum cleaners) "/>
        <s v="Electric shavers, hair clippers and hair-removing appliances, with self-contained electric motor; parts thereof "/>
        <s v="Primary cells and primary batteries, electrical; parts thereof (excl. spent) "/>
        <s v="Parts and accessories suitable for use solely or principally with sound reproducing and recording apparatus and with video equipment for recording and reproducing pictures and sound "/>
        <s v="Sound recording or sound reproducing apparatus "/>
        <s v="Portable electric lamps designed to function by their own source of energy, e.g. dry batteries, accumulators and magnetos; parts thereof (excl. lighting equipment of heading 8512) "/>
        <s v="Articles of plastics and articles of other materials of heading 3901 to 3914, n.e.s. "/>
        <s v="Polymers of vinyl chloride or of other halogenated olefins, in primary forms "/>
        <s v="Petroleum resins, coumarone-indene resins, polyterpenes, polysulphides, polysulphones and other polymers and prepolymers produced by chemical synthesis, n.e.s., in primary forms "/>
        <s v="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 "/>
        <s v="Articles for the conveyance or packaging of goods, of plastics; stoppers, lids, caps and other closures, of plastics "/>
        <s v="Polyacetals, other polyethers and epoxide resins, in primary forms; polycarbonates, alkyd resins, polyallyl esters and other polyesters, in primary forms "/>
        <s v="Tubes, pipes and hoses, and fittings therefor, e.g. joints, elbows, flanges, of plastics "/>
        <s v="Polyamides, in primary forms "/>
        <s v="Ion-exchangers based on polymers of heading 3901 to 3913, in primary forms "/>
        <s v="Polymers of styrene, in primary forms "/>
        <s v="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 "/>
        <s v="Natural polymers, e.g. alginic acid, and modified natural polymers, e.g. hardened proteins, chemical derivatives of natural rubber, n.e.s., in primary forms "/>
        <s v="Silicones in primary forms "/>
        <s v="Tableware, kitchenware, other household articles and toilet articles, of plastics (excl. baths, shower-baths, washbasins, bidets, lavatory pans, seats and covers, flushing cisterns and similar sanitary ware) "/>
        <s v="Cellulose and its chemical derivatives, n.e.s., in primary forms "/>
        <s v="Polymers of propylene or of other olefins, in primary forms "/>
        <s v="Amino-resins, phenolic resins and polyurethanes, in primary forms "/>
        <s v="Polymers of vinyl acetate or of other vinyl esters, in primary forms; other vinyl polymers, in primary forms "/>
        <s v="Self-adhesive plates, sheets, film, foil, tape, strip and other flat shapes, of plastics, whether or not in rolls (excl. floor, wall and ceiling coverings of heading 3918) "/>
        <s v="Acrylic polymers, in primary forms "/>
        <s v="Monofilament of which any cross-sectional dimension &gt; 1 mm, rods, sticks and profile shapes, of plastics, whether or not surface-worked but not further worked "/>
        <s v="Polymers of ethylene, in primary forms "/>
        <s v="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 "/>
        <s v="Baths, shower-baths, sinks, washbasins, bidets, lavatory pans, seats and covers, flushing cisterns and similar sanitary ware, of plastics "/>
        <s v="Builders' ware of plastics, n.e.s. "/>
        <s v="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 "/>
        <s v="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 "/>
        <s v="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 "/>
        <s v="Articles of stone or of other mineral substances, incl. carbon fibres, articles of carbon fibres and articles of peat, n.e.s. "/>
        <s v="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 "/>
        <s v="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 "/>
        <s v="Worked slate and articles of slate or of agglomerated slate (excluding slate granules, chippings and powder, mosaic cubes and the like, slate pencils, and ready-to-use slates or boards with writing or drawing surfaces) "/>
        <s v="Setts, curbstones and flagstones, of natural stone (excluding slate) "/>
        <s v="Natural or artificial abrasive powder or grain, on a base of textile material, paper, paperboard or other materials, whether or not cut to shape or sewn or otherwise made up "/>
        <s v="Panels, boards, tiles, blocks and similar articles of vegetable fibre, of straw or of shavings, chips, particles, sawdust or other waste of wood, agglomerated with cement, plaster or other mineral binders (excluding articles of asbestos-cement, cellulose fibre-cement or the like) "/>
        <s v="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 "/>
        <s v="Ceramic sinks, washbasins, washbasin pedestals, baths, bidets, water closet pans, flushing cisterns, urinals and similar sanitary fixtures (excl. soap dishes, sponge holders, tooth-brush holders, towel hooks and toilet paper holders) "/>
        <s v="Refractory bricks, blocks, tiles and similar refractory ceramic constructional goods (excl. those of siliceous fossil meals or similar siliceous earths) "/>
        <s v="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 "/>
        <s v="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 "/>
        <s v="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 "/>
        <s v="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 "/>
        <s v="Statuettes and other ornamental ceramic articles, n.e.s. "/>
        <s v="Ceramic articles, n.e.s. "/>
        <s v="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 "/>
        <s v="Articles of iron or steel, n.e.s. (excl. cast articles) "/>
        <s v="Structures and parts of structures &quot;e.g., bridges and bridge-sections, lock-gates, towers, lattice masts, roofs, roofing frameworks, doors and windows and their frames and thresholds for doors, shutters, balustrades, pillars and columns&quot;, of iron or steel; plates, rods, angles, shapes, sections, tubes and the like, prepared for use in structures, of iron or steel (excl. prefabricated buildings of heading 9406) "/>
        <s v="Articles of iron or steel, cast, n.e.s. "/>
        <s v="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s v="Tanks, casks, drums, cans, boxes and similar containers, of iron or steel, for any material &quot;other than compressed or liquefied gas&quot;, of a capacity of &lt;= 300 l, not fitted with mechanical or thermal equipment, whether or not lined or heat-insulated, n.e.s. "/>
        <s v="Tube or pipe fittings &quot;e.g. couplings, elbows, sleeves&quot;, of iron or steel "/>
        <s v="Springs and leaves for springs, of iron or steel (excl. clock and watch springs, springs for sticks and handles of umbrellas or parasols, shock absorbers and torque rod or torsion bar springs of Section 17) "/>
        <s v="Screws, bolts, nuts, coach screws, screw hooks, rivets, cotters, cotter pins, washers, incl. spring washers, and similar articles, of iron or steel (excl. lag screws, stoppers, plugs and the like, threaded) "/>
        <s v="Sheet piling of iron or steel, whether or not drilled, punched or made from assembled elements; welded angles, shapes and sections, of iron or steel "/>
        <s v="Chain and parts thereof, or iron or steel (excl. watch chains, necklace chains and the like, cutting and saw chain, skid chain, scraper chain for conveyors, toothed chain for textile machinery and the like, safety devices with chains for securing doors, measuring chains) "/>
        <s v="Tubes, pipes and hollow profiles, seamless, of iron or steel (excl. products of cast iron) "/>
        <s v="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s v="Tubes, pipes and hollow profiles &quot;e.g., open seam or welded, riveted or similarly closed&quot;, of iron or steel (excl. of cast iron, seamless tubes and pipes and tubes having internal and external circular cross-sections and an external diameter of &gt; 406,4 mm) "/>
        <s v="Sewing needles, knitting needles, bodkins, crochet hoods, embroidery stilettos and similar articles, for use in the hand, of iron or steel; safety pins and other pins of iron or steel, n.e.s. "/>
        <s v="Reservoirs, tanks, vats and similar containers, of iron or steel, for any material &quot;other than compressed or liquefied gas&quot;, of a capacity of &gt; 300 l, not fitted with mechanical or thermal equipment, whether or not lined or heat-insulated (excluding containers specifically constructed or equipped for one or more types of transport) "/>
        <s v="Railway or tramway track construction material of iron or steel, the following : rails, check-rails and rack rails, switch blades, crossing frogs, point rods and other crossing pieces, sleepers &quot;cross-ties&quot;, fish-plates, chairs, chair wedges, sole plates &quot;base plates&quot;, rail clips, bedplates, ties and other material specialised for jointing or fixing rails "/>
        <s v="Stranded wire, ropes, cables, plaited bands, slings and the like, of iron or steel (excl. electrically insulated products and twisted fencing wire and barbed wire) "/>
        <s v="Nails, tacks, drawing pins, corrugated nails, staples and similar articles of iron or steel, whether or not with heads of other material (excluding such articles with heads of copper and staples in strips) "/>
        <s v="Containers of iron or steel, for compressed or liquefied gas (excluding containers specifically constructed or equipped for one or more types of transport) "/>
        <s v="Sanitary ware, and parts thereof, of iron or steel (excl. cans, boxes and similar containers of heading 7310, small wall cabinets for medical supplies or toiletries and other furniture of chapter 94, and fittings) "/>
        <s v="Anchors, grapnels and parts thereof, of iron or steel "/>
        <s v="Waste and scrap, of copper (excluding ingots or other similar unwrought shapes, of remelted copper waste and scrap, ashes and residues containing copper, and waste and scrap of primary cells, primary batteries and electric accumulators) "/>
        <s v="Other articles of copper, n.e.s. "/>
        <s v="Copper, refined, and copper alloys, unwrought (excl. copper alloys of heading 7405) "/>
        <s v="Copper wire (excl. surgical sutures, stranded wire, cables, plaited bands and the like and other articles of heading 7413, electrically insulated wires and strings for musical instruments) "/>
        <s v="Powders and flakes, of copper (excl. grains of copper and spangles of heading 8308) "/>
        <s v="Copper tube or pipe fittings &quot;e.g., couplings, elbows, sleeves&quot; "/>
        <s v="Copper, unrefined; copper anodes for electrolytic refining "/>
        <s v="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 "/>
        <s v="Bars, rods and profiles, of copper, n.e.s. "/>
        <s v="Plates, sheets and strip, of copper, of a thickness of &gt; 0,15 mm (excl. expanded sheet and strip copper and electrically insulated strip) "/>
        <s v="Copper tubes and pipes "/>
        <s v="Nails, tacks, drawing pins, staples and similar articles, of copper or with shafts of iron or steel and heads of copper, screws, bolts, nuts, screw hooks, rivets, cotters, cotter pins, washers &quot;incl. spring washers&quot; and similar articles, of copper (excl. staples in strips, and lag screws, plugs, bungs and the like, threaded) "/>
        <s v="Copper foil &quot;whether or not printed or backed with paper, paperboard, plastics or similar backing materials&quot;, of a thickness &quot;excl. any backing&quot; of &lt;= 0,15 mm (excl. stamping foils of heading 3212, metal yarns and metallised yarns and foil made up as christmas tree decorating material) "/>
        <s v="Stranded wire, cables, plaited bands and the like, of copper (excluding electrically insulated products) "/>
        <s v="Unwrought aluminium "/>
        <s v="Articles of aluminium, n.e.s. "/>
        <s v="Aluminium foil, &quot;whether or not printed or backed with paper, paperboard, plastics or similar backing materials&quot;, of a thickness &quot;excl. any backing&quot; of &lt;= 0,2 mm (excl. stamping foils of heading 3212, christmas tree decorating material) "/>
        <s v="Waste and scrap, of aluminium (excluding slags, scale and the like from iron and steel production, containing recoverable aluminium in the form of silicates, ingots or other similar unwrought shapes, of remelted waste and scrap, of aluminium, ashes and residues from aluminium production) "/>
        <s v="Plates, sheets and strip, of aluminium, of a thickness of &gt; 0,2 mm (excl. expanded plates, sheets and strip) "/>
        <s v="Powder and flakes, of aluminium (excl. pellets of aluminium, and spangles) "/>
        <s v="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s v="Casks, drums, cans, boxes and similar containers, incl. rigid or collapsible tubular containers, of aluminium, for any material (other than compressed or liquefied gas), of a capacity of &lt;= 300 l, not fitted with mechanical or thermal equipment, whether or not lined or heat-insulated, n.e.s. "/>
        <s v="Bars, rods and profiles, of aluminium, n.e.s. "/>
        <s v="Aluminium wire (excl. stranded wire, cables, plaited bands and the like and other articles of heading 7614, electrically insulated wires, and strings for musical instruments) "/>
        <s v="Structures and parts of structures &quot;e.g., bridges and bridge-sections, towers, lattice masts, pillars and columns, roofs, roofing frameworks, doors and windows and their frames and thresholds for doors, shutters, balustrades&quot;, of aluminium (excl. prefabricated buildings of heading 9406); plates, rods, profiles, tubes and the like, prepared for use in structures, of aluminium "/>
        <s v="Aluminium tubes and pipes (excl. hollow profiles) "/>
        <s v="Aluminium containers for compressed or liquefied gas "/>
        <s v="Stranded wire, cables, plaited bands and the like, of aluminium (excl. such products electrically insulated) "/>
        <s v="Padlocks and locks &quot;key, combination or electrically operated&quot;, of base metal; clasps and frames with clasps, incorporating locks, of base metal; keys for any of the foregoing articles, of base metal "/>
        <s v="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s v="Bells, gongs and the like, non-electric, of base metal (excl. musical instruments); statuettes and other ornaments, of base metal (excl. works of art, collectors' pieces and antiques); photograph, picture or similar frames, of base metal; mirrors of base metal (excl. optical elements) "/>
        <s v="Flexible tubing of base metal, with or without fittings "/>
        <s v="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s v="Fittings for loose-leaf binders or files, letter clips, letter corners, paper clips, indexing tags and similar office articles, of base metal (excl. drawing pins and clasps for books or registers); staples in strips, e.g. for use in offices, upholstery and packaging, of base metal "/>
        <s v="Stoppers, caps and lids, incl. crown corks, screw caps and pouring stoppers, capsules for bottles, threaded bungs, bung covers, seals and other packing accessories, of base metal "/>
        <s v="Sign-plates, nameplates, address-plates and similar plates, numbers, letters and other symbols, of base metal, incl. traffic signs (excluding those of heading 9405, type and the like, and signal boards, signal discs and signal arms for traffic of heading 8608) "/>
        <s v="Clasps, frames with clasps, buckles, buckle-clasps, hooks, eyes, eyelets and the like, of base metal, of a kind used for clothing, footwear, awnings, handbags, travel goods or other made-up articles, tubular or bifurcated rivets, of base metal; beads and spangles of base metal "/>
        <s v="Armoured or reinforced safes, strongboxes and doors and safe deposit lockers for strongrooms, cash or deed boxes and the like, of base metal "/>
        <s v="Turbojets, turbopropellers and other gas turbines "/>
        <s v="Parts suitable for use solely or principally with internal combustion piston engine of heading 8407 or 8408 "/>
        <s v="Pumps for liquids, whether or not fitted with a measuring device (excl. ceramic pumps and secretion aspirating pumps for medical use and medical pumps carried on or implanted in the body); liquid elevators (excl. pumps); parts thereof "/>
        <s v="Taps, cocks, valves and similar appliances for pipes, boiler shells, tanks, vats or the like, incl. pressure-reducing valves and thermostatically controlled valves; parts thereof "/>
        <s v="Machinery for working rubber or plastics or for the manufacture of products from these materials, not specified or included elsewhere in this chapter, parts thereof "/>
        <s v="Compression-ignition internal combustion piston engine &quot;diesel or semi-diesel engine&quot; "/>
        <s v="Parts suitable for use solely or principally with the machinery of heading 8425 to 8430, n.e.s. "/>
        <s v="Steam turbines and other vapour turbines; parts thereof "/>
        <s v="Centrifuges, incl. centrifugal dryers (excl. those for isotope separation); filtering or purifying machinery and apparatus, for liquids or gases; parts thereof (excl. artificial kidneys) "/>
        <s v="Ball or roller bearings (excl. steel balls of heading 7326); parts thereof "/>
        <s v="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 "/>
        <s v="Moulding boxes for metal foundry; mould bases; moulding patterns; moulds for metal (other than ingot moulds), metal carbides, glass, mineral materials, rubber or plastics (excl. moulds of graphite or other carbons, ceramic or glass moulds and linotype moulds or matrices) "/>
        <s v="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 "/>
        <s v="Machines and apparatus of a kind used solely or principally for the manufacture of semiconductor boules or wafers, semiconductor devices, electronic integrated circuits or flat panel displays; machines and apparatus specified in note 11 C to chapter 84; parts and accessories, n.e.s. "/>
        <s v="Machines and mechanical appliances having individual functions, not specified or included elsewhere in this chapter; parts thereof "/>
        <s v="Parts and accessories (other than covers, carrying cases and the like) suitable for use solely or principally with machines of heading 8469 to 8472, n.e.s. "/>
        <s v="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 "/>
        <s v="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 "/>
        <s v="Engines and motors (excl. steam turbines, internal combustion piston engine, hydraulic turbines, water wheels, gas turbines and electric motors); parts thereof "/>
        <s v="Hydraulic turbines, water wheels, and regulators therefor (excl. hydraulic power engines and motors of heading 8412) "/>
        <s v="Parts and accessories suitable for use solely or principally with the machines of headings 8456 to 8465, incl. work or tool holders, self-opening dieheads, dividing heads and other special attachments for the machines, n.e.s.; tool holders for any type of tool for working in the hand "/>
        <s v="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
        <s v="Air conditioning machines comprising a motor-driven fan and elements for changing the temperature and humidity, incl. those machines in which the humidity cannot be separately regulated; parts thereof "/>
        <s v="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 "/>
        <s v="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 "/>
        <s v="Automatic data-processing machines and units thereof; magnetic or optical readers, machines for transcribing data onto data media in coded form and machines for processing such data, n.e.s. "/>
        <s v="Gaskets and similar joints of metal sheeting combined with other material or of two or more layers of metal; sets or assortments of gaskets and similar joints, dissimilar in composition, put up in pouches, envelopes or similar packings; mechanical seals "/>
        <s v="Machinery parts, n.e.s. in chapter 84 (excl. parts containing electrical connectors, insulators, coils, contacts or other electrical features) "/>
        <s v="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 "/>
        <s v="Machinery, not specified or included elsewhere in this chapter, for the industrial preparation or manufacture of food or drink (other than machinery for the extraction or preparation of animal or fixed vegetable fats or oils); parts thereof "/>
        <s v="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 "/>
        <s v="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 "/>
        <s v="Machine tools, incl. machines for nailing, stapling, glueing or otherwise assembling, for working wood, cork, bone, hard rubber, hard plastics or similar hard materials (excl. machines for working in the hand and machines for additive manufacturing) "/>
        <s v="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 "/>
        <s v="Refrigerators, freezers and other refrigerating or freezing equipment, electric or other; heat pumps; parts thereof (excl. air conditioning machines of heading 8415) "/>
        <s v="Metal-rolling mills and rolls therefor; parts of metal-rolling mills "/>
        <s v="Calendering or other rolling machines (other than for metals or glass) and cylinders therefor; parts thereof "/>
        <s v="Self-propelled bulldozers, angledozers, graders, levellers, scrapers, mechanical shovels, excavators, shovel loaders, tamping machines and roadrollers "/>
        <s v="Converters, ladles, ingot moulds and casting machines of a kind used in metallurgy or in metal foundries (excl. metal powder presses); parts thereof "/>
        <s v="Office machines, e.g. hectograph or stencil duplicating machines, addressing machines, automatic banknote dispensers, coin-sorting machines, coin-counting or coin-wrapping machines, pencil-sharpening machines, perforating or stapling machines, n.e.s. "/>
        <s v="Machinery for making up paper pulp, paper or paperboard, incl. cutting machines of all kinds, n.e.s.; parts thereof "/>
        <s v="Tools for working in the hand, pneumatic, hydraulic or with self-contained electric or non-electric motor; parts thereof "/>
        <s v="Spark-ignition reciprocating or rotary internal combustion piston engine "/>
        <s v="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
        <s v="Industrial or laboratory furnaces and ovens, non-electric, incl. incinerators (excl. drying ovens and ovens for cracking operations) "/>
        <s v="Pulley tackle and hoists (other than skip hoists); winches and capstans; jacks "/>
        <s v="Weighing machinery, incl. weight-operated counting or checking machines (excl. balances of a sensitivity of 5 cg or better); weighing machine weights of all kinds; parts thereof "/>
        <s v="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 "/>
        <s v="Furnace burners for liquid fuel, for pulverised solid fuel or for gas; mechanical stokers, incl. their mechanical grates, mechanical ash dischargers and similar appliances; parts thereof "/>
        <s v="Machinery and apparatus for soldering, brazing or welding, whether or not capable of cutting (other than those of heading 8515); gas-operated surface tempering machines and appliances; parts thereof "/>
        <s v="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 "/>
        <s v="Producer gas or water gas generators, with or without their purifiers; acetylene gas generators and similar water process gas generators, with or without their purifiers; parts thereof (excl. coke ovens, electrolytic process gas generators and carbide lamps) "/>
        <s v="Machining centres, unit construction machines &quot;single station&quot; and multi-station transfer machines for working metal "/>
        <s v="Machine tools for planing, shaping, slotting, broaching, gear cutting, gear grinding or gear finishing, sawing, cutting-off and other machine tools working by removing metal, sintered metal carbides or cermets, n.e.s. "/>
        <s v="Machinery for making pulp of fibrous cellulosic material or for making or finishing paper or paperboard (excl. autoclaves, boilers, dryers, other heating appliances and calenders); parts thereof "/>
        <s v="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 "/>
        <s v="Ships' derricks; cranes, incl. cable cranes (excl. wheel-mounted cranes and vehicle cranes for railways); mobile lifting frames, straddle carriers and works trucks fitted with a crane "/>
        <s v="Milking machines and dairy machinery (excl. refrigerating or heat treatment equipment, cream separators, clarifying centrifuges, filter presses and other filtering equipment); parts thereof "/>
        <s v="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 "/>
        <s v="Agricultural, horticultural or forestry machinery for soil preparation or cultivation (excl. sprayers and dusters); lawn or sports-ground rollers; parts thereof "/>
        <s v="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 "/>
        <s v="Lathes, incl. turning centres, for removing metal "/>
        <s v="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 "/>
        <s v="Auxiliary plant for use with boilers of heading 8402 or 8403, e.g. economizers, superheaters, soot removers and gas recoverers; condensers for steam or other vapour power units; parts thereof "/>
        <s v="Steam or other vapour generating boilers (excl. central heating hot water boilers capable also of producing low pressure steam); superheated water boilers; parts thereof "/>
        <s v="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 "/>
        <s v="Machine tools, incl. way-type unit head machines, for drilling, boring, milling, threading or tapping (excl. lathes and turning centres of heading 8458, gear cutting machines of heading 8461 and hand-operated machines) "/>
        <s v="Fork-lift trucks; other works trucks fitted with lifting or handling equipment (excl. straddle carriers and works trucks fitted with a crane) "/>
        <s v="Agricultural, horticultural, forestry, poultry-keeping or bee-keeping machinery, incl. germination plant fitted with mechanical or thermal equipment; poultry incubators and brooders; parts thereof "/>
        <s v="Household or laundry-type washing machines, incl. machines which both wash and dry; parts thereof "/>
        <s v="Sewing machines (other than book-sewing machines of heading 8440); furniture, bases and covers specially designed for sewing machines; sewing machine needles; parts thereof "/>
        <s v="Machine tools for working stone, ceramics, concrete, asbestos-cement or like mineral materials or for cold-working glass (excl. machines for working in the hand) "/>
        <s v="Central heating boilers, non-electric; parts thereof (excl. vapour generating boilers and superheated water boilers of heading 8402) "/>
        <s v="Weaving machines &quot;looms&quot; "/>
        <s v="Calculating machines and pocket-size &quot;dimensions &lt;= 170 mm x 100 mm x 45 mm&quot;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 "/>
        <s v="Automatic goods-vending machines, e.g. postage stamp, cigarette, food or beverage machines, incl. money-changing machines; parts thereof "/>
        <s v="Nuclear reactors; fuel elements &quot;cartridges&quot;, non-irradiated, for nuclear reactors; machinery and apparatus for isotopic separation; parts thereof "/>
        <s v="Knitting machines, stitch-bonding machines and machines for making gimped yarn, tulle, lace, embroidery, trimmings, braid or net and machines for tufting (excl. hem-stitching machines) "/>
        <s v="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 "/>
        <s v="Machinery for preparing or making up tobacco, not specified or included elsewhere in this chapter; parts thereof "/>
        <s v="Bookbinding machinery, incl. book-sewing machines (excl. machinery of heading 8441, general-purpose presses, printing machinery of heading 8443 and machines of uses ancillary to printing); parts thereof "/>
        <s v="Machines for extruding, drawing, texturing or cutting man-made textile materials "/>
        <s v="Machinery for the manufacture or finishing of felt or nonwovens in the piece or in shapes, incl. machinery for making felt hats; blocks for making hats; parts thereof (excluding machinery for preparing fibres for felt and calenders) "/>
        <s v="Machinery for preparing, tanning or working hides, skins or leather or for making or repairing footwear or other articles of hides, skins or leather (excl. drying machines, spray guns, machines for the dehairing of pigs, sewing machines and general purpose presses); parts thereof "/>
      </sharedItems>
    </cacheField>
    <cacheField name="Export Value (USD Thousands)" numFmtId="2">
      <sharedItems containsSemiMixedTypes="0" containsString="0" containsNumber="1" containsInteger="1" minValue="1" maxValue="327365"/>
    </cacheField>
    <cacheField name="Quantity" numFmtId="1">
      <sharedItems containsSemiMixedTypes="0" containsString="0" containsNumber="1" containsInteger="1" minValue="0" maxValue="527861000"/>
    </cacheField>
    <cacheField name="Units" numFmtId="49">
      <sharedItems/>
    </cacheField>
    <cacheField name="Unit Value" numFmtId="2">
      <sharedItems containsBlank="1"/>
    </cacheField>
    <cacheField name="Units2" numFmtId="49">
      <sharedItems containsBlank="1"/>
    </cacheField>
    <cacheField name="Share in India's exports (%)" numFmtId="2">
      <sharedItems containsSemiMixedTypes="0" containsString="0" containsNumber="1" minValue="0" maxValue="72.03"/>
    </cacheField>
    <cacheField name="Annual growth in export (2021-2025) (%)" numFmtId="1">
      <sharedItems containsMixedTypes="1" containsNumber="1" containsInteger="1" minValue="-79" maxValue="452"/>
    </cacheField>
    <cacheField name="Annual growth in quantity (2021-2025)" numFmtId="2">
      <sharedItems containsMixedTypes="1" containsNumber="1" containsInteger="1" minValue="-84" maxValue="28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58">
  <r>
    <x v="0"/>
    <x v="0"/>
    <n v="92.55"/>
    <n v="123.06"/>
    <n v="101.01"/>
    <n v="97.75"/>
    <n v="100.71"/>
    <n v="151.05000000000001"/>
    <n v="215.05"/>
    <n v="313.52"/>
    <n v="420.33"/>
    <n v="445.84"/>
  </r>
  <r>
    <x v="1"/>
    <x v="1"/>
    <n v="115.76"/>
    <n v="129.6"/>
    <n v="131.68"/>
    <n v="108.33"/>
    <n v="108.49"/>
    <n v="154.6"/>
    <n v="184.61"/>
    <n v="194.14"/>
    <n v="192.44"/>
    <n v="247.91"/>
  </r>
  <r>
    <x v="2"/>
    <x v="2"/>
    <n v="137.75"/>
    <n v="112.73"/>
    <n v="93.91"/>
    <n v="114.07"/>
    <n v="98.8"/>
    <n v="111.71"/>
    <n v="158.28"/>
    <n v="222.86"/>
    <n v="184.92"/>
    <n v="219.5"/>
  </r>
  <r>
    <x v="3"/>
    <x v="3"/>
    <n v="59.42"/>
    <n v="80.12"/>
    <n v="87.57"/>
    <n v="95.71"/>
    <n v="60.61"/>
    <n v="90.03"/>
    <n v="84.43"/>
    <n v="111.37"/>
    <n v="94.92"/>
    <n v="158.44999999999999"/>
  </r>
  <r>
    <x v="4"/>
    <x v="4"/>
    <n v="71"/>
    <n v="72.790000000000006"/>
    <n v="105.87"/>
    <n v="74.02"/>
    <n v="55.23"/>
    <n v="114.25"/>
    <n v="130.24"/>
    <n v="111.94"/>
    <n v="115.82"/>
    <n v="132.09"/>
  </r>
  <r>
    <x v="5"/>
    <x v="5"/>
    <n v="48.79"/>
    <n v="33.119999999999997"/>
    <n v="41.69"/>
    <n v="86.16"/>
    <n v="52.85"/>
    <n v="70.12"/>
    <n v="47.4"/>
    <n v="82.1"/>
    <n v="104.45"/>
    <n v="115.28"/>
  </r>
  <r>
    <x v="6"/>
    <x v="6"/>
    <n v="39.22"/>
    <n v="38.83"/>
    <n v="31.69"/>
    <n v="40.29"/>
    <n v="29.83"/>
    <n v="31.94"/>
    <n v="49.54"/>
    <n v="62.62"/>
    <n v="87.49"/>
    <n v="115.1"/>
  </r>
  <r>
    <x v="7"/>
    <x v="7"/>
    <n v="42.34"/>
    <n v="46.24"/>
    <n v="47.24"/>
    <n v="33.450000000000003"/>
    <n v="24.31"/>
    <n v="41.27"/>
    <n v="69.78"/>
    <n v="85.24"/>
    <n v="98.95"/>
    <n v="107.02"/>
  </r>
  <r>
    <x v="8"/>
    <x v="8"/>
    <n v="25.83"/>
    <n v="31.08"/>
    <n v="36.380000000000003"/>
    <n v="30.89"/>
    <n v="31.89"/>
    <n v="56.74"/>
    <n v="85.42"/>
    <n v="86.64"/>
    <n v="65.349999999999994"/>
    <n v="105.78"/>
  </r>
  <r>
    <x v="9"/>
    <x v="9"/>
    <n v="74.47"/>
    <n v="104.29"/>
    <n v="111.55"/>
    <n v="94.32"/>
    <n v="47.97"/>
    <n v="64.319999999999993"/>
    <n v="73.58"/>
    <n v="84.01"/>
    <n v="74.349999999999994"/>
    <n v="79.78"/>
  </r>
  <r>
    <x v="10"/>
    <x v="10"/>
    <n v="75.94"/>
    <n v="97.92"/>
    <n v="84.09"/>
    <n v="96.91"/>
    <n v="51"/>
    <n v="61.5"/>
    <n v="79.61"/>
    <n v="63.91"/>
    <n v="50.55"/>
    <n v="76.8"/>
  </r>
  <r>
    <x v="11"/>
    <x v="11"/>
    <n v="45.12"/>
    <n v="44.06"/>
    <n v="50.34"/>
    <n v="63.21"/>
    <n v="45.5"/>
    <n v="57.19"/>
    <n v="59.03"/>
    <n v="66.87"/>
    <n v="59.68"/>
    <n v="73.69"/>
  </r>
  <r>
    <x v="12"/>
    <x v="12"/>
    <n v="29.58"/>
    <n v="29.61"/>
    <n v="64.48"/>
    <n v="54.73"/>
    <n v="27.12"/>
    <n v="29.6"/>
    <n v="47.86"/>
    <n v="50.24"/>
    <n v="49.16"/>
    <n v="72.37"/>
  </r>
  <r>
    <x v="13"/>
    <x v="13"/>
    <n v="0"/>
    <n v="0"/>
    <n v="0"/>
    <n v="0"/>
    <n v="0"/>
    <n v="0"/>
    <n v="25.93"/>
    <n v="26.67"/>
    <n v="32.21"/>
    <n v="65.28"/>
  </r>
  <r>
    <x v="14"/>
    <x v="14"/>
    <n v="91.35"/>
    <n v="84.82"/>
    <n v="118.59"/>
    <n v="102.31"/>
    <n v="55.96"/>
    <n v="44.01"/>
    <n v="37.9"/>
    <n v="57.93"/>
    <n v="54.63"/>
    <n v="57.09"/>
  </r>
  <r>
    <x v="15"/>
    <x v="15"/>
    <n v="30.11"/>
    <n v="33.299999999999997"/>
    <n v="34.19"/>
    <n v="26.11"/>
    <n v="26.74"/>
    <n v="40.47"/>
    <n v="41.54"/>
    <n v="42.63"/>
    <n v="47.14"/>
    <n v="56.87"/>
  </r>
  <r>
    <x v="16"/>
    <x v="16"/>
    <n v="46.86"/>
    <n v="29.89"/>
    <n v="41.82"/>
    <n v="46.15"/>
    <n v="25.31"/>
    <n v="34.619999999999997"/>
    <n v="56.29"/>
    <n v="43.24"/>
    <n v="43.45"/>
    <n v="54.97"/>
  </r>
  <r>
    <x v="17"/>
    <x v="17"/>
    <n v="15.61"/>
    <n v="18.309999999999999"/>
    <n v="27.34"/>
    <n v="24.3"/>
    <n v="16.21"/>
    <n v="17.010000000000002"/>
    <n v="19.02"/>
    <n v="23.95"/>
    <n v="28.2"/>
    <n v="36.68"/>
  </r>
  <r>
    <x v="18"/>
    <x v="18"/>
    <n v="13.45"/>
    <n v="35.380000000000003"/>
    <n v="39.69"/>
    <n v="20.63"/>
    <n v="11.72"/>
    <n v="17.41"/>
    <n v="20.18"/>
    <n v="19.8"/>
    <n v="23.54"/>
    <n v="33.65"/>
  </r>
  <r>
    <x v="19"/>
    <x v="19"/>
    <n v="26.82"/>
    <n v="28.42"/>
    <n v="23.19"/>
    <n v="33.47"/>
    <n v="17"/>
    <n v="17.66"/>
    <n v="17.690000000000001"/>
    <n v="18.95"/>
    <n v="24.11"/>
    <n v="33.26"/>
  </r>
  <r>
    <x v="20"/>
    <x v="20"/>
    <n v="23.02"/>
    <n v="20.69"/>
    <n v="34.520000000000003"/>
    <n v="40.29"/>
    <n v="23.95"/>
    <n v="32.369999999999997"/>
    <n v="39.479999999999997"/>
    <n v="57.79"/>
    <n v="27.21"/>
    <n v="29.13"/>
  </r>
  <r>
    <x v="21"/>
    <x v="21"/>
    <n v="5.26"/>
    <n v="6.02"/>
    <n v="7.44"/>
    <n v="11.04"/>
    <n v="9.93"/>
    <n v="13.91"/>
    <n v="15.21"/>
    <n v="15.39"/>
    <n v="19.239999999999998"/>
    <n v="26.22"/>
  </r>
  <r>
    <x v="22"/>
    <x v="22"/>
    <n v="6.41"/>
    <n v="9.44"/>
    <n v="9.39"/>
    <n v="9.06"/>
    <n v="5.49"/>
    <n v="9.1199999999999992"/>
    <n v="9.59"/>
    <n v="12.04"/>
    <n v="15.75"/>
    <n v="12.56"/>
  </r>
  <r>
    <x v="23"/>
    <x v="23"/>
    <n v="1.7"/>
    <n v="3.14"/>
    <n v="5.5"/>
    <n v="4.49"/>
    <n v="4.24"/>
    <n v="7.32"/>
    <n v="8.44"/>
    <n v="9.0399999999999991"/>
    <n v="8.3800000000000008"/>
    <n v="12.12"/>
  </r>
  <r>
    <x v="24"/>
    <x v="24"/>
    <n v="11.27"/>
    <n v="5.0999999999999996"/>
    <n v="14.63"/>
    <n v="21.74"/>
    <n v="6.53"/>
    <n v="4.03"/>
    <n v="11.17"/>
    <n v="7.78"/>
    <n v="9.27"/>
    <n v="11.32"/>
  </r>
  <r>
    <x v="25"/>
    <x v="25"/>
    <n v="6.92"/>
    <n v="8.68"/>
    <n v="7.42"/>
    <n v="7.4"/>
    <n v="5.46"/>
    <n v="12.46"/>
    <n v="9.1300000000000008"/>
    <n v="10.36"/>
    <n v="9.84"/>
    <n v="10.23"/>
  </r>
  <r>
    <x v="26"/>
    <x v="26"/>
    <n v="0.35"/>
    <n v="0.48"/>
    <n v="1.17"/>
    <n v="2.67"/>
    <n v="2.35"/>
    <n v="4.18"/>
    <n v="5.24"/>
    <n v="6.08"/>
    <n v="7.16"/>
    <n v="9.3699999999999992"/>
  </r>
  <r>
    <x v="27"/>
    <x v="27"/>
    <n v="3.7"/>
    <n v="4.3499999999999996"/>
    <n v="5.83"/>
    <n v="6.25"/>
    <n v="6.98"/>
    <n v="7.99"/>
    <n v="5.32"/>
    <n v="7.67"/>
    <n v="8.74"/>
    <n v="8.83"/>
  </r>
  <r>
    <x v="28"/>
    <x v="28"/>
    <n v="3.2"/>
    <n v="4.03"/>
    <n v="9.64"/>
    <n v="12.81"/>
    <n v="6.49"/>
    <n v="11.19"/>
    <n v="4.66"/>
    <n v="4.5999999999999996"/>
    <n v="3.16"/>
    <n v="8.3800000000000008"/>
  </r>
  <r>
    <x v="29"/>
    <x v="29"/>
    <n v="11.3"/>
    <n v="14.53"/>
    <n v="15.08"/>
    <n v="10.96"/>
    <n v="5.61"/>
    <n v="5.69"/>
    <n v="7.54"/>
    <n v="10.62"/>
    <n v="5.66"/>
    <n v="8.19"/>
  </r>
  <r>
    <x v="30"/>
    <x v="30"/>
    <n v="1.41"/>
    <n v="0.43"/>
    <n v="7.09"/>
    <n v="13.86"/>
    <n v="8.31"/>
    <n v="10.55"/>
    <n v="4.3"/>
    <n v="4.5599999999999996"/>
    <n v="9.11"/>
    <n v="7.96"/>
  </r>
  <r>
    <x v="31"/>
    <x v="31"/>
    <n v="2.82"/>
    <n v="3.53"/>
    <n v="5.17"/>
    <n v="5.44"/>
    <n v="3.77"/>
    <n v="3.78"/>
    <n v="3.82"/>
    <n v="4.0999999999999996"/>
    <n v="4.0199999999999996"/>
    <n v="6.73"/>
  </r>
  <r>
    <x v="32"/>
    <x v="32"/>
    <n v="3.87"/>
    <n v="3.4"/>
    <n v="2.98"/>
    <n v="1.95"/>
    <n v="1.56"/>
    <n v="2.48"/>
    <n v="4.76"/>
    <n v="5.0199999999999996"/>
    <n v="4.57"/>
    <n v="6.55"/>
  </r>
  <r>
    <x v="33"/>
    <x v="33"/>
    <n v="1.65"/>
    <n v="2.25"/>
    <n v="1.99"/>
    <n v="2"/>
    <n v="0.98"/>
    <n v="2.3199999999999998"/>
    <n v="3.36"/>
    <n v="2"/>
    <n v="2.19"/>
    <n v="2.5299999999999998"/>
  </r>
  <r>
    <x v="34"/>
    <x v="34"/>
    <n v="1.19"/>
    <n v="1.36"/>
    <n v="0.82"/>
    <n v="0.55000000000000004"/>
    <n v="0.37"/>
    <n v="0.74"/>
    <n v="0.49"/>
    <n v="0.3"/>
    <n v="0.39"/>
    <n v="2.29"/>
  </r>
  <r>
    <x v="35"/>
    <x v="35"/>
    <n v="2.54"/>
    <n v="1.28"/>
    <n v="2.78"/>
    <n v="6.28"/>
    <n v="1.95"/>
    <n v="2.41"/>
    <n v="1.84"/>
    <n v="1.08"/>
    <n v="5.62"/>
    <n v="1.46"/>
  </r>
  <r>
    <x v="36"/>
    <x v="36"/>
    <n v="0.15"/>
    <n v="0.16"/>
    <n v="0.7"/>
    <n v="0.38"/>
    <n v="0.09"/>
    <n v="0.32"/>
    <n v="0.27"/>
    <n v="0.37"/>
    <n v="0.69"/>
    <n v="1.4"/>
  </r>
  <r>
    <x v="37"/>
    <x v="37"/>
    <n v="0.63"/>
    <n v="0.44"/>
    <n v="0.28000000000000003"/>
    <n v="0.59"/>
    <n v="1.62"/>
    <n v="0.21"/>
    <n v="0.2"/>
    <n v="0.35"/>
    <n v="1.02"/>
    <n v="0.65"/>
  </r>
  <r>
    <x v="38"/>
    <x v="38"/>
    <n v="0.45"/>
    <n v="0.46"/>
    <n v="0.28000000000000003"/>
    <n v="0.15"/>
    <n v="0.41"/>
    <n v="0.4"/>
    <n v="0.47"/>
    <n v="0.44"/>
    <n v="0.6"/>
    <n v="0.61"/>
  </r>
  <r>
    <x v="39"/>
    <x v="39"/>
    <n v="2.2400000000000002"/>
    <n v="1.95"/>
    <n v="0.42"/>
    <n v="7.23"/>
    <n v="2.2400000000000002"/>
    <n v="0.55000000000000004"/>
    <n v="0.01"/>
    <n v="0.11"/>
    <n v="0.05"/>
    <n v="0.12"/>
  </r>
  <r>
    <x v="40"/>
    <x v="40"/>
    <n v="1"/>
    <n v="0.46"/>
    <n v="0.23"/>
    <n v="0.05"/>
    <n v="0.01"/>
    <n v="0.01"/>
    <n v="0.02"/>
    <n v="0.03"/>
    <n v="0.08"/>
    <n v="0.08"/>
  </r>
  <r>
    <x v="41"/>
    <x v="41"/>
    <n v="0.11"/>
    <n v="0.14000000000000001"/>
    <n v="0.24"/>
    <n v="0.16"/>
    <n v="0.08"/>
    <n v="0.06"/>
    <n v="0.17"/>
    <n v="0.08"/>
    <n v="0.1"/>
    <n v="7.0000000000000007E-2"/>
  </r>
  <r>
    <x v="42"/>
    <x v="42"/>
    <n v="0.03"/>
    <n v="0.06"/>
    <n v="0.02"/>
    <n v="0.08"/>
    <n v="0.02"/>
    <n v="0.03"/>
    <n v="0.02"/>
    <n v="0.03"/>
    <n v="0.04"/>
    <n v="0.05"/>
  </r>
  <r>
    <x v="43"/>
    <x v="43"/>
    <n v="0.1"/>
    <n v="0.05"/>
    <n v="0.06"/>
    <n v="0.17"/>
    <n v="0.1"/>
    <n v="0.18"/>
    <n v="0.21"/>
    <n v="0.14000000000000001"/>
    <n v="0.13"/>
    <n v="0.04"/>
  </r>
  <r>
    <x v="44"/>
    <x v="44"/>
    <n v="0.12"/>
    <n v="0.09"/>
    <n v="0.25"/>
    <n v="0.13"/>
    <n v="0.02"/>
    <n v="0.1"/>
    <n v="0.12"/>
    <n v="0.05"/>
    <n v="0.05"/>
    <n v="0.04"/>
  </r>
  <r>
    <x v="45"/>
    <x v="45"/>
    <n v="0.01"/>
    <n v="0.02"/>
    <n v="0.03"/>
    <n v="0"/>
    <n v="0.03"/>
    <n v="0"/>
    <n v="0.11"/>
    <n v="0.01"/>
    <n v="0.09"/>
    <n v="0.02"/>
  </r>
  <r>
    <x v="46"/>
    <x v="46"/>
    <n v="0"/>
    <n v="0"/>
    <n v="0"/>
    <n v="0"/>
    <n v="0"/>
    <n v="0"/>
    <n v="0"/>
    <n v="0.99"/>
    <n v="0.38"/>
    <n v="0.01"/>
  </r>
  <r>
    <x v="47"/>
    <x v="47"/>
    <n v="0"/>
    <n v="0"/>
    <n v="0"/>
    <n v="0"/>
    <n v="0"/>
    <n v="0"/>
    <n v="0"/>
    <n v="0"/>
    <n v="0"/>
    <n v="0"/>
  </r>
  <r>
    <x v="48"/>
    <x v="48"/>
    <n v="276.67"/>
    <n v="347.51"/>
    <n v="387.45"/>
    <n v="501.82"/>
    <n v="450.49"/>
    <n v="640.76"/>
    <n v="627.88"/>
    <n v="544.52"/>
    <n v="479.81"/>
    <n v="456.61"/>
  </r>
  <r>
    <x v="49"/>
    <x v="49"/>
    <n v="39.61"/>
    <n v="70.430000000000007"/>
    <n v="83.35"/>
    <n v="74.150000000000006"/>
    <n v="63.67"/>
    <n v="91.67"/>
    <n v="123.01"/>
    <n v="98.95"/>
    <n v="93.55"/>
    <n v="123.43"/>
  </r>
  <r>
    <x v="50"/>
    <x v="50"/>
    <n v="41.33"/>
    <n v="47.45"/>
    <n v="46.87"/>
    <n v="44.96"/>
    <n v="36.270000000000003"/>
    <n v="54.13"/>
    <n v="59.83"/>
    <n v="58.41"/>
    <n v="60.31"/>
    <n v="82.06"/>
  </r>
  <r>
    <x v="51"/>
    <x v="51"/>
    <n v="18.45"/>
    <n v="17.8"/>
    <n v="34.25"/>
    <n v="31.03"/>
    <n v="29.24"/>
    <n v="51.89"/>
    <n v="64.680000000000007"/>
    <n v="60.98"/>
    <n v="88.87"/>
    <n v="80.260000000000005"/>
  </r>
  <r>
    <x v="52"/>
    <x v="52"/>
    <n v="45.07"/>
    <n v="48.22"/>
    <n v="41.61"/>
    <n v="43.21"/>
    <n v="43.17"/>
    <n v="55.27"/>
    <n v="64.12"/>
    <n v="82.03"/>
    <n v="66.8"/>
    <n v="67.34"/>
  </r>
  <r>
    <x v="53"/>
    <x v="53"/>
    <n v="23.57"/>
    <n v="24.86"/>
    <n v="34.979999999999997"/>
    <n v="35.340000000000003"/>
    <n v="37.71"/>
    <n v="53.83"/>
    <n v="50.16"/>
    <n v="46.13"/>
    <n v="60.02"/>
    <n v="62.32"/>
  </r>
  <r>
    <x v="54"/>
    <x v="54"/>
    <n v="35.08"/>
    <n v="38.520000000000003"/>
    <n v="47.88"/>
    <n v="38.49"/>
    <n v="35.020000000000003"/>
    <n v="51.92"/>
    <n v="46.73"/>
    <n v="47.18"/>
    <n v="55.64"/>
    <n v="61"/>
  </r>
  <r>
    <x v="55"/>
    <x v="55"/>
    <n v="18.82"/>
    <n v="22.44"/>
    <n v="25.47"/>
    <n v="23.62"/>
    <n v="17.77"/>
    <n v="28.15"/>
    <n v="32.5"/>
    <n v="41.94"/>
    <n v="57.11"/>
    <n v="45.1"/>
  </r>
  <r>
    <x v="56"/>
    <x v="56"/>
    <n v="26.52"/>
    <n v="30.62"/>
    <n v="29.34"/>
    <n v="25.98"/>
    <n v="19.940000000000001"/>
    <n v="26.91"/>
    <n v="26.46"/>
    <n v="25.58"/>
    <n v="28.77"/>
    <n v="36.090000000000003"/>
  </r>
  <r>
    <x v="57"/>
    <x v="57"/>
    <n v="38.22"/>
    <n v="32.57"/>
    <n v="31.2"/>
    <n v="22.77"/>
    <n v="20.2"/>
    <n v="29.82"/>
    <n v="31.14"/>
    <n v="31.16"/>
    <n v="33.33"/>
    <n v="35.979999999999997"/>
  </r>
  <r>
    <x v="58"/>
    <x v="58"/>
    <n v="28.2"/>
    <n v="23.27"/>
    <n v="21.44"/>
    <n v="20.99"/>
    <n v="20.22"/>
    <n v="27.43"/>
    <n v="29.76"/>
    <n v="22.72"/>
    <n v="19.670000000000002"/>
    <n v="21.65"/>
  </r>
  <r>
    <x v="59"/>
    <x v="59"/>
    <n v="7.96"/>
    <n v="12.2"/>
    <n v="12.64"/>
    <n v="14.73"/>
    <n v="14.27"/>
    <n v="25.13"/>
    <n v="27.96"/>
    <n v="28.87"/>
    <n v="24.42"/>
    <n v="20.29"/>
  </r>
  <r>
    <x v="60"/>
    <x v="60"/>
    <n v="12.9"/>
    <n v="13.92"/>
    <n v="9.19"/>
    <n v="8.2200000000000006"/>
    <n v="7.58"/>
    <n v="18.78"/>
    <n v="19.8"/>
    <n v="11.96"/>
    <n v="12.14"/>
    <n v="19.91"/>
  </r>
  <r>
    <x v="61"/>
    <x v="61"/>
    <n v="12.71"/>
    <n v="15.44"/>
    <n v="15.73"/>
    <n v="13.96"/>
    <n v="15.5"/>
    <n v="19.5"/>
    <n v="19.510000000000002"/>
    <n v="16.84"/>
    <n v="16.27"/>
    <n v="15.43"/>
  </r>
  <r>
    <x v="62"/>
    <x v="62"/>
    <n v="11.56"/>
    <n v="12.24"/>
    <n v="13.72"/>
    <n v="13.76"/>
    <n v="8.2100000000000009"/>
    <n v="8.99"/>
    <n v="9.98"/>
    <n v="11.37"/>
    <n v="12.1"/>
    <n v="14.81"/>
  </r>
  <r>
    <x v="63"/>
    <x v="63"/>
    <n v="8.39"/>
    <n v="11.15"/>
    <n v="15.02"/>
    <n v="11.57"/>
    <n v="8.64"/>
    <n v="12.82"/>
    <n v="14.85"/>
    <n v="13.47"/>
    <n v="15.81"/>
    <n v="14.39"/>
  </r>
  <r>
    <x v="64"/>
    <x v="64"/>
    <n v="8.7899999999999991"/>
    <n v="10.88"/>
    <n v="12.45"/>
    <n v="10.62"/>
    <n v="8.6300000000000008"/>
    <n v="12.91"/>
    <n v="12.27"/>
    <n v="12.16"/>
    <n v="10.53"/>
    <n v="11.17"/>
  </r>
  <r>
    <x v="65"/>
    <x v="65"/>
    <n v="6.82"/>
    <n v="6.32"/>
    <n v="8.17"/>
    <n v="8.86"/>
    <n v="5.01"/>
    <n v="7.33"/>
    <n v="9.4"/>
    <n v="8.69"/>
    <n v="12.17"/>
    <n v="10.24"/>
  </r>
  <r>
    <x v="66"/>
    <x v="66"/>
    <n v="1.4"/>
    <n v="1"/>
    <n v="2.8"/>
    <n v="0.63"/>
    <n v="1.52"/>
    <n v="2"/>
    <n v="3.03"/>
    <n v="2.36"/>
    <n v="3.52"/>
    <n v="2.97"/>
  </r>
  <r>
    <x v="67"/>
    <x v="67"/>
    <n v="1.88"/>
    <n v="0.73"/>
    <n v="1.53"/>
    <n v="1.07"/>
    <n v="0.41"/>
    <n v="0.52"/>
    <n v="1.28"/>
    <n v="1.75"/>
    <n v="1.61"/>
    <n v="2.1800000000000002"/>
  </r>
  <r>
    <x v="68"/>
    <x v="68"/>
    <n v="0.49"/>
    <n v="0.28000000000000003"/>
    <n v="0.2"/>
    <n v="0.11"/>
    <n v="0.16"/>
    <n v="0.2"/>
    <n v="0.56000000000000005"/>
    <n v="1.35"/>
    <n v="1.23"/>
    <n v="0.84"/>
  </r>
  <r>
    <x v="69"/>
    <x v="69"/>
    <n v="0.21"/>
    <n v="0.33"/>
    <n v="0.67"/>
    <n v="0.31"/>
    <n v="0.09"/>
    <n v="0.06"/>
    <n v="0.13"/>
    <n v="0.19"/>
    <n v="0.25"/>
    <n v="0.43"/>
  </r>
  <r>
    <x v="70"/>
    <x v="70"/>
    <n v="0.11"/>
    <n v="0.26"/>
    <n v="0.15"/>
    <n v="0.16"/>
    <n v="0.11"/>
    <n v="0.1"/>
    <n v="0.23"/>
    <n v="0.3"/>
    <n v="0.13"/>
    <n v="0.23"/>
  </r>
  <r>
    <x v="71"/>
    <x v="71"/>
    <n v="0.05"/>
    <n v="0.05"/>
    <n v="0.09"/>
    <n v="0.45"/>
    <n v="0.32"/>
    <n v="0.25"/>
    <n v="0.21"/>
    <n v="0.03"/>
    <n v="0.01"/>
    <n v="0.06"/>
  </r>
  <r>
    <x v="72"/>
    <x v="72"/>
    <n v="0.04"/>
    <n v="0.06"/>
    <n v="0.03"/>
    <n v="0.32"/>
    <n v="0.06"/>
    <n v="0.01"/>
    <n v="0.04"/>
    <n v="0.06"/>
    <n v="0.12"/>
    <n v="0.05"/>
  </r>
  <r>
    <x v="73"/>
    <x v="73"/>
    <n v="0.05"/>
    <n v="0.23"/>
    <n v="0.11"/>
    <n v="0"/>
    <n v="0"/>
    <n v="0"/>
    <n v="0"/>
    <n v="0.01"/>
    <n v="0"/>
    <n v="0.02"/>
  </r>
  <r>
    <x v="74"/>
    <x v="74"/>
    <n v="18.739999999999998"/>
    <n v="18.13"/>
    <n v="27.19"/>
    <n v="21.16"/>
    <n v="15.13"/>
    <n v="19.010000000000002"/>
    <n v="18.149999999999999"/>
    <n v="17.36"/>
    <n v="18.690000000000001"/>
    <n v="22.84"/>
  </r>
  <r>
    <x v="75"/>
    <x v="75"/>
    <n v="13.4"/>
    <n v="14.16"/>
    <n v="20.350000000000001"/>
    <n v="16.03"/>
    <n v="13.03"/>
    <n v="18.54"/>
    <n v="17.13"/>
    <n v="18.5"/>
    <n v="18.98"/>
    <n v="18.350000000000001"/>
  </r>
  <r>
    <x v="76"/>
    <x v="76"/>
    <n v="3.57"/>
    <n v="11.68"/>
    <n v="7.15"/>
    <n v="11.39"/>
    <n v="5.51"/>
    <n v="15.26"/>
    <n v="3.76"/>
    <n v="6.37"/>
    <n v="10.75"/>
    <n v="11.09"/>
  </r>
  <r>
    <x v="77"/>
    <x v="77"/>
    <n v="3.72"/>
    <n v="2.73"/>
    <n v="5.01"/>
    <n v="3.61"/>
    <n v="1.44"/>
    <n v="3.77"/>
    <n v="4.51"/>
    <n v="6.82"/>
    <n v="7.96"/>
    <n v="8.76"/>
  </r>
  <r>
    <x v="78"/>
    <x v="78"/>
    <n v="1.55"/>
    <n v="1.69"/>
    <n v="2.14"/>
    <n v="2.37"/>
    <n v="1.61"/>
    <n v="3.12"/>
    <n v="2.82"/>
    <n v="2.73"/>
    <n v="2.75"/>
    <n v="4.28"/>
  </r>
  <r>
    <x v="79"/>
    <x v="79"/>
    <n v="0.64"/>
    <n v="0.89"/>
    <n v="0.96"/>
    <n v="1.1299999999999999"/>
    <n v="1.44"/>
    <n v="2.0099999999999998"/>
    <n v="1.46"/>
    <n v="1.88"/>
    <n v="1.4"/>
    <n v="1.72"/>
  </r>
  <r>
    <x v="80"/>
    <x v="80"/>
    <n v="0.2"/>
    <n v="0.15"/>
    <n v="0.59"/>
    <n v="0.38"/>
    <n v="0.28000000000000003"/>
    <n v="0.3"/>
    <n v="0.21"/>
    <n v="0.24"/>
    <n v="0.24"/>
    <n v="0.15"/>
  </r>
  <r>
    <x v="81"/>
    <x v="81"/>
    <n v="0"/>
    <n v="0.02"/>
    <n v="0.08"/>
    <n v="0.04"/>
    <n v="0"/>
    <n v="0.02"/>
    <n v="0.05"/>
    <n v="0.15"/>
    <n v="0"/>
    <n v="0.11"/>
  </r>
  <r>
    <x v="82"/>
    <x v="82"/>
    <n v="0.03"/>
    <n v="0.02"/>
    <n v="0.15"/>
    <s v="≈ 0"/>
    <n v="0"/>
    <n v="0"/>
    <n v="0"/>
    <n v="0"/>
    <n v="0.03"/>
    <n v="0.1"/>
  </r>
  <r>
    <x v="83"/>
    <x v="83"/>
    <n v="0.05"/>
    <n v="0.02"/>
    <n v="0.01"/>
    <n v="0.01"/>
    <n v="0.01"/>
    <n v="0"/>
    <n v="0"/>
    <n v="0"/>
    <n v="0"/>
    <n v="0"/>
  </r>
  <r>
    <x v="84"/>
    <x v="84"/>
    <n v="0"/>
    <n v="0"/>
    <n v="0"/>
    <s v="≈ 0"/>
    <s v="≈ 0"/>
    <n v="0"/>
    <n v="0"/>
    <s v="≈ 0"/>
    <n v="0"/>
    <n v="0"/>
  </r>
  <r>
    <x v="85"/>
    <x v="85"/>
    <n v="0.17"/>
    <n v="0.25"/>
    <n v="0"/>
    <n v="0"/>
    <n v="0"/>
    <n v="0.01"/>
    <n v="0"/>
    <n v="0.01"/>
    <n v="0"/>
    <n v="0"/>
  </r>
  <r>
    <x v="86"/>
    <x v="86"/>
    <n v="0.02"/>
    <n v="0"/>
    <n v="0"/>
    <s v="≈ 0"/>
    <n v="0"/>
    <n v="0"/>
    <n v="0"/>
    <s v="≈ 0"/>
    <n v="0"/>
    <n v="0"/>
  </r>
  <r>
    <x v="87"/>
    <x v="87"/>
    <n v="0"/>
    <n v="0.05"/>
    <n v="0"/>
    <n v="0"/>
    <n v="0"/>
    <n v="0"/>
    <n v="0"/>
    <n v="0"/>
    <n v="0"/>
    <n v="0"/>
  </r>
  <r>
    <x v="88"/>
    <x v="88"/>
    <n v="3.46"/>
    <n v="9.1999999999999993"/>
    <n v="12.48"/>
    <n v="7.15"/>
    <n v="8.09"/>
    <n v="13.29"/>
    <n v="11.02"/>
    <n v="20.88"/>
    <n v="16.989999999999998"/>
    <n v="21.44"/>
  </r>
  <r>
    <x v="89"/>
    <x v="89"/>
    <n v="4.3099999999999996"/>
    <n v="3.68"/>
    <n v="6.47"/>
    <n v="8.17"/>
    <n v="8.7100000000000009"/>
    <n v="12.58"/>
    <n v="12.66"/>
    <n v="11.78"/>
    <n v="11.76"/>
    <n v="11.41"/>
  </r>
  <r>
    <x v="90"/>
    <x v="90"/>
    <n v="1.89"/>
    <n v="4.25"/>
    <n v="1.38"/>
    <n v="1.3"/>
    <n v="1.94"/>
    <n v="2.88"/>
    <n v="1.43"/>
    <n v="7.39"/>
    <n v="15.09"/>
    <n v="9.3000000000000007"/>
  </r>
  <r>
    <x v="91"/>
    <x v="91"/>
    <n v="3.6"/>
    <n v="1.96"/>
    <n v="2.69"/>
    <n v="2.64"/>
    <n v="1.59"/>
    <n v="2.36"/>
    <n v="2.3199999999999998"/>
    <n v="1.31"/>
    <n v="2.3199999999999998"/>
    <n v="2.11"/>
  </r>
  <r>
    <x v="92"/>
    <x v="92"/>
    <n v="0.13"/>
    <n v="0.21"/>
    <n v="0.36"/>
    <n v="0.33"/>
    <n v="0.25"/>
    <n v="0.32"/>
    <n v="0.44"/>
    <n v="0.54"/>
    <n v="0.43"/>
    <n v="0.52"/>
  </r>
  <r>
    <x v="93"/>
    <x v="93"/>
    <n v="0.21"/>
    <n v="0.11"/>
    <n v="0.21"/>
    <n v="0.35"/>
    <n v="0.31"/>
    <n v="0.54"/>
    <n v="0.27"/>
    <n v="0.16"/>
    <n v="0.18"/>
    <n v="0.14000000000000001"/>
  </r>
  <r>
    <x v="94"/>
    <x v="94"/>
    <n v="0.04"/>
    <n v="0.02"/>
    <n v="0.03"/>
    <n v="0.04"/>
    <n v="0.02"/>
    <n v="0.11"/>
    <n v="0.04"/>
    <n v="0.04"/>
    <n v="7.0000000000000007E-2"/>
    <n v="7.0000000000000007E-2"/>
  </r>
  <r>
    <x v="95"/>
    <x v="95"/>
    <n v="0"/>
    <n v="0.14000000000000001"/>
    <n v="0.36"/>
    <n v="0.28000000000000003"/>
    <n v="0.01"/>
    <n v="0.01"/>
    <s v="≈ 0"/>
    <n v="0.01"/>
    <n v="0"/>
    <n v="0.03"/>
  </r>
  <r>
    <x v="96"/>
    <x v="96"/>
    <n v="0.01"/>
    <n v="0.02"/>
    <n v="0.02"/>
    <n v="0.04"/>
    <n v="0.05"/>
    <n v="0.09"/>
    <n v="0.06"/>
    <n v="0.03"/>
    <n v="0.04"/>
    <n v="0.03"/>
  </r>
  <r>
    <x v="97"/>
    <x v="97"/>
    <n v="0"/>
    <n v="0"/>
    <n v="0"/>
    <n v="0.01"/>
    <n v="0"/>
    <n v="0.03"/>
    <n v="0.03"/>
    <n v="0.06"/>
    <n v="0.02"/>
    <n v="0.01"/>
  </r>
  <r>
    <x v="98"/>
    <x v="98"/>
    <n v="0.56000000000000005"/>
    <n v="0.02"/>
    <n v="0"/>
    <n v="1.17"/>
    <n v="0.01"/>
    <n v="0"/>
    <n v="0"/>
    <n v="0"/>
    <n v="0"/>
    <n v="0.01"/>
  </r>
  <r>
    <x v="99"/>
    <x v="99"/>
    <n v="0.01"/>
    <n v="0"/>
    <n v="0"/>
    <s v="≈ 0"/>
    <n v="0"/>
    <s v="≈ 0"/>
    <n v="0"/>
    <s v="≈ 0"/>
    <n v="0"/>
    <n v="0"/>
  </r>
  <r>
    <x v="100"/>
    <x v="100"/>
    <n v="0"/>
    <n v="0.03"/>
    <n v="0.09"/>
    <n v="0.01"/>
    <s v="≈ 0"/>
    <n v="0"/>
    <n v="0"/>
    <n v="0"/>
    <n v="0"/>
    <n v="0"/>
  </r>
  <r>
    <x v="101"/>
    <x v="101"/>
    <n v="0.02"/>
    <n v="0"/>
    <n v="0"/>
    <n v="0"/>
    <n v="0"/>
    <n v="0"/>
    <n v="0"/>
    <n v="0"/>
    <n v="0"/>
    <n v="0"/>
  </r>
  <r>
    <x v="102"/>
    <x v="102"/>
    <n v="113.57"/>
    <n v="117.43"/>
    <n v="132.84"/>
    <n v="101.88"/>
    <n v="72.63"/>
    <n v="108.66"/>
    <n v="106.46"/>
    <n v="129.47"/>
    <n v="126.9"/>
    <n v="149.87"/>
  </r>
  <r>
    <x v="103"/>
    <x v="103"/>
    <n v="50.07"/>
    <n v="25.71"/>
    <n v="59.5"/>
    <n v="84.44"/>
    <n v="25.54"/>
    <n v="56.81"/>
    <n v="27.73"/>
    <n v="93.62"/>
    <n v="46.06"/>
    <n v="91.28"/>
  </r>
  <r>
    <x v="104"/>
    <x v="104"/>
    <n v="69.650000000000006"/>
    <n v="64.56"/>
    <n v="59.45"/>
    <n v="65.709999999999994"/>
    <n v="40.450000000000003"/>
    <n v="55.75"/>
    <n v="53.83"/>
    <n v="60.07"/>
    <n v="62.97"/>
    <n v="79.33"/>
  </r>
  <r>
    <x v="105"/>
    <x v="105"/>
    <n v="61.05"/>
    <n v="28.89"/>
    <n v="67.03"/>
    <n v="57.11"/>
    <n v="32.33"/>
    <n v="18.18"/>
    <n v="39.03"/>
    <n v="23.76"/>
    <n v="46.27"/>
    <n v="26.71"/>
  </r>
  <r>
    <x v="106"/>
    <x v="106"/>
    <n v="8.3800000000000008"/>
    <n v="10.37"/>
    <n v="13.63"/>
    <n v="11.21"/>
    <n v="7.98"/>
    <n v="10.59"/>
    <n v="11.38"/>
    <n v="13.39"/>
    <n v="11.34"/>
    <n v="14.93"/>
  </r>
  <r>
    <x v="107"/>
    <x v="107"/>
    <n v="14.32"/>
    <n v="15.14"/>
    <n v="15.84"/>
    <n v="13.38"/>
    <n v="11.05"/>
    <n v="13.72"/>
    <n v="12.57"/>
    <n v="13.42"/>
    <n v="15.07"/>
    <n v="14.46"/>
  </r>
  <r>
    <x v="108"/>
    <x v="108"/>
    <n v="5.75"/>
    <n v="6.1"/>
    <n v="7.5"/>
    <n v="6.49"/>
    <n v="6.79"/>
    <n v="6.85"/>
    <n v="8.01"/>
    <n v="10.09"/>
    <n v="8.98"/>
    <n v="12.3"/>
  </r>
  <r>
    <x v="109"/>
    <x v="109"/>
    <n v="7.08"/>
    <n v="7.08"/>
    <n v="4.57"/>
    <n v="2.6"/>
    <n v="16.63"/>
    <n v="65.62"/>
    <n v="20.57"/>
    <n v="32.69"/>
    <n v="16.28"/>
    <n v="7.34"/>
  </r>
  <r>
    <x v="110"/>
    <x v="110"/>
    <n v="17.57"/>
    <n v="16.329999999999998"/>
    <n v="16.82"/>
    <n v="12.36"/>
    <n v="7.37"/>
    <n v="10.06"/>
    <n v="7.92"/>
    <n v="7.89"/>
    <n v="7.8"/>
    <n v="6.06"/>
  </r>
  <r>
    <x v="111"/>
    <x v="111"/>
    <n v="10.71"/>
    <n v="8.09"/>
    <n v="5.01"/>
    <n v="5.16"/>
    <n v="1.1399999999999999"/>
    <n v="1.28"/>
    <n v="2.11"/>
    <n v="2.36"/>
    <n v="2.48"/>
    <n v="4.6100000000000003"/>
  </r>
  <r>
    <x v="112"/>
    <x v="112"/>
    <n v="5.08"/>
    <n v="5.84"/>
    <n v="5.34"/>
    <n v="4.6100000000000003"/>
    <n v="3.09"/>
    <n v="3.9"/>
    <n v="3.17"/>
    <n v="3.34"/>
    <n v="3.53"/>
    <n v="4.17"/>
  </r>
  <r>
    <x v="113"/>
    <x v="113"/>
    <n v="3.34"/>
    <n v="4.38"/>
    <n v="3.93"/>
    <n v="3.16"/>
    <n v="1.77"/>
    <n v="2.75"/>
    <n v="2.39"/>
    <n v="3.09"/>
    <n v="3.91"/>
    <n v="2.62"/>
  </r>
  <r>
    <x v="114"/>
    <x v="114"/>
    <n v="2.42"/>
    <n v="2.17"/>
    <n v="1.22"/>
    <n v="1"/>
    <n v="0.78"/>
    <n v="2.13"/>
    <n v="1.68"/>
    <n v="1.6"/>
    <n v="0.79"/>
    <n v="1.1399999999999999"/>
  </r>
  <r>
    <x v="115"/>
    <x v="115"/>
    <n v="1.3"/>
    <n v="1.48"/>
    <n v="1.62"/>
    <n v="1.66"/>
    <n v="0.74"/>
    <n v="0.98"/>
    <n v="1.1200000000000001"/>
    <n v="1.28"/>
    <n v="1.1499999999999999"/>
    <n v="1.01"/>
  </r>
  <r>
    <x v="116"/>
    <x v="116"/>
    <n v="1.6"/>
    <n v="1.18"/>
    <n v="0.95"/>
    <n v="0.8"/>
    <n v="0.41"/>
    <n v="0.25"/>
    <n v="0.22"/>
    <n v="0.26"/>
    <n v="0.37"/>
    <n v="0.43"/>
  </r>
  <r>
    <x v="117"/>
    <x v="117"/>
    <n v="0.1"/>
    <n v="0.16"/>
    <n v="0.09"/>
    <n v="0.56999999999999995"/>
    <n v="0.27"/>
    <n v="0.4"/>
    <n v="0.37"/>
    <n v="0.26"/>
    <n v="1.55"/>
    <n v="0.42"/>
  </r>
  <r>
    <x v="118"/>
    <x v="118"/>
    <n v="0.03"/>
    <n v="0.06"/>
    <n v="0.09"/>
    <n v="0.14000000000000001"/>
    <n v="0.16"/>
    <n v="0.64"/>
    <n v="0.32"/>
    <n v="0.25"/>
    <n v="0.28999999999999998"/>
    <n v="0.27"/>
  </r>
  <r>
    <x v="119"/>
    <x v="119"/>
    <n v="0.01"/>
    <n v="0.01"/>
    <n v="0.01"/>
    <n v="0.03"/>
    <n v="0.02"/>
    <s v="≈ 0"/>
    <n v="0"/>
    <n v="0.01"/>
    <n v="0"/>
    <n v="0.16"/>
  </r>
  <r>
    <x v="120"/>
    <x v="120"/>
    <n v="7.0000000000000007E-2"/>
    <n v="0.13"/>
    <n v="0.23"/>
    <n v="0.11"/>
    <n v="0.05"/>
    <n v="0.06"/>
    <n v="0.12"/>
    <n v="0.08"/>
    <n v="0.12"/>
    <n v="0.06"/>
  </r>
  <r>
    <x v="121"/>
    <x v="121"/>
    <n v="0.57999999999999996"/>
    <n v="0.5"/>
    <n v="0.13"/>
    <n v="0.18"/>
    <n v="0.09"/>
    <n v="0.09"/>
    <n v="0.09"/>
    <n v="0.18"/>
    <n v="0.04"/>
    <n v="0.05"/>
  </r>
  <r>
    <x v="122"/>
    <x v="122"/>
    <n v="0.02"/>
    <n v="0.03"/>
    <n v="0.03"/>
    <n v="0.04"/>
    <n v="0.05"/>
    <n v="0.1"/>
    <n v="0.16"/>
    <n v="0.02"/>
    <n v="0.01"/>
    <n v="0.03"/>
  </r>
  <r>
    <x v="123"/>
    <x v="123"/>
    <n v="0.04"/>
    <n v="0.02"/>
    <n v="0.22"/>
    <n v="0.05"/>
    <n v="0.03"/>
    <n v="0.06"/>
    <n v="0.02"/>
    <n v="0.04"/>
    <n v="0.05"/>
    <n v="0.03"/>
  </r>
  <r>
    <x v="124"/>
    <x v="124"/>
    <n v="0.01"/>
    <n v="0.04"/>
    <n v="0.01"/>
    <n v="0.03"/>
    <n v="0.02"/>
    <n v="0.01"/>
    <n v="0"/>
    <n v="0"/>
    <n v="0.01"/>
    <n v="0"/>
  </r>
  <r>
    <x v="125"/>
    <x v="125"/>
    <n v="0.14000000000000001"/>
    <n v="0.06"/>
    <n v="0.08"/>
    <n v="0.69"/>
    <n v="0.08"/>
    <n v="0.14000000000000001"/>
    <n v="0.17"/>
    <n v="0.09"/>
    <n v="0"/>
    <n v="0"/>
  </r>
  <r>
    <x v="126"/>
    <x v="126"/>
    <n v="0.21"/>
    <n v="0.15"/>
    <n v="0.04"/>
    <n v="0.54"/>
    <n v="0.09"/>
    <n v="0"/>
    <n v="0.17"/>
    <n v="0.33"/>
    <n v="7.0000000000000007E-2"/>
    <n v="0"/>
  </r>
  <r>
    <x v="127"/>
    <x v="127"/>
    <n v="0"/>
    <n v="0"/>
    <n v="0"/>
    <n v="0"/>
    <n v="0"/>
    <n v="0"/>
    <n v="0"/>
    <n v="0.01"/>
    <n v="0"/>
    <n v="0"/>
  </r>
  <r>
    <x v="128"/>
    <x v="128"/>
    <n v="27.33"/>
    <n v="121.33"/>
    <n v="376.31"/>
    <n v="676.63"/>
    <n v="758.82"/>
    <n v="1103.99"/>
    <n v="942.91"/>
    <n v="1908.09"/>
    <n v="1994.98"/>
    <n v="1970.11"/>
  </r>
  <r>
    <x v="129"/>
    <x v="129"/>
    <n v="13.05"/>
    <n v="19.010000000000002"/>
    <n v="45.25"/>
    <n v="54.72"/>
    <n v="77.69"/>
    <n v="94.01"/>
    <n v="85.6"/>
    <n v="174.75"/>
    <n v="102.64"/>
    <n v="108.77"/>
  </r>
  <r>
    <x v="130"/>
    <x v="130"/>
    <n v="6.47"/>
    <n v="8.57"/>
    <n v="9.5500000000000007"/>
    <n v="9.0399999999999991"/>
    <n v="7.92"/>
    <n v="15.65"/>
    <n v="17.329999999999998"/>
    <n v="16.86"/>
    <n v="24.47"/>
    <n v="25.64"/>
  </r>
  <r>
    <x v="131"/>
    <x v="131"/>
    <n v="8.2899999999999991"/>
    <n v="9.3699999999999992"/>
    <n v="15.32"/>
    <n v="13.91"/>
    <n v="7.79"/>
    <n v="14"/>
    <n v="12.89"/>
    <n v="11.4"/>
    <n v="11.45"/>
    <n v="14.47"/>
  </r>
  <r>
    <x v="132"/>
    <x v="132"/>
    <n v="9.39"/>
    <n v="20.38"/>
    <n v="14.16"/>
    <n v="13.05"/>
    <n v="8.9"/>
    <n v="17.45"/>
    <n v="24.97"/>
    <n v="19.95"/>
    <n v="13.3"/>
    <n v="14.08"/>
  </r>
  <r>
    <x v="133"/>
    <x v="133"/>
    <n v="0.09"/>
    <n v="0"/>
    <n v="0.12"/>
    <n v="4.5199999999999996"/>
    <n v="7.05"/>
    <n v="4.91"/>
    <n v="0.79"/>
    <n v="1.1000000000000001"/>
    <n v="2.06"/>
    <n v="5.12"/>
  </r>
  <r>
    <x v="134"/>
    <x v="134"/>
    <n v="0"/>
    <n v="0.3"/>
    <n v="0.56999999999999995"/>
    <n v="0.56000000000000005"/>
    <n v="0.42"/>
    <n v="0.13"/>
    <n v="7.0000000000000007E-2"/>
    <n v="0"/>
    <n v="0.02"/>
    <n v="4.51"/>
  </r>
  <r>
    <x v="135"/>
    <x v="135"/>
    <n v="0.74"/>
    <n v="1.06"/>
    <n v="1.19"/>
    <n v="0.62"/>
    <n v="0.89"/>
    <n v="1.18"/>
    <n v="1.1599999999999999"/>
    <n v="1.61"/>
    <n v="2.2000000000000002"/>
    <n v="3.67"/>
  </r>
  <r>
    <x v="136"/>
    <x v="136"/>
    <n v="1.0900000000000001"/>
    <n v="1.2"/>
    <n v="1.47"/>
    <n v="1.46"/>
    <n v="1.28"/>
    <n v="1.9"/>
    <n v="1.89"/>
    <n v="2.48"/>
    <n v="2.2799999999999998"/>
    <n v="2.3199999999999998"/>
  </r>
  <r>
    <x v="137"/>
    <x v="137"/>
    <n v="0.75"/>
    <n v="0.89"/>
    <n v="1.19"/>
    <n v="1.25"/>
    <n v="0.85"/>
    <n v="1.17"/>
    <n v="1.08"/>
    <n v="1.25"/>
    <n v="1.6"/>
    <n v="1.76"/>
  </r>
  <r>
    <x v="138"/>
    <x v="138"/>
    <n v="3.01"/>
    <n v="1.84"/>
    <n v="2.29"/>
    <n v="2.69"/>
    <n v="2.5099999999999998"/>
    <n v="2.4700000000000002"/>
    <n v="1.81"/>
    <n v="0.8"/>
    <n v="14.35"/>
    <n v="1.37"/>
  </r>
  <r>
    <x v="139"/>
    <x v="139"/>
    <n v="0.02"/>
    <n v="0.05"/>
    <n v="0.12"/>
    <n v="0.04"/>
    <n v="0.11"/>
    <n v="0.15"/>
    <n v="0.17"/>
    <n v="0.12"/>
    <n v="0.1"/>
    <n v="1.18"/>
  </r>
  <r>
    <x v="140"/>
    <x v="140"/>
    <n v="0.13"/>
    <n v="0.12"/>
    <n v="0.09"/>
    <n v="7.0000000000000007E-2"/>
    <n v="0.08"/>
    <n v="0.13"/>
    <n v="0.11"/>
    <n v="0.17"/>
    <n v="0.48"/>
    <n v="0.74"/>
  </r>
  <r>
    <x v="141"/>
    <x v="141"/>
    <n v="0.05"/>
    <n v="0.02"/>
    <n v="0.04"/>
    <n v="0.02"/>
    <n v="0.03"/>
    <n v="0.04"/>
    <n v="0.06"/>
    <n v="0.02"/>
    <n v="0.05"/>
    <n v="0.05"/>
  </r>
  <r>
    <x v="142"/>
    <x v="142"/>
    <n v="0"/>
    <n v="0"/>
    <n v="0"/>
    <n v="0"/>
    <n v="0"/>
    <n v="0"/>
    <n v="0"/>
    <n v="0"/>
    <n v="0"/>
    <n v="0.01"/>
  </r>
  <r>
    <x v="143"/>
    <x v="143"/>
    <n v="0"/>
    <n v="0"/>
    <n v="0"/>
    <n v="0"/>
    <n v="0"/>
    <n v="0.01"/>
    <n v="0.01"/>
    <n v="0"/>
    <n v="0.01"/>
    <n v="0.01"/>
  </r>
  <r>
    <x v="144"/>
    <x v="144"/>
    <n v="0.86"/>
    <n v="1.1000000000000001"/>
    <n v="4.2300000000000004"/>
    <n v="8.56"/>
    <n v="10.14"/>
    <n v="11.18"/>
    <n v="6.83"/>
    <n v="11.02"/>
    <n v="8.1199999999999992"/>
    <n v="28.47"/>
  </r>
  <r>
    <x v="145"/>
    <x v="145"/>
    <n v="7.92"/>
    <n v="5.33"/>
    <n v="6.41"/>
    <n v="6.77"/>
    <n v="3.52"/>
    <n v="5.64"/>
    <n v="8.3699999999999992"/>
    <n v="6.51"/>
    <n v="9.16"/>
    <n v="8.1300000000000008"/>
  </r>
  <r>
    <x v="146"/>
    <x v="146"/>
    <n v="5.86"/>
    <n v="4.54"/>
    <n v="8.2899999999999991"/>
    <n v="14.29"/>
    <n v="10.45"/>
    <n v="9.4600000000000009"/>
    <n v="18.03"/>
    <n v="12.68"/>
    <n v="9.4600000000000009"/>
    <n v="7.69"/>
  </r>
  <r>
    <x v="147"/>
    <x v="147"/>
    <n v="2.36"/>
    <n v="2.4900000000000002"/>
    <n v="2.12"/>
    <n v="1.32"/>
    <n v="0.73"/>
    <n v="0.97"/>
    <n v="1.18"/>
    <n v="1.29"/>
    <n v="1.47"/>
    <n v="1.78"/>
  </r>
  <r>
    <x v="148"/>
    <x v="148"/>
    <n v="2.82"/>
    <n v="2.11"/>
    <n v="3.56"/>
    <n v="4.09"/>
    <n v="2.41"/>
    <n v="2.08"/>
    <n v="1.91"/>
    <n v="1.57"/>
    <n v="1.28"/>
    <n v="1.56"/>
  </r>
  <r>
    <x v="149"/>
    <x v="149"/>
    <n v="0.08"/>
    <n v="0.09"/>
    <n v="0.11"/>
    <n v="0.2"/>
    <n v="0.1"/>
    <n v="0.17"/>
    <n v="0.42"/>
    <n v="0.2"/>
    <n v="0.3"/>
    <n v="1.07"/>
  </r>
  <r>
    <x v="150"/>
    <x v="150"/>
    <n v="1.18"/>
    <n v="0.88"/>
    <n v="1.18"/>
    <n v="1.51"/>
    <n v="0.39"/>
    <n v="0.82"/>
    <n v="0.78"/>
    <n v="0.87"/>
    <n v="1.06"/>
    <n v="0.87"/>
  </r>
  <r>
    <x v="151"/>
    <x v="151"/>
    <n v="5.03"/>
    <n v="1.57"/>
    <n v="0.73"/>
    <n v="0.23"/>
    <n v="7.0000000000000007E-2"/>
    <n v="0.28000000000000003"/>
    <n v="0.41"/>
    <n v="0.41"/>
    <n v="0.4"/>
    <n v="0.64"/>
  </r>
  <r>
    <x v="152"/>
    <x v="152"/>
    <n v="0.06"/>
    <n v="0.1"/>
    <n v="0.17"/>
    <n v="0.17"/>
    <n v="0.3"/>
    <n v="0.48"/>
    <n v="0.56999999999999995"/>
    <n v="0.47"/>
    <n v="0.52"/>
    <n v="0.61"/>
  </r>
  <r>
    <x v="153"/>
    <x v="153"/>
    <n v="7.0000000000000007E-2"/>
    <n v="0.02"/>
    <n v="0.09"/>
    <n v="0.06"/>
    <n v="0.04"/>
    <n v="0.24"/>
    <n v="0.14000000000000001"/>
    <n v="0.17"/>
    <n v="0.15"/>
    <n v="0.22"/>
  </r>
  <r>
    <x v="154"/>
    <x v="154"/>
    <n v="0.06"/>
    <n v="0.19"/>
    <n v="0.16"/>
    <n v="0.04"/>
    <n v="0.04"/>
    <n v="0.24"/>
    <n v="0.23"/>
    <n v="0.18"/>
    <n v="0.23"/>
    <n v="0.09"/>
  </r>
  <r>
    <x v="155"/>
    <x v="155"/>
    <n v="1.1200000000000001"/>
    <n v="0.71"/>
    <n v="2.09"/>
    <n v="3.02"/>
    <n v="0.88"/>
    <n v="0.91"/>
    <n v="0.78"/>
    <n v="0.24"/>
    <n v="0.28000000000000003"/>
    <n v="0.06"/>
  </r>
  <r>
    <x v="156"/>
    <x v="156"/>
    <n v="0"/>
    <n v="0.01"/>
    <n v="0.04"/>
    <n v="0.02"/>
    <n v="0"/>
    <n v="0"/>
    <n v="0.01"/>
    <n v="0.02"/>
    <n v="0.01"/>
    <n v="0.01"/>
  </r>
  <r>
    <x v="157"/>
    <x v="157"/>
    <n v="0"/>
    <n v="0"/>
    <n v="0"/>
    <n v="0"/>
    <n v="0"/>
    <n v="0"/>
    <n v="0"/>
    <n v="0"/>
    <n v="0"/>
    <n v="0"/>
  </r>
  <r>
    <x v="158"/>
    <x v="158"/>
    <n v="0"/>
    <n v="0"/>
    <n v="0"/>
    <n v="0"/>
    <n v="0"/>
    <n v="0"/>
    <n v="0"/>
    <n v="0"/>
    <n v="0.01"/>
    <n v="0"/>
  </r>
  <r>
    <x v="159"/>
    <x v="159"/>
    <n v="1.4"/>
    <n v="1.3"/>
    <n v="0"/>
    <n v="0"/>
    <n v="0.09"/>
    <n v="0.77"/>
    <n v="0.82"/>
    <n v="0.01"/>
    <n v="0"/>
    <n v="0"/>
  </r>
  <r>
    <x v="160"/>
    <x v="160"/>
    <n v="7.92"/>
    <n v="5.54"/>
    <n v="7.37"/>
    <n v="6.2"/>
    <n v="5.92"/>
    <n v="7.9"/>
    <n v="7.82"/>
    <n v="9.06"/>
    <n v="8.9700000000000006"/>
    <n v="10.47"/>
  </r>
  <r>
    <x v="161"/>
    <x v="161"/>
    <n v="6.52"/>
    <n v="9.98"/>
    <n v="8"/>
    <n v="7.23"/>
    <n v="7.36"/>
    <n v="10.71"/>
    <n v="8.0299999999999994"/>
    <n v="5.46"/>
    <n v="6.07"/>
    <n v="6.75"/>
  </r>
  <r>
    <x v="162"/>
    <x v="162"/>
    <n v="3.96"/>
    <n v="3.5"/>
    <n v="4.05"/>
    <n v="4.18"/>
    <n v="4.21"/>
    <n v="3.8"/>
    <n v="3.96"/>
    <n v="4.51"/>
    <n v="5.37"/>
    <n v="6.68"/>
  </r>
  <r>
    <x v="163"/>
    <x v="163"/>
    <n v="1.79"/>
    <n v="2.14"/>
    <n v="0.78"/>
    <n v="0.7"/>
    <n v="1.27"/>
    <n v="0.87"/>
    <n v="0.88"/>
    <n v="0.79"/>
    <n v="1.31"/>
    <n v="0.64"/>
  </r>
  <r>
    <x v="164"/>
    <x v="164"/>
    <n v="0.42"/>
    <n v="0.47"/>
    <n v="0.55000000000000004"/>
    <n v="0.44"/>
    <n v="0.31"/>
    <n v="0.41"/>
    <n v="0.26"/>
    <n v="0.42"/>
    <n v="0.53"/>
    <n v="0.57999999999999996"/>
  </r>
  <r>
    <x v="165"/>
    <x v="165"/>
    <n v="4.3"/>
    <n v="2.76"/>
    <n v="2.13"/>
    <n v="0.56000000000000005"/>
    <n v="0.27"/>
    <n v="0.51"/>
    <n v="0.71"/>
    <n v="0.65"/>
    <n v="0.38"/>
    <n v="0.32"/>
  </r>
  <r>
    <x v="166"/>
    <x v="166"/>
    <n v="0.13"/>
    <n v="0.32"/>
    <n v="0.32"/>
    <n v="0.23"/>
    <n v="0.21"/>
    <n v="0.22"/>
    <n v="0.2"/>
    <n v="0.22"/>
    <n v="0.15"/>
    <n v="0.18"/>
  </r>
  <r>
    <x v="167"/>
    <x v="167"/>
    <n v="0.06"/>
    <n v="7.0000000000000007E-2"/>
    <n v="0.04"/>
    <n v="0.04"/>
    <n v="0.03"/>
    <n v="0.05"/>
    <n v="0.06"/>
    <n v="0.05"/>
    <n v="7.0000000000000007E-2"/>
    <n v="0.1"/>
  </r>
  <r>
    <x v="168"/>
    <x v="168"/>
    <n v="0"/>
    <n v="0.2"/>
    <n v="0.01"/>
    <n v="0.01"/>
    <s v="≈ 0"/>
    <n v="0"/>
    <n v="0"/>
    <n v="0.01"/>
    <n v="0.01"/>
    <n v="0.1"/>
  </r>
  <r>
    <x v="169"/>
    <x v="169"/>
    <n v="0.02"/>
    <n v="0.06"/>
    <n v="0.16"/>
    <n v="0.09"/>
    <n v="0.02"/>
    <n v="0"/>
    <n v="0.02"/>
    <n v="0.01"/>
    <n v="0.01"/>
    <n v="0.03"/>
  </r>
  <r>
    <x v="170"/>
    <x v="170"/>
    <n v="0"/>
    <n v="0.04"/>
    <n v="0"/>
    <n v="0"/>
    <n v="0"/>
    <n v="0"/>
    <n v="0"/>
    <n v="0"/>
    <n v="0"/>
    <n v="0"/>
  </r>
  <r>
    <x v="171"/>
    <x v="171"/>
    <n v="211.21"/>
    <n v="159.94999999999999"/>
    <n v="369.24"/>
    <n v="371.83"/>
    <n v="216.75"/>
    <n v="201.62"/>
    <n v="199.97"/>
    <n v="302.55"/>
    <n v="319.68"/>
    <n v="392.91"/>
  </r>
  <r>
    <x v="172"/>
    <x v="172"/>
    <n v="99.32"/>
    <n v="82.46"/>
    <n v="221.09"/>
    <n v="203.78"/>
    <n v="120.76"/>
    <n v="174.74"/>
    <n v="127.61"/>
    <n v="188.93"/>
    <n v="175.4"/>
    <n v="291.20999999999998"/>
  </r>
  <r>
    <x v="173"/>
    <x v="173"/>
    <n v="11.37"/>
    <n v="13.72"/>
    <n v="91.57"/>
    <n v="41.3"/>
    <n v="18.22"/>
    <n v="64.98"/>
    <n v="48"/>
    <n v="95.57"/>
    <n v="194.6"/>
    <n v="204.3"/>
  </r>
  <r>
    <x v="174"/>
    <x v="174"/>
    <n v="208.99"/>
    <n v="238.81"/>
    <n v="151.46"/>
    <n v="105.45"/>
    <n v="91.71"/>
    <n v="104.55"/>
    <n v="153.94"/>
    <n v="130.34"/>
    <n v="162.18"/>
    <n v="183.03"/>
  </r>
  <r>
    <x v="175"/>
    <x v="175"/>
    <n v="117.36"/>
    <n v="130.36000000000001"/>
    <n v="162.44999999999999"/>
    <n v="127.39"/>
    <n v="87.67"/>
    <n v="122.22"/>
    <n v="129.96"/>
    <n v="136.18"/>
    <n v="156.94"/>
    <n v="182.72"/>
  </r>
  <r>
    <x v="176"/>
    <x v="176"/>
    <n v="102.01"/>
    <n v="108.64"/>
    <n v="131.94"/>
    <n v="124.62"/>
    <n v="98.45"/>
    <n v="159.35"/>
    <n v="145.51"/>
    <n v="139.4"/>
    <n v="138.44999999999999"/>
    <n v="170.7"/>
  </r>
  <r>
    <x v="177"/>
    <x v="177"/>
    <n v="71.53"/>
    <n v="94.01"/>
    <n v="114.53"/>
    <n v="180.07"/>
    <n v="63.64"/>
    <n v="98.57"/>
    <n v="67.989999999999995"/>
    <n v="98.37"/>
    <n v="100.36"/>
    <n v="166.53"/>
  </r>
  <r>
    <x v="178"/>
    <x v="178"/>
    <n v="133.44"/>
    <n v="78.05"/>
    <n v="70.72"/>
    <n v="84.58"/>
    <n v="102.02"/>
    <n v="97.68"/>
    <n v="75.41"/>
    <n v="95.06"/>
    <n v="89.26"/>
    <n v="142.71"/>
  </r>
  <r>
    <x v="179"/>
    <x v="179"/>
    <n v="104.77"/>
    <n v="118.63"/>
    <n v="133.97"/>
    <n v="130.41"/>
    <n v="84.29"/>
    <n v="141.63999999999999"/>
    <n v="145.19999999999999"/>
    <n v="145.44"/>
    <n v="137.24"/>
    <n v="139.51"/>
  </r>
  <r>
    <x v="180"/>
    <x v="180"/>
    <n v="75.3"/>
    <n v="80.83"/>
    <n v="82.91"/>
    <n v="72.400000000000006"/>
    <n v="54.27"/>
    <n v="93.44"/>
    <n v="82.93"/>
    <n v="75.3"/>
    <n v="86.54"/>
    <n v="136.66"/>
  </r>
  <r>
    <x v="181"/>
    <x v="181"/>
    <n v="67.849999999999994"/>
    <n v="81.58"/>
    <n v="101.24"/>
    <n v="83.9"/>
    <n v="66.099999999999994"/>
    <n v="126.99"/>
    <n v="105.89"/>
    <n v="105.06"/>
    <n v="113.99"/>
    <n v="136.06"/>
  </r>
  <r>
    <x v="182"/>
    <x v="182"/>
    <n v="80.73"/>
    <n v="92.97"/>
    <n v="97.9"/>
    <n v="131.13"/>
    <n v="31.74"/>
    <n v="40.53"/>
    <n v="46.51"/>
    <n v="76.19"/>
    <n v="107.69"/>
    <n v="128.93"/>
  </r>
  <r>
    <x v="183"/>
    <x v="183"/>
    <n v="221.7"/>
    <n v="144.66999999999999"/>
    <n v="149.76"/>
    <n v="74.069999999999993"/>
    <n v="50.45"/>
    <n v="52.18"/>
    <n v="124.1"/>
    <n v="186.89"/>
    <n v="127.16"/>
    <n v="115.62"/>
  </r>
  <r>
    <x v="184"/>
    <x v="184"/>
    <n v="44.76"/>
    <n v="49.72"/>
    <n v="57.98"/>
    <n v="73.069999999999993"/>
    <n v="83.33"/>
    <n v="106.66"/>
    <n v="127.64"/>
    <n v="147.88"/>
    <n v="155.68"/>
    <n v="114.77"/>
  </r>
  <r>
    <x v="185"/>
    <x v="185"/>
    <n v="86.36"/>
    <n v="73.489999999999995"/>
    <n v="115.45"/>
    <n v="136.82"/>
    <n v="59.46"/>
    <n v="83.71"/>
    <n v="68.42"/>
    <n v="90.35"/>
    <n v="79.87"/>
    <n v="110.36"/>
  </r>
  <r>
    <x v="186"/>
    <x v="186"/>
    <n v="88.37"/>
    <n v="84.39"/>
    <n v="104.17"/>
    <n v="94.71"/>
    <n v="68.709999999999994"/>
    <n v="102.09"/>
    <n v="96.27"/>
    <n v="87.48"/>
    <n v="79.84"/>
    <n v="97.22"/>
  </r>
  <r>
    <x v="187"/>
    <x v="187"/>
    <n v="113.54"/>
    <n v="115.83"/>
    <n v="79.650000000000006"/>
    <n v="67.97"/>
    <n v="37.65"/>
    <n v="85.91"/>
    <n v="68.42"/>
    <n v="64.680000000000007"/>
    <n v="65.22"/>
    <n v="80.88"/>
  </r>
  <r>
    <x v="188"/>
    <x v="188"/>
    <n v="76.19"/>
    <n v="60.72"/>
    <n v="53.33"/>
    <n v="66.78"/>
    <n v="73.900000000000006"/>
    <n v="88.53"/>
    <n v="93.67"/>
    <n v="110.59"/>
    <n v="82.07"/>
    <n v="79.59"/>
  </r>
  <r>
    <x v="189"/>
    <x v="189"/>
    <n v="47.62"/>
    <n v="28.24"/>
    <n v="76.41"/>
    <n v="89.86"/>
    <n v="54.83"/>
    <n v="25.48"/>
    <n v="47.85"/>
    <n v="32.94"/>
    <n v="59.53"/>
    <n v="60.36"/>
  </r>
  <r>
    <x v="190"/>
    <x v="190"/>
    <n v="40.869999999999997"/>
    <n v="37.32"/>
    <n v="57.42"/>
    <n v="65.2"/>
    <n v="42.7"/>
    <n v="31.81"/>
    <n v="42.03"/>
    <n v="42.34"/>
    <n v="50.31"/>
    <n v="60.02"/>
  </r>
  <r>
    <x v="191"/>
    <x v="191"/>
    <n v="96.64"/>
    <n v="89.66"/>
    <n v="87.85"/>
    <n v="74.349999999999994"/>
    <n v="29.52"/>
    <n v="126.8"/>
    <n v="111.92"/>
    <n v="170.33"/>
    <n v="82.4"/>
    <n v="56.65"/>
  </r>
  <r>
    <x v="192"/>
    <x v="192"/>
    <n v="51.2"/>
    <n v="48.56"/>
    <n v="56.46"/>
    <n v="50.98"/>
    <n v="29.61"/>
    <n v="58.58"/>
    <n v="45.62"/>
    <n v="48.59"/>
    <n v="49.78"/>
    <n v="53.68"/>
  </r>
  <r>
    <x v="193"/>
    <x v="193"/>
    <n v="23.49"/>
    <n v="18.75"/>
    <n v="42.69"/>
    <n v="118.65"/>
    <n v="32.72"/>
    <n v="25.2"/>
    <n v="45.32"/>
    <n v="55.44"/>
    <n v="59.16"/>
    <n v="53.18"/>
  </r>
  <r>
    <x v="194"/>
    <x v="194"/>
    <n v="27.19"/>
    <n v="26.5"/>
    <n v="53.74"/>
    <n v="77.150000000000006"/>
    <n v="33.380000000000003"/>
    <n v="32.119999999999997"/>
    <n v="20.99"/>
    <n v="52.24"/>
    <n v="56.88"/>
    <n v="46"/>
  </r>
  <r>
    <x v="195"/>
    <x v="195"/>
    <n v="35.04"/>
    <n v="39.4"/>
    <n v="47.84"/>
    <n v="47.98"/>
    <n v="29.16"/>
    <n v="32.54"/>
    <n v="36.549999999999997"/>
    <n v="31.91"/>
    <n v="34.22"/>
    <n v="41.83"/>
  </r>
  <r>
    <x v="196"/>
    <x v="196"/>
    <n v="4.37"/>
    <n v="3.24"/>
    <n v="12.81"/>
    <n v="11.46"/>
    <n v="12.87"/>
    <n v="20.56"/>
    <n v="34.94"/>
    <n v="22.68"/>
    <n v="38.06"/>
    <n v="40.49"/>
  </r>
  <r>
    <x v="197"/>
    <x v="197"/>
    <n v="21.78"/>
    <n v="17.32"/>
    <n v="35.880000000000003"/>
    <n v="42.41"/>
    <n v="23.02"/>
    <n v="21.76"/>
    <n v="12.65"/>
    <n v="22.16"/>
    <n v="50.14"/>
    <n v="39.21"/>
  </r>
  <r>
    <x v="198"/>
    <x v="198"/>
    <n v="6.06"/>
    <n v="5.61"/>
    <n v="10.62"/>
    <n v="6.8"/>
    <n v="7.98"/>
    <n v="12.55"/>
    <n v="15.07"/>
    <n v="14.83"/>
    <n v="18.78"/>
    <n v="38.979999999999997"/>
  </r>
  <r>
    <x v="199"/>
    <x v="199"/>
    <n v="24.52"/>
    <n v="17.829999999999998"/>
    <n v="23.74"/>
    <n v="12.62"/>
    <n v="22.77"/>
    <n v="31.36"/>
    <n v="16.32"/>
    <n v="24.02"/>
    <n v="16.07"/>
    <n v="37.15"/>
  </r>
  <r>
    <x v="200"/>
    <x v="200"/>
    <n v="17.54"/>
    <n v="8.3000000000000007"/>
    <n v="22.03"/>
    <n v="36.770000000000003"/>
    <n v="13.38"/>
    <n v="19.02"/>
    <n v="14.11"/>
    <n v="19.28"/>
    <n v="26.08"/>
    <n v="35.799999999999997"/>
  </r>
  <r>
    <x v="201"/>
    <x v="201"/>
    <n v="29.41"/>
    <n v="11.54"/>
    <n v="23.77"/>
    <n v="58.57"/>
    <n v="32.25"/>
    <n v="13.63"/>
    <n v="27.57"/>
    <n v="19.73"/>
    <n v="30.95"/>
    <n v="32.229999999999997"/>
  </r>
  <r>
    <x v="202"/>
    <x v="202"/>
    <n v="41.07"/>
    <n v="23.61"/>
    <n v="25.18"/>
    <n v="31.51"/>
    <n v="30.44"/>
    <n v="23.17"/>
    <n v="15.09"/>
    <n v="29.61"/>
    <n v="21.68"/>
    <n v="28.56"/>
  </r>
  <r>
    <x v="203"/>
    <x v="203"/>
    <n v="22.8"/>
    <n v="27.27"/>
    <n v="33.32"/>
    <n v="20.72"/>
    <n v="10.98"/>
    <n v="29.37"/>
    <n v="21.3"/>
    <n v="25.11"/>
    <n v="23.13"/>
    <n v="27.93"/>
  </r>
  <r>
    <x v="204"/>
    <x v="204"/>
    <n v="21.93"/>
    <n v="22.28"/>
    <n v="16.25"/>
    <n v="12.76"/>
    <n v="15.57"/>
    <n v="14.39"/>
    <n v="16.29"/>
    <n v="19.57"/>
    <n v="25.23"/>
    <n v="25.29"/>
  </r>
  <r>
    <x v="205"/>
    <x v="205"/>
    <n v="21.46"/>
    <n v="25.9"/>
    <n v="19.510000000000002"/>
    <n v="15.3"/>
    <n v="8.7799999999999994"/>
    <n v="14.31"/>
    <n v="12.03"/>
    <n v="26.1"/>
    <n v="20.27"/>
    <n v="24.97"/>
  </r>
  <r>
    <x v="206"/>
    <x v="206"/>
    <n v="42.93"/>
    <n v="52.88"/>
    <n v="37.78"/>
    <n v="41.63"/>
    <n v="39.229999999999997"/>
    <n v="32.18"/>
    <n v="12.4"/>
    <n v="14.16"/>
    <n v="14.92"/>
    <n v="22.55"/>
  </r>
  <r>
    <x v="207"/>
    <x v="207"/>
    <n v="30.31"/>
    <n v="50.35"/>
    <n v="38.5"/>
    <n v="32.200000000000003"/>
    <n v="22.87"/>
    <n v="29.69"/>
    <n v="40.479999999999997"/>
    <n v="31.89"/>
    <n v="30.45"/>
    <n v="21.29"/>
  </r>
  <r>
    <x v="208"/>
    <x v="208"/>
    <n v="27.9"/>
    <n v="16.190000000000001"/>
    <n v="26.22"/>
    <n v="41.33"/>
    <n v="16.98"/>
    <n v="8.44"/>
    <n v="5.15"/>
    <n v="1.86"/>
    <n v="10.31"/>
    <n v="20.95"/>
  </r>
  <r>
    <x v="209"/>
    <x v="209"/>
    <n v="9.0399999999999991"/>
    <n v="8.6999999999999993"/>
    <n v="16.73"/>
    <n v="16.77"/>
    <n v="6.48"/>
    <n v="13.11"/>
    <n v="19.48"/>
    <n v="26.81"/>
    <n v="14.37"/>
    <n v="20.34"/>
  </r>
  <r>
    <x v="210"/>
    <x v="210"/>
    <n v="9.85"/>
    <n v="8.0299999999999994"/>
    <n v="15.17"/>
    <n v="15.51"/>
    <n v="8.59"/>
    <n v="16.309999999999999"/>
    <n v="8.14"/>
    <n v="11.96"/>
    <n v="10.09"/>
    <n v="19.489999999999998"/>
  </r>
  <r>
    <x v="211"/>
    <x v="211"/>
    <n v="11.48"/>
    <n v="4.1399999999999997"/>
    <n v="10.49"/>
    <n v="12.11"/>
    <n v="10.29"/>
    <n v="4.96"/>
    <n v="8.67"/>
    <n v="12.35"/>
    <n v="11.36"/>
    <n v="18.11"/>
  </r>
  <r>
    <x v="212"/>
    <x v="212"/>
    <n v="2.72"/>
    <n v="1.03"/>
    <n v="2"/>
    <n v="2.9"/>
    <n v="3.9"/>
    <n v="3.29"/>
    <n v="3.73"/>
    <n v="28.27"/>
    <n v="9.98"/>
    <n v="17.579999999999998"/>
  </r>
  <r>
    <x v="213"/>
    <x v="213"/>
    <n v="36.049999999999997"/>
    <n v="37.93"/>
    <n v="29.27"/>
    <n v="38.43"/>
    <n v="28.96"/>
    <n v="34.020000000000003"/>
    <n v="23.55"/>
    <n v="17"/>
    <n v="17.829999999999998"/>
    <n v="16.66"/>
  </r>
  <r>
    <x v="214"/>
    <x v="214"/>
    <n v="28.3"/>
    <n v="18.23"/>
    <n v="15.91"/>
    <n v="10.09"/>
    <n v="9.2200000000000006"/>
    <n v="10.6"/>
    <n v="13.13"/>
    <n v="13.54"/>
    <n v="9.35"/>
    <n v="15.48"/>
  </r>
  <r>
    <x v="215"/>
    <x v="215"/>
    <n v="10.18"/>
    <n v="13.24"/>
    <n v="15.13"/>
    <n v="10.48"/>
    <n v="8.98"/>
    <n v="12.23"/>
    <n v="12.26"/>
    <n v="13.77"/>
    <n v="13.46"/>
    <n v="15.13"/>
  </r>
  <r>
    <x v="216"/>
    <x v="216"/>
    <n v="9.32"/>
    <n v="8.61"/>
    <n v="15.02"/>
    <n v="20.22"/>
    <n v="11.26"/>
    <n v="11.19"/>
    <n v="10.36"/>
    <n v="9.49"/>
    <n v="12.09"/>
    <n v="14.05"/>
  </r>
  <r>
    <x v="217"/>
    <x v="217"/>
    <n v="5.31"/>
    <n v="6"/>
    <n v="12.61"/>
    <n v="6.69"/>
    <n v="14.84"/>
    <n v="18.47"/>
    <n v="19.04"/>
    <n v="21.29"/>
    <n v="17.309999999999999"/>
    <n v="11.68"/>
  </r>
  <r>
    <x v="218"/>
    <x v="218"/>
    <n v="5.52"/>
    <n v="1.87"/>
    <n v="38.85"/>
    <n v="20.83"/>
    <n v="20.74"/>
    <n v="0.56999999999999995"/>
    <n v="15.3"/>
    <n v="9.65"/>
    <n v="12.79"/>
    <n v="11.07"/>
  </r>
  <r>
    <x v="219"/>
    <x v="219"/>
    <n v="22.4"/>
    <n v="19.95"/>
    <n v="16.53"/>
    <n v="9.49"/>
    <n v="5.91"/>
    <n v="9.41"/>
    <n v="10.210000000000001"/>
    <n v="10.81"/>
    <n v="14.54"/>
    <n v="10.92"/>
  </r>
  <r>
    <x v="220"/>
    <x v="220"/>
    <n v="8.43"/>
    <n v="8.58"/>
    <n v="16.649999999999999"/>
    <n v="11.41"/>
    <n v="11.1"/>
    <n v="5.53"/>
    <n v="7.99"/>
    <n v="7.34"/>
    <n v="10.199999999999999"/>
    <n v="8.15"/>
  </r>
  <r>
    <x v="221"/>
    <x v="221"/>
    <n v="4.53"/>
    <n v="6.27"/>
    <n v="8.27"/>
    <n v="5.67"/>
    <n v="3.85"/>
    <n v="5.97"/>
    <n v="18.84"/>
    <n v="4.82"/>
    <n v="5.17"/>
    <n v="5.81"/>
  </r>
  <r>
    <x v="222"/>
    <x v="222"/>
    <n v="10.02"/>
    <n v="6.03"/>
    <n v="7.94"/>
    <n v="7.98"/>
    <n v="2.57"/>
    <n v="2.12"/>
    <n v="4.63"/>
    <n v="4.24"/>
    <n v="5.61"/>
    <n v="5.6"/>
  </r>
  <r>
    <x v="223"/>
    <x v="223"/>
    <n v="1.21"/>
    <n v="1.47"/>
    <n v="2.36"/>
    <n v="2.2400000000000002"/>
    <n v="1.55"/>
    <n v="2.12"/>
    <n v="2.72"/>
    <n v="3.11"/>
    <n v="2.81"/>
    <n v="5.37"/>
  </r>
  <r>
    <x v="224"/>
    <x v="224"/>
    <n v="1.1200000000000001"/>
    <n v="1.45"/>
    <n v="1.1599999999999999"/>
    <n v="0.74"/>
    <n v="1.79"/>
    <n v="0.63"/>
    <n v="1.83"/>
    <n v="8.5500000000000007"/>
    <n v="0.11"/>
    <n v="3.93"/>
  </r>
  <r>
    <x v="225"/>
    <x v="225"/>
    <n v="4.25"/>
    <n v="2.88"/>
    <n v="4"/>
    <n v="6"/>
    <n v="2.82"/>
    <n v="4.41"/>
    <n v="2.4"/>
    <n v="3.66"/>
    <n v="6.84"/>
    <n v="3.85"/>
  </r>
  <r>
    <x v="226"/>
    <x v="226"/>
    <n v="1.96"/>
    <n v="1.1299999999999999"/>
    <n v="0.99"/>
    <n v="2.2799999999999998"/>
    <n v="0.35"/>
    <n v="0.16"/>
    <n v="5.13"/>
    <n v="6.4"/>
    <n v="9.2100000000000009"/>
    <n v="3.58"/>
  </r>
  <r>
    <x v="227"/>
    <x v="227"/>
    <n v="0.35"/>
    <n v="1.38"/>
    <n v="0.67"/>
    <n v="4.3099999999999996"/>
    <n v="0.86"/>
    <n v="0.62"/>
    <n v="0.61"/>
    <n v="0.71"/>
    <n v="0.25"/>
    <n v="3.49"/>
  </r>
  <r>
    <x v="228"/>
    <x v="228"/>
    <n v="3.24"/>
    <n v="1.85"/>
    <n v="2.79"/>
    <n v="2.02"/>
    <n v="1.73"/>
    <n v="2.23"/>
    <n v="2.09"/>
    <n v="2.69"/>
    <n v="2.5099999999999998"/>
    <n v="3.4"/>
  </r>
  <r>
    <x v="229"/>
    <x v="229"/>
    <n v="6.81"/>
    <n v="5.3"/>
    <n v="7.99"/>
    <n v="5.77"/>
    <n v="2.6"/>
    <n v="4.72"/>
    <n v="3.5"/>
    <n v="3.54"/>
    <n v="5.82"/>
    <n v="2.97"/>
  </r>
  <r>
    <x v="230"/>
    <x v="230"/>
    <n v="7.42"/>
    <n v="4.74"/>
    <n v="4.12"/>
    <n v="4.5199999999999996"/>
    <n v="1.86"/>
    <n v="1.67"/>
    <n v="1.26"/>
    <n v="1.7"/>
    <n v="2.2400000000000002"/>
    <n v="1.61"/>
  </r>
  <r>
    <x v="231"/>
    <x v="231"/>
    <n v="4.25"/>
    <n v="3.26"/>
    <n v="6.46"/>
    <n v="3.16"/>
    <n v="2.14"/>
    <n v="2.34"/>
    <n v="2.15"/>
    <n v="0.7"/>
    <n v="1.66"/>
    <n v="1.5"/>
  </r>
  <r>
    <x v="232"/>
    <x v="232"/>
    <n v="0"/>
    <n v="0"/>
    <n v="0"/>
    <n v="0"/>
    <n v="0.01"/>
    <n v="0"/>
    <n v="0"/>
    <n v="0.03"/>
    <n v="0.14000000000000001"/>
    <n v="1.23"/>
  </r>
  <r>
    <x v="233"/>
    <x v="233"/>
    <n v="0.21"/>
    <n v="0.46"/>
    <n v="0.05"/>
    <n v="0.02"/>
    <n v="0.14000000000000001"/>
    <n v="0.54"/>
    <n v="0.36"/>
    <n v="0.09"/>
    <n v="0.02"/>
    <n v="1.2"/>
  </r>
  <r>
    <x v="234"/>
    <x v="234"/>
    <n v="0.65"/>
    <n v="0.47"/>
    <n v="0.61"/>
    <n v="1.61"/>
    <n v="1.1200000000000001"/>
    <n v="0.64"/>
    <n v="0.37"/>
    <n v="0.59"/>
    <n v="0.8"/>
    <n v="1.19"/>
  </r>
  <r>
    <x v="235"/>
    <x v="235"/>
    <n v="0.56000000000000005"/>
    <n v="1.1299999999999999"/>
    <n v="0.71"/>
    <n v="1.26"/>
    <n v="0.3"/>
    <n v="0.3"/>
    <n v="0.36"/>
    <n v="0.81"/>
    <n v="5.21"/>
    <n v="1.1399999999999999"/>
  </r>
  <r>
    <x v="236"/>
    <x v="236"/>
    <n v="3.84"/>
    <n v="2.48"/>
    <n v="3.14"/>
    <n v="6.77"/>
    <n v="0.74"/>
    <n v="1.94"/>
    <n v="0.28999999999999998"/>
    <n v="2"/>
    <n v="0.95"/>
    <n v="1.07"/>
  </r>
  <r>
    <x v="237"/>
    <x v="237"/>
    <n v="5.07"/>
    <n v="1.69"/>
    <n v="2.7"/>
    <n v="6.76"/>
    <n v="0.73"/>
    <n v="0.49"/>
    <n v="0.91"/>
    <n v="0.38"/>
    <n v="0.35"/>
    <n v="0.66"/>
  </r>
  <r>
    <x v="238"/>
    <x v="238"/>
    <n v="2.06"/>
    <n v="1.43"/>
    <n v="2.0499999999999998"/>
    <n v="2.34"/>
    <n v="1.29"/>
    <n v="2.2999999999999998"/>
    <n v="2.58"/>
    <n v="1.84"/>
    <n v="0.97"/>
    <n v="0.51"/>
  </r>
  <r>
    <x v="239"/>
    <x v="239"/>
    <n v="2.08"/>
    <n v="1.72"/>
    <n v="0.22"/>
    <n v="0.21"/>
    <n v="0.21"/>
    <n v="1.48"/>
    <n v="1.71"/>
    <n v="0.46"/>
    <n v="0.19"/>
    <n v="0.4"/>
  </r>
  <r>
    <x v="240"/>
    <x v="240"/>
    <n v="1.6"/>
    <n v="1.06"/>
    <n v="0.59"/>
    <n v="0.52"/>
    <n v="1.24"/>
    <n v="0.47"/>
    <n v="0.2"/>
    <n v="0.33"/>
    <n v="0.37"/>
    <n v="0.4"/>
  </r>
  <r>
    <x v="241"/>
    <x v="241"/>
    <n v="9.0500000000000007"/>
    <n v="8.2100000000000009"/>
    <n v="6.98"/>
    <n v="6.5"/>
    <n v="2.67"/>
    <n v="3.15"/>
    <n v="0.34"/>
    <n v="0.64"/>
    <n v="0.37"/>
    <n v="0.37"/>
  </r>
  <r>
    <x v="242"/>
    <x v="242"/>
    <n v="0"/>
    <n v="0"/>
    <n v="0"/>
    <n v="0"/>
    <n v="0"/>
    <n v="0"/>
    <n v="0"/>
    <n v="0.02"/>
    <n v="0.04"/>
    <n v="0.33"/>
  </r>
  <r>
    <x v="243"/>
    <x v="243"/>
    <n v="0.43"/>
    <n v="0.99"/>
    <n v="1.6"/>
    <n v="1.54"/>
    <n v="2.11"/>
    <n v="0.54"/>
    <n v="0.11"/>
    <n v="0.19"/>
    <n v="0.22"/>
    <n v="0.12"/>
  </r>
  <r>
    <x v="244"/>
    <x v="244"/>
    <n v="0.03"/>
    <n v="1.97"/>
    <n v="2.13"/>
    <n v="0.01"/>
    <n v="0.02"/>
    <n v="7.0000000000000007E-2"/>
    <n v="0.09"/>
    <n v="0.17"/>
    <n v="0.13"/>
    <n v="7.0000000000000007E-2"/>
  </r>
  <r>
    <x v="245"/>
    <x v="245"/>
    <n v="0.63"/>
    <n v="0.76"/>
    <n v="0.09"/>
    <n v="0.09"/>
    <n v="0.12"/>
    <n v="0.75"/>
    <n v="0.17"/>
    <n v="0.21"/>
    <n v="0.21"/>
    <n v="0.04"/>
  </r>
  <r>
    <x v="246"/>
    <x v="246"/>
    <n v="0.03"/>
    <n v="0.01"/>
    <n v="0.16"/>
    <n v="0.69"/>
    <n v="0.05"/>
    <n v="0.5"/>
    <n v="0.04"/>
    <n v="0.4"/>
    <n v="0"/>
    <n v="0.02"/>
  </r>
  <r>
    <x v="247"/>
    <x v="247"/>
    <n v="0.4"/>
    <n v="0.02"/>
    <n v="6.3"/>
    <n v="0"/>
    <n v="0.57999999999999996"/>
    <n v="8.98"/>
    <n v="0.2"/>
    <n v="0.02"/>
    <n v="0.01"/>
    <n v="0.02"/>
  </r>
  <r>
    <x v="248"/>
    <x v="248"/>
    <n v="0"/>
    <n v="0.12"/>
    <n v="0.01"/>
    <n v="0.02"/>
    <n v="0.01"/>
    <n v="0.56999999999999995"/>
    <n v="0.01"/>
    <n v="0.01"/>
    <n v="0.08"/>
    <n v="0.01"/>
  </r>
  <r>
    <x v="249"/>
    <x v="249"/>
    <n v="0.04"/>
    <n v="0.01"/>
    <n v="0"/>
    <n v="0"/>
    <n v="0.05"/>
    <n v="0.03"/>
    <n v="0"/>
    <n v="0.17"/>
    <n v="0.43"/>
    <n v="0.01"/>
  </r>
  <r>
    <x v="250"/>
    <x v="250"/>
    <n v="0.03"/>
    <n v="0.02"/>
    <n v="0.02"/>
    <n v="0"/>
    <n v="0.02"/>
    <n v="0.98"/>
    <n v="2.0299999999999998"/>
    <n v="0.4"/>
    <n v="0"/>
    <n v="0.01"/>
  </r>
  <r>
    <x v="251"/>
    <x v="251"/>
    <n v="0.01"/>
    <n v="0.01"/>
    <n v="0"/>
    <n v="0"/>
    <n v="0.01"/>
    <n v="0.05"/>
    <n v="0"/>
    <n v="0"/>
    <n v="0"/>
    <n v="0"/>
  </r>
  <r>
    <x v="252"/>
    <x v="252"/>
    <n v="0"/>
    <n v="0.01"/>
    <n v="0"/>
    <n v="0"/>
    <n v="0"/>
    <n v="0"/>
    <n v="0"/>
    <n v="0"/>
    <n v="0"/>
    <n v="0"/>
  </r>
  <r>
    <x v="253"/>
    <x v="253"/>
    <n v="0"/>
    <n v="0"/>
    <n v="0"/>
    <n v="0"/>
    <n v="0.01"/>
    <n v="0"/>
    <n v="0"/>
    <n v="0"/>
    <n v="0"/>
    <n v="0"/>
  </r>
  <r>
    <x v="254"/>
    <x v="254"/>
    <n v="0.06"/>
    <n v="0"/>
    <n v="0"/>
    <n v="0"/>
    <n v="0"/>
    <n v="0"/>
    <n v="0"/>
    <n v="0"/>
    <s v="≈ 0"/>
    <n v="0"/>
  </r>
  <r>
    <x v="255"/>
    <x v="255"/>
    <n v="0.03"/>
    <n v="0.01"/>
    <n v="0"/>
    <n v="0"/>
    <n v="0"/>
    <n v="0.06"/>
    <n v="0.13"/>
    <n v="0"/>
    <n v="0"/>
    <n v="0"/>
  </r>
  <r>
    <x v="256"/>
    <x v="256"/>
    <n v="0.15"/>
    <n v="0"/>
    <n v="0"/>
    <n v="0"/>
    <n v="0"/>
    <n v="0"/>
    <n v="0"/>
    <n v="0"/>
    <n v="0"/>
    <n v="0"/>
  </r>
  <r>
    <x v="257"/>
    <x v="257"/>
    <n v="2.29"/>
    <n v="0.01"/>
    <n v="0.62"/>
    <n v="0.4"/>
    <n v="0.36"/>
    <n v="7.0000000000000007E-2"/>
    <n v="0.02"/>
    <n v="0.01"/>
    <n v="0"/>
    <n v="0"/>
  </r>
</pivotCacheRecords>
</file>

<file path=xl/pivotCache/pivotCacheRecords2.xml><?xml version="1.0" encoding="utf-8"?>
<pivotCacheRecords xmlns="http://schemas.openxmlformats.org/spreadsheetml/2006/main" xmlns:r="http://schemas.openxmlformats.org/officeDocument/2006/relationships" count="253">
  <r>
    <x v="0"/>
    <x v="0"/>
    <n v="5.33"/>
    <n v="3.79"/>
    <n v="1.71"/>
    <n v="1.75"/>
    <n v="1.76"/>
    <n v="202.18"/>
    <n v="275.29000000000002"/>
    <n v="96.42"/>
    <n v="299.04000000000002"/>
    <n v="305.64999999999998"/>
  </r>
  <r>
    <x v="1"/>
    <x v="1"/>
    <n v="24.49"/>
    <n v="13.66"/>
    <n v="11.23"/>
    <n v="17.309999999999999"/>
    <n v="20.43"/>
    <n v="32.26"/>
    <n v="41.14"/>
    <n v="44.59"/>
    <n v="41.82"/>
    <n v="46.2"/>
  </r>
  <r>
    <x v="2"/>
    <x v="2"/>
    <n v="4.38"/>
    <n v="6"/>
    <n v="6.05"/>
    <n v="6.32"/>
    <n v="7.33"/>
    <n v="11.21"/>
    <n v="18.73"/>
    <n v="25.59"/>
    <n v="30.18"/>
    <n v="34.89"/>
  </r>
  <r>
    <x v="3"/>
    <x v="3"/>
    <n v="7.37"/>
    <n v="9.42"/>
    <n v="12.95"/>
    <n v="18.899999999999999"/>
    <n v="11.68"/>
    <n v="10.94"/>
    <n v="13.36"/>
    <n v="22.94"/>
    <n v="22.63"/>
    <n v="34.869999999999997"/>
  </r>
  <r>
    <x v="4"/>
    <x v="4"/>
    <n v="0.98"/>
    <n v="1.35"/>
    <n v="1.18"/>
    <n v="0.33"/>
    <n v="0.28999999999999998"/>
    <n v="5.26"/>
    <n v="12.6"/>
    <n v="35.4"/>
    <n v="15"/>
    <n v="26.19"/>
  </r>
  <r>
    <x v="5"/>
    <x v="5"/>
    <n v="0.03"/>
    <n v="0.06"/>
    <n v="0.08"/>
    <n v="0.12"/>
    <n v="0.05"/>
    <n v="0.04"/>
    <n v="2.15"/>
    <n v="7.41"/>
    <n v="16.18"/>
    <n v="21.74"/>
  </r>
  <r>
    <x v="6"/>
    <x v="6"/>
    <n v="0.42"/>
    <n v="0.31"/>
    <n v="0.24"/>
    <n v="0.99"/>
    <n v="2.1800000000000002"/>
    <n v="0.39"/>
    <n v="1.1000000000000001"/>
    <n v="3.1"/>
    <n v="3.6"/>
    <n v="20.38"/>
  </r>
  <r>
    <x v="7"/>
    <x v="7"/>
    <n v="1.6"/>
    <n v="2.77"/>
    <n v="4.34"/>
    <n v="3.12"/>
    <n v="2.99"/>
    <n v="5.61"/>
    <n v="4.92"/>
    <n v="5.7"/>
    <n v="8.15"/>
    <n v="18.850000000000001"/>
  </r>
  <r>
    <x v="8"/>
    <x v="8"/>
    <n v="33.79"/>
    <n v="36.01"/>
    <n v="39.65"/>
    <n v="28.45"/>
    <n v="18.43"/>
    <n v="20.93"/>
    <n v="23.66"/>
    <n v="16.45"/>
    <n v="15.14"/>
    <n v="15.1"/>
  </r>
  <r>
    <x v="9"/>
    <x v="9"/>
    <n v="5.51"/>
    <n v="5.54"/>
    <n v="6.94"/>
    <n v="6.94"/>
    <n v="7.21"/>
    <n v="9.5299999999999994"/>
    <n v="11.59"/>
    <n v="9.4499999999999993"/>
    <n v="8.34"/>
    <n v="9.92"/>
  </r>
  <r>
    <x v="10"/>
    <x v="10"/>
    <n v="7.13"/>
    <n v="4.7699999999999996"/>
    <n v="4.0599999999999996"/>
    <n v="5.62"/>
    <n v="3.42"/>
    <n v="7.57"/>
    <n v="5.76"/>
    <n v="5.44"/>
    <n v="8.18"/>
    <n v="7.9"/>
  </r>
  <r>
    <x v="11"/>
    <x v="11"/>
    <n v="4.6399999999999997"/>
    <n v="4.5999999999999996"/>
    <n v="17.25"/>
    <n v="4.46"/>
    <n v="3.57"/>
    <n v="6.62"/>
    <n v="12.9"/>
    <n v="10.050000000000001"/>
    <n v="7.56"/>
    <n v="7.02"/>
  </r>
  <r>
    <x v="12"/>
    <x v="12"/>
    <n v="0"/>
    <n v="0"/>
    <n v="0"/>
    <n v="0"/>
    <n v="0"/>
    <n v="0"/>
    <n v="0.17"/>
    <n v="3.57"/>
    <n v="2.0099999999999998"/>
    <n v="5.91"/>
  </r>
  <r>
    <x v="13"/>
    <x v="13"/>
    <n v="0.56000000000000005"/>
    <n v="0.64"/>
    <n v="1.3"/>
    <n v="2.92"/>
    <n v="4.07"/>
    <n v="4.84"/>
    <n v="4.97"/>
    <n v="5.25"/>
    <n v="6.03"/>
    <n v="4.4400000000000004"/>
  </r>
  <r>
    <x v="14"/>
    <x v="14"/>
    <n v="1.64"/>
    <n v="2.2400000000000002"/>
    <n v="2.4300000000000002"/>
    <n v="2.4500000000000002"/>
    <n v="5.85"/>
    <n v="4.3499999999999996"/>
    <n v="7.51"/>
    <n v="5.03"/>
    <n v="4.08"/>
    <n v="3.74"/>
  </r>
  <r>
    <x v="15"/>
    <x v="15"/>
    <n v="1.54"/>
    <n v="1.01"/>
    <n v="1.99"/>
    <n v="1.97"/>
    <n v="2.4700000000000002"/>
    <n v="1.34"/>
    <n v="0.94"/>
    <n v="0.82"/>
    <n v="0.86"/>
    <n v="2.48"/>
  </r>
  <r>
    <x v="16"/>
    <x v="16"/>
    <n v="0.64"/>
    <n v="0.53"/>
    <n v="0.93"/>
    <n v="1.05"/>
    <n v="1.41"/>
    <n v="1.37"/>
    <n v="1.88"/>
    <n v="2.2400000000000002"/>
    <n v="1.1399999999999999"/>
    <n v="1.74"/>
  </r>
  <r>
    <x v="17"/>
    <x v="17"/>
    <n v="0.43"/>
    <n v="0.5"/>
    <n v="0.38"/>
    <n v="0.41"/>
    <n v="0.44"/>
    <n v="0.57999999999999996"/>
    <n v="2.38"/>
    <n v="8.9499999999999993"/>
    <n v="1.1100000000000001"/>
    <n v="1.69"/>
  </r>
  <r>
    <x v="18"/>
    <x v="18"/>
    <n v="0.25"/>
    <n v="0.15"/>
    <n v="0.32"/>
    <n v="0.6"/>
    <n v="0.83"/>
    <n v="1.59"/>
    <n v="1.89"/>
    <n v="1.82"/>
    <n v="2.2200000000000002"/>
    <n v="1.62"/>
  </r>
  <r>
    <x v="19"/>
    <x v="19"/>
    <n v="2.93"/>
    <n v="2.08"/>
    <n v="1.96"/>
    <n v="0.2"/>
    <n v="0.42"/>
    <n v="0.19"/>
    <n v="0.92"/>
    <n v="0.73"/>
    <n v="0.68"/>
    <n v="1.1100000000000001"/>
  </r>
  <r>
    <x v="20"/>
    <x v="20"/>
    <n v="0.92"/>
    <n v="0.5"/>
    <n v="0.34"/>
    <n v="0.35"/>
    <n v="2.0699999999999998"/>
    <n v="0.42"/>
    <n v="0.42"/>
    <n v="0.48"/>
    <n v="0.94"/>
    <n v="0.95"/>
  </r>
  <r>
    <x v="21"/>
    <x v="21"/>
    <n v="0.63"/>
    <n v="0.67"/>
    <n v="0.24"/>
    <n v="0.4"/>
    <n v="0.18"/>
    <n v="0.38"/>
    <n v="1.18"/>
    <n v="0.56000000000000005"/>
    <n v="0.49"/>
    <n v="0.72"/>
  </r>
  <r>
    <x v="22"/>
    <x v="22"/>
    <n v="0.02"/>
    <n v="0.19"/>
    <n v="0.21"/>
    <n v="0.16"/>
    <n v="0.35"/>
    <n v="0.47"/>
    <n v="0.52"/>
    <n v="0.65"/>
    <n v="0.71"/>
    <n v="0.7"/>
  </r>
  <r>
    <x v="23"/>
    <x v="23"/>
    <n v="0.19"/>
    <n v="0.22"/>
    <n v="0.22"/>
    <n v="0.31"/>
    <n v="0.27"/>
    <n v="0.48"/>
    <n v="0.6"/>
    <n v="0.7"/>
    <n v="1.1499999999999999"/>
    <n v="0.62"/>
  </r>
  <r>
    <x v="24"/>
    <x v="24"/>
    <n v="0.09"/>
    <n v="0.03"/>
    <n v="0.05"/>
    <n v="0.27"/>
    <n v="0.09"/>
    <n v="0.54"/>
    <n v="0.6"/>
    <n v="0.49"/>
    <n v="0.98"/>
    <n v="0.48"/>
  </r>
  <r>
    <x v="25"/>
    <x v="25"/>
    <n v="0.19"/>
    <n v="0.21"/>
    <n v="0.09"/>
    <n v="0.17"/>
    <n v="7.0000000000000007E-2"/>
    <n v="0.11"/>
    <n v="0.13"/>
    <n v="0.1"/>
    <n v="0.28999999999999998"/>
    <n v="0.42"/>
  </r>
  <r>
    <x v="26"/>
    <x v="26"/>
    <n v="0.04"/>
    <n v="0.21"/>
    <n v="1.43"/>
    <n v="1.1599999999999999"/>
    <n v="1.7"/>
    <n v="1.92"/>
    <n v="1.39"/>
    <n v="1.18"/>
    <n v="0.49"/>
    <n v="0.3"/>
  </r>
  <r>
    <x v="27"/>
    <x v="27"/>
    <n v="0.23"/>
    <n v="0.45"/>
    <n v="0.52"/>
    <n v="0.47"/>
    <n v="0.2"/>
    <n v="0.21"/>
    <n v="0.45"/>
    <n v="0.1"/>
    <n v="0.27"/>
    <n v="0.3"/>
  </r>
  <r>
    <x v="28"/>
    <x v="28"/>
    <n v="0.23"/>
    <n v="0.38"/>
    <n v="0.47"/>
    <n v="0.12"/>
    <n v="0.13"/>
    <n v="0.26"/>
    <n v="0.17"/>
    <n v="0.26"/>
    <n v="0.38"/>
    <n v="0.27"/>
  </r>
  <r>
    <x v="29"/>
    <x v="29"/>
    <n v="0.14000000000000001"/>
    <n v="0.15"/>
    <n v="0.16"/>
    <n v="0.42"/>
    <n v="0.3"/>
    <n v="0.33"/>
    <n v="0.44"/>
    <n v="0.66"/>
    <n v="0.46"/>
    <n v="0.22"/>
  </r>
  <r>
    <x v="30"/>
    <x v="30"/>
    <n v="0.01"/>
    <n v="0.04"/>
    <n v="0.01"/>
    <n v="0.03"/>
    <n v="0.09"/>
    <n v="0.04"/>
    <n v="0.2"/>
    <n v="0.1"/>
    <n v="7.0000000000000007E-2"/>
    <n v="0.2"/>
  </r>
  <r>
    <x v="31"/>
    <x v="31"/>
    <n v="0.01"/>
    <n v="0.04"/>
    <n v="0.15"/>
    <n v="0.04"/>
    <n v="0.01"/>
    <n v="0.01"/>
    <n v="0.01"/>
    <n v="0.05"/>
    <n v="0.02"/>
    <n v="0.18"/>
  </r>
  <r>
    <x v="32"/>
    <x v="32"/>
    <n v="0.11"/>
    <n v="0.15"/>
    <n v="0.34"/>
    <n v="0.4"/>
    <n v="0.33"/>
    <n v="0.7"/>
    <n v="0.35"/>
    <n v="0.24"/>
    <n v="0.41"/>
    <n v="0.18"/>
  </r>
  <r>
    <x v="33"/>
    <x v="33"/>
    <n v="0.11"/>
    <n v="0.1"/>
    <n v="0.17"/>
    <n v="0.34"/>
    <n v="0.18"/>
    <n v="0.47"/>
    <n v="0.39"/>
    <n v="0.49"/>
    <n v="0.03"/>
    <n v="0.14000000000000001"/>
  </r>
  <r>
    <x v="34"/>
    <x v="34"/>
    <n v="0.34"/>
    <n v="0.39"/>
    <n v="0.56999999999999995"/>
    <n v="3.64"/>
    <n v="0.48"/>
    <n v="3.52"/>
    <n v="1.51"/>
    <n v="0.04"/>
    <n v="0.02"/>
    <n v="0.05"/>
  </r>
  <r>
    <x v="35"/>
    <x v="35"/>
    <n v="0.01"/>
    <n v="0"/>
    <n v="0.01"/>
    <n v="0.11"/>
    <n v="0.01"/>
    <n v="7.0000000000000007E-2"/>
    <n v="0.08"/>
    <n v="0.01"/>
    <n v="0.03"/>
    <n v="0.04"/>
  </r>
  <r>
    <x v="36"/>
    <x v="36"/>
    <n v="0.05"/>
    <n v="0.06"/>
    <n v="0.12"/>
    <n v="0.14000000000000001"/>
    <n v="0.11"/>
    <n v="0.06"/>
    <n v="0.1"/>
    <n v="0.14000000000000001"/>
    <n v="0.03"/>
    <n v="0.04"/>
  </r>
  <r>
    <x v="37"/>
    <x v="37"/>
    <n v="0.04"/>
    <n v="0.13"/>
    <n v="0.04"/>
    <n v="0.09"/>
    <n v="0.02"/>
    <n v="0.02"/>
    <n v="0.03"/>
    <n v="0.04"/>
    <n v="0.02"/>
    <n v="0.04"/>
  </r>
  <r>
    <x v="38"/>
    <x v="38"/>
    <n v="0.01"/>
    <n v="0.02"/>
    <n v="0.02"/>
    <n v="0"/>
    <n v="0.02"/>
    <n v="0.02"/>
    <n v="0.02"/>
    <n v="0"/>
    <s v="≈ 0"/>
    <n v="0.02"/>
  </r>
  <r>
    <x v="39"/>
    <x v="39"/>
    <n v="0"/>
    <n v="0"/>
    <n v="0"/>
    <n v="0"/>
    <n v="0"/>
    <n v="0"/>
    <n v="0.01"/>
    <n v="0.04"/>
    <n v="0.04"/>
    <n v="0.02"/>
  </r>
  <r>
    <x v="40"/>
    <x v="40"/>
    <n v="0.09"/>
    <n v="0.08"/>
    <n v="0.06"/>
    <n v="7.0000000000000007E-2"/>
    <n v="7.0000000000000007E-2"/>
    <n v="0.05"/>
    <n v="7.0000000000000007E-2"/>
    <n v="0.12"/>
    <n v="0.03"/>
    <n v="0.02"/>
  </r>
  <r>
    <x v="41"/>
    <x v="41"/>
    <s v="≈ 0"/>
    <n v="0"/>
    <n v="0"/>
    <n v="0.15"/>
    <n v="0.06"/>
    <n v="0.02"/>
    <n v="0.02"/>
    <n v="0.02"/>
    <n v="0.01"/>
    <n v="0.01"/>
  </r>
  <r>
    <x v="42"/>
    <x v="42"/>
    <n v="0"/>
    <n v="0.01"/>
    <n v="0"/>
    <n v="0"/>
    <n v="0"/>
    <n v="0"/>
    <n v="0.02"/>
    <n v="0"/>
    <n v="0"/>
    <n v="0.01"/>
  </r>
  <r>
    <x v="43"/>
    <x v="43"/>
    <n v="0.01"/>
    <n v="0.03"/>
    <n v="0.01"/>
    <n v="0.01"/>
    <n v="0"/>
    <n v="0"/>
    <n v="0"/>
    <n v="0"/>
    <n v="0.02"/>
    <n v="0"/>
  </r>
  <r>
    <x v="44"/>
    <x v="44"/>
    <n v="0"/>
    <n v="0"/>
    <n v="0"/>
    <n v="0"/>
    <n v="0"/>
    <n v="0"/>
    <s v="≈ 0"/>
    <n v="0"/>
    <n v="0"/>
    <n v="0"/>
  </r>
  <r>
    <x v="45"/>
    <x v="45"/>
    <n v="0.03"/>
    <n v="0.03"/>
    <n v="0.03"/>
    <n v="0.01"/>
    <n v="0.08"/>
    <n v="0.01"/>
    <n v="0.02"/>
    <n v="0"/>
    <n v="0.05"/>
    <n v="0"/>
  </r>
  <r>
    <x v="46"/>
    <x v="46"/>
    <n v="0.02"/>
    <n v="0.02"/>
    <n v="0.04"/>
    <n v="0.01"/>
    <n v="0"/>
    <n v="0.01"/>
    <n v="0"/>
    <n v="0.01"/>
    <n v="0.01"/>
    <n v="0"/>
  </r>
  <r>
    <x v="47"/>
    <x v="47"/>
    <n v="0"/>
    <s v="≈ 0"/>
    <s v="≈ 0"/>
    <n v="0.01"/>
    <n v="0"/>
    <s v="≈ 0"/>
    <s v="≈ 0"/>
    <n v="0.01"/>
    <n v="0"/>
    <n v="0"/>
  </r>
  <r>
    <x v="48"/>
    <x v="48"/>
    <n v="11.63"/>
    <n v="10.99"/>
    <n v="13.05"/>
    <n v="12.29"/>
    <n v="6.59"/>
    <n v="7.51"/>
    <n v="9.7100000000000009"/>
    <n v="19.29"/>
    <n v="20.39"/>
    <n v="22.26"/>
  </r>
  <r>
    <x v="49"/>
    <x v="49"/>
    <n v="0.51"/>
    <n v="1.1399999999999999"/>
    <n v="3.73"/>
    <n v="5.26"/>
    <n v="3.37"/>
    <n v="6.74"/>
    <n v="17.350000000000001"/>
    <n v="16.09"/>
    <n v="23.37"/>
    <n v="16.809999999999999"/>
  </r>
  <r>
    <x v="50"/>
    <x v="50"/>
    <n v="1.27"/>
    <n v="1.84"/>
    <n v="6.28"/>
    <n v="8.68"/>
    <n v="11.47"/>
    <n v="7.17"/>
    <n v="3.44"/>
    <n v="10.64"/>
    <n v="14.17"/>
    <n v="13.11"/>
  </r>
  <r>
    <x v="51"/>
    <x v="51"/>
    <n v="1.39"/>
    <n v="1.38"/>
    <n v="2.06"/>
    <n v="2.11"/>
    <n v="2.4"/>
    <n v="4.95"/>
    <n v="4.4800000000000004"/>
    <n v="5.75"/>
    <n v="9.81"/>
    <n v="10.93"/>
  </r>
  <r>
    <x v="52"/>
    <x v="52"/>
    <n v="4.76"/>
    <n v="3.38"/>
    <n v="5.13"/>
    <n v="7.62"/>
    <n v="4.5199999999999996"/>
    <n v="7.17"/>
    <n v="6.61"/>
    <n v="6.09"/>
    <n v="7.49"/>
    <n v="10.08"/>
  </r>
  <r>
    <x v="53"/>
    <x v="53"/>
    <n v="2.06"/>
    <n v="17.05"/>
    <n v="82.22"/>
    <n v="59.8"/>
    <n v="32.380000000000003"/>
    <n v="10.35"/>
    <n v="19.25"/>
    <n v="23.59"/>
    <n v="16.100000000000001"/>
    <n v="9.58"/>
  </r>
  <r>
    <x v="54"/>
    <x v="54"/>
    <n v="0.03"/>
    <n v="0.13"/>
    <n v="0.28000000000000003"/>
    <n v="0.22"/>
    <n v="0.23"/>
    <n v="0.33"/>
    <n v="0.71"/>
    <n v="2.37"/>
    <n v="4.34"/>
    <n v="5.45"/>
  </r>
  <r>
    <x v="55"/>
    <x v="55"/>
    <n v="6.65"/>
    <n v="8.69"/>
    <n v="9.8699999999999992"/>
    <n v="8.4600000000000009"/>
    <n v="4.8099999999999996"/>
    <n v="6.13"/>
    <n v="5.26"/>
    <n v="7.61"/>
    <n v="5.92"/>
    <n v="3.33"/>
  </r>
  <r>
    <x v="56"/>
    <x v="56"/>
    <n v="0.86"/>
    <n v="1.04"/>
    <n v="1.53"/>
    <n v="1.81"/>
    <n v="1.86"/>
    <n v="2.56"/>
    <n v="2.42"/>
    <n v="2.0499999999999998"/>
    <n v="1.94"/>
    <n v="1.86"/>
  </r>
  <r>
    <x v="57"/>
    <x v="57"/>
    <n v="0.31"/>
    <n v="0.19"/>
    <n v="0.11"/>
    <n v="0.15"/>
    <n v="0.24"/>
    <n v="7.0000000000000007E-2"/>
    <n v="0.05"/>
    <n v="0.98"/>
    <n v="2.2200000000000002"/>
    <n v="1.78"/>
  </r>
  <r>
    <x v="58"/>
    <x v="58"/>
    <n v="0.03"/>
    <n v="0.01"/>
    <n v="0.03"/>
    <n v="0.03"/>
    <n v="0.09"/>
    <n v="0.11"/>
    <n v="0.53"/>
    <n v="0.36"/>
    <n v="0.25"/>
    <n v="0.74"/>
  </r>
  <r>
    <x v="59"/>
    <x v="59"/>
    <n v="0.11"/>
    <n v="0.18"/>
    <n v="0.23"/>
    <n v="0.17"/>
    <n v="0.15"/>
    <n v="0.22"/>
    <n v="0.28999999999999998"/>
    <n v="0.34"/>
    <n v="0.56999999999999995"/>
    <n v="0.73"/>
  </r>
  <r>
    <x v="60"/>
    <x v="60"/>
    <n v="1.21"/>
    <n v="0.94"/>
    <n v="0.81"/>
    <n v="0.8"/>
    <n v="0.85"/>
    <n v="1.2"/>
    <n v="1.42"/>
    <n v="0.22"/>
    <n v="0.51"/>
    <n v="0.64"/>
  </r>
  <r>
    <x v="61"/>
    <x v="61"/>
    <n v="1.2"/>
    <n v="1.25"/>
    <n v="1.4"/>
    <n v="1.03"/>
    <n v="0.96"/>
    <n v="1.28"/>
    <n v="1.07"/>
    <n v="0.98"/>
    <n v="0.7"/>
    <n v="0.53"/>
  </r>
  <r>
    <x v="62"/>
    <x v="62"/>
    <n v="0.21"/>
    <n v="0.31"/>
    <n v="0.24"/>
    <n v="0.25"/>
    <n v="0.19"/>
    <n v="0.54"/>
    <n v="0.46"/>
    <n v="0.41"/>
    <n v="0.48"/>
    <n v="0.5"/>
  </r>
  <r>
    <x v="63"/>
    <x v="63"/>
    <n v="0.43"/>
    <n v="0.86"/>
    <n v="3.02"/>
    <n v="0.35"/>
    <n v="0.24"/>
    <n v="0.18"/>
    <n v="0.28999999999999998"/>
    <n v="0.18"/>
    <n v="0.09"/>
    <n v="0.41"/>
  </r>
  <r>
    <x v="64"/>
    <x v="64"/>
    <n v="7.0000000000000007E-2"/>
    <n v="0.44"/>
    <n v="0.47"/>
    <n v="0.81"/>
    <n v="0.49"/>
    <n v="0.76"/>
    <n v="0.76"/>
    <n v="0.48"/>
    <n v="0.36"/>
    <n v="0.34"/>
  </r>
  <r>
    <x v="65"/>
    <x v="65"/>
    <n v="0.12"/>
    <n v="0.14000000000000001"/>
    <n v="0.17"/>
    <n v="0.13"/>
    <n v="0.08"/>
    <n v="0.18"/>
    <n v="0.22"/>
    <n v="0.17"/>
    <n v="0.28000000000000003"/>
    <n v="0.28999999999999998"/>
  </r>
  <r>
    <x v="66"/>
    <x v="66"/>
    <n v="2.06"/>
    <n v="1.47"/>
    <n v="2.04"/>
    <n v="2.19"/>
    <n v="1.44"/>
    <n v="1.94"/>
    <n v="1.49"/>
    <n v="0.64"/>
    <n v="0.92"/>
    <n v="0.27"/>
  </r>
  <r>
    <x v="67"/>
    <x v="67"/>
    <n v="0"/>
    <n v="0.01"/>
    <n v="0.1"/>
    <n v="0.01"/>
    <n v="0.01"/>
    <n v="0.05"/>
    <n v="0.42"/>
    <n v="0.15"/>
    <n v="7.0000000000000007E-2"/>
    <n v="0.24"/>
  </r>
  <r>
    <x v="68"/>
    <x v="68"/>
    <n v="0.32"/>
    <n v="0.02"/>
    <n v="0.02"/>
    <n v="0.01"/>
    <n v="0.01"/>
    <n v="0.01"/>
    <n v="0.01"/>
    <n v="0.83"/>
    <n v="0.52"/>
    <n v="0.13"/>
  </r>
  <r>
    <x v="69"/>
    <x v="69"/>
    <n v="0.02"/>
    <n v="0.22"/>
    <n v="0.2"/>
    <n v="0.53"/>
    <n v="0.03"/>
    <n v="0"/>
    <n v="0.18"/>
    <n v="0.22"/>
    <n v="0"/>
    <n v="0.08"/>
  </r>
  <r>
    <x v="70"/>
    <x v="70"/>
    <n v="0.1"/>
    <n v="0.14000000000000001"/>
    <n v="0.04"/>
    <n v="0.21"/>
    <n v="0.05"/>
    <n v="0"/>
    <s v="≈ 0"/>
    <n v="0"/>
    <n v="0"/>
    <n v="0.01"/>
  </r>
  <r>
    <x v="71"/>
    <x v="71"/>
    <s v="≈ 0"/>
    <s v="≈ 0"/>
    <n v="0"/>
    <n v="0"/>
    <s v="≈ 0"/>
    <s v="≈ 0"/>
    <s v="≈ 0"/>
    <s v="≈ 0"/>
    <n v="0"/>
    <n v="0"/>
  </r>
  <r>
    <x v="72"/>
    <x v="72"/>
    <n v="0.01"/>
    <n v="0.18"/>
    <n v="0.19"/>
    <n v="0.09"/>
    <s v="≈ 0"/>
    <s v="≈ 0"/>
    <n v="0"/>
    <n v="0.03"/>
    <n v="0"/>
    <n v="0"/>
  </r>
  <r>
    <x v="73"/>
    <x v="73"/>
    <s v="≈ 0"/>
    <n v="0.01"/>
    <n v="0"/>
    <s v="≈ 0"/>
    <n v="0"/>
    <n v="0.03"/>
    <n v="0"/>
    <n v="0"/>
    <n v="0"/>
    <n v="0"/>
  </r>
  <r>
    <x v="74"/>
    <x v="74"/>
    <n v="7.53"/>
    <n v="5.25"/>
    <n v="4.6100000000000003"/>
    <n v="4.17"/>
    <n v="2.99"/>
    <n v="3.43"/>
    <n v="3.68"/>
    <n v="3.65"/>
    <n v="3.26"/>
    <n v="2.93"/>
  </r>
  <r>
    <x v="75"/>
    <x v="75"/>
    <n v="1.58"/>
    <n v="1.32"/>
    <n v="1.24"/>
    <n v="1.38"/>
    <n v="1.37"/>
    <n v="1.66"/>
    <n v="1.54"/>
    <n v="1.3"/>
    <n v="1.33"/>
    <n v="1.36"/>
  </r>
  <r>
    <x v="76"/>
    <x v="76"/>
    <n v="0.02"/>
    <n v="0.04"/>
    <n v="0.12"/>
    <n v="1.22"/>
    <n v="0.75"/>
    <n v="1.1399999999999999"/>
    <n v="1.39"/>
    <n v="1.64"/>
    <n v="1.7"/>
    <n v="1.31"/>
  </r>
  <r>
    <x v="77"/>
    <x v="77"/>
    <n v="0.78"/>
    <n v="0.7"/>
    <n v="0.88"/>
    <n v="0.76"/>
    <n v="3.32"/>
    <n v="2.78"/>
    <n v="7.97"/>
    <n v="1.53"/>
    <n v="1.32"/>
    <n v="0.82"/>
  </r>
  <r>
    <x v="78"/>
    <x v="78"/>
    <n v="0.28999999999999998"/>
    <n v="0.25"/>
    <n v="0.22"/>
    <n v="0.25"/>
    <n v="0.31"/>
    <n v="0.96"/>
    <n v="1"/>
    <n v="0.76"/>
    <n v="0.61"/>
    <n v="0.73"/>
  </r>
  <r>
    <x v="79"/>
    <x v="79"/>
    <n v="0.45"/>
    <n v="0.43"/>
    <n v="0.48"/>
    <n v="0.53"/>
    <n v="0.37"/>
    <n v="0.47"/>
    <n v="0.43"/>
    <n v="0.49"/>
    <n v="0.37"/>
    <n v="0.39"/>
  </r>
  <r>
    <x v="80"/>
    <x v="80"/>
    <n v="0.1"/>
    <n v="0.14000000000000001"/>
    <n v="0.31"/>
    <n v="0.6"/>
    <n v="0.43"/>
    <n v="0.43"/>
    <n v="0.35"/>
    <n v="0.42"/>
    <n v="0.32"/>
    <n v="0.28999999999999998"/>
  </r>
  <r>
    <x v="81"/>
    <x v="81"/>
    <n v="0.01"/>
    <n v="0.01"/>
    <n v="0.13"/>
    <n v="0.09"/>
    <n v="0.12"/>
    <n v="0.24"/>
    <n v="0.22"/>
    <n v="0.22"/>
    <n v="0.24"/>
    <n v="0.19"/>
  </r>
  <r>
    <x v="82"/>
    <x v="82"/>
    <s v="≈ 0"/>
    <s v="≈ 0"/>
    <n v="0.11"/>
    <n v="0.04"/>
    <n v="0.01"/>
    <n v="0"/>
    <n v="0"/>
    <s v="≈ 0"/>
    <n v="0.01"/>
    <n v="0.01"/>
  </r>
  <r>
    <x v="83"/>
    <x v="83"/>
    <n v="0"/>
    <n v="0"/>
    <n v="0"/>
    <n v="0.06"/>
    <n v="0.03"/>
    <n v="0.06"/>
    <n v="0.05"/>
    <n v="0"/>
    <n v="0"/>
    <n v="0"/>
  </r>
  <r>
    <x v="84"/>
    <x v="84"/>
    <n v="0"/>
    <n v="0"/>
    <n v="0"/>
    <n v="0"/>
    <n v="0"/>
    <n v="0"/>
    <n v="0"/>
    <n v="0"/>
    <n v="0"/>
    <n v="0"/>
  </r>
  <r>
    <x v="85"/>
    <x v="85"/>
    <n v="0"/>
    <n v="0"/>
    <n v="0"/>
    <n v="0"/>
    <n v="0"/>
    <n v="0"/>
    <n v="0"/>
    <s v="≈ 0"/>
    <n v="0"/>
    <n v="0"/>
  </r>
  <r>
    <x v="86"/>
    <x v="86"/>
    <n v="0.01"/>
    <s v="≈ 0"/>
    <n v="0"/>
    <n v="0.01"/>
    <n v="0.02"/>
    <n v="0.04"/>
    <n v="0.04"/>
    <n v="0.01"/>
    <n v="0.02"/>
    <n v="0"/>
  </r>
  <r>
    <x v="87"/>
    <x v="87"/>
    <n v="0"/>
    <s v="≈ 0"/>
    <n v="0"/>
    <n v="0"/>
    <s v="≈ 0"/>
    <n v="0"/>
    <n v="0"/>
    <n v="0"/>
    <n v="0"/>
    <n v="0"/>
  </r>
  <r>
    <x v="88"/>
    <x v="88"/>
    <n v="0"/>
    <s v="≈ 0"/>
    <s v="≈ 0"/>
    <s v="≈ 0"/>
    <n v="0"/>
    <s v="≈ 0"/>
    <s v="≈ 0"/>
    <n v="0"/>
    <n v="0"/>
    <n v="0"/>
  </r>
  <r>
    <x v="89"/>
    <x v="89"/>
    <n v="0.02"/>
    <n v="5.39"/>
    <n v="8.18"/>
    <n v="13.63"/>
    <n v="6.42"/>
    <n v="6.17"/>
    <n v="9.0500000000000007"/>
    <n v="8.19"/>
    <n v="4.01"/>
    <n v="9.58"/>
  </r>
  <r>
    <x v="90"/>
    <x v="90"/>
    <n v="0.32"/>
    <n v="1.06"/>
    <n v="4.0999999999999996"/>
    <n v="4.42"/>
    <n v="2.31"/>
    <n v="5.47"/>
    <n v="2.63"/>
    <n v="3.51"/>
    <n v="4.82"/>
    <n v="4.03"/>
  </r>
  <r>
    <x v="91"/>
    <x v="91"/>
    <n v="0"/>
    <n v="0"/>
    <n v="0.01"/>
    <n v="0.02"/>
    <n v="0.1"/>
    <n v="0.19"/>
    <n v="0.16"/>
    <n v="0.26"/>
    <n v="0.31"/>
    <n v="0.47"/>
  </r>
  <r>
    <x v="92"/>
    <x v="92"/>
    <n v="0.16"/>
    <n v="0.16"/>
    <n v="0.16"/>
    <n v="0.22"/>
    <n v="0.16"/>
    <n v="0.62"/>
    <n v="0.69"/>
    <n v="0.97"/>
    <n v="0.26"/>
    <n v="0.4"/>
  </r>
  <r>
    <x v="93"/>
    <x v="93"/>
    <n v="0.02"/>
    <n v="0.02"/>
    <n v="0.08"/>
    <n v="0.09"/>
    <n v="0.1"/>
    <n v="0.1"/>
    <n v="0.08"/>
    <n v="0.15"/>
    <n v="0.11"/>
    <n v="7.0000000000000007E-2"/>
  </r>
  <r>
    <x v="94"/>
    <x v="94"/>
    <n v="0.14000000000000001"/>
    <n v="0.06"/>
    <n v="0"/>
    <n v="0.02"/>
    <n v="0.01"/>
    <n v="0.01"/>
    <n v="0.05"/>
    <n v="0.04"/>
    <n v="0.04"/>
    <n v="0.04"/>
  </r>
  <r>
    <x v="95"/>
    <x v="95"/>
    <n v="0.01"/>
    <n v="0.02"/>
    <n v="0.03"/>
    <n v="0.01"/>
    <n v="0.01"/>
    <n v="0.03"/>
    <n v="0.04"/>
    <n v="0.03"/>
    <n v="0.04"/>
    <n v="0.03"/>
  </r>
  <r>
    <x v="96"/>
    <x v="96"/>
    <n v="0.1"/>
    <n v="0.11"/>
    <n v="0.11"/>
    <n v="0.84"/>
    <n v="0.09"/>
    <n v="0.09"/>
    <n v="0.05"/>
    <n v="0.04"/>
    <n v="0.03"/>
    <n v="0.02"/>
  </r>
  <r>
    <x v="97"/>
    <x v="97"/>
    <n v="0"/>
    <n v="0"/>
    <n v="0.04"/>
    <n v="0"/>
    <n v="0"/>
    <n v="0"/>
    <n v="0"/>
    <n v="0"/>
    <n v="0.01"/>
    <n v="0.01"/>
  </r>
  <r>
    <x v="98"/>
    <x v="98"/>
    <n v="0.01"/>
    <n v="0.01"/>
    <n v="0"/>
    <n v="0.01"/>
    <n v="0.01"/>
    <n v="0.02"/>
    <n v="0.02"/>
    <n v="0"/>
    <n v="0"/>
    <n v="0"/>
  </r>
  <r>
    <x v="99"/>
    <x v="99"/>
    <n v="0"/>
    <n v="0"/>
    <n v="0"/>
    <n v="0"/>
    <s v="≈ 0"/>
    <n v="0"/>
    <n v="0"/>
    <n v="0.03"/>
    <n v="0.02"/>
    <n v="0"/>
  </r>
  <r>
    <x v="100"/>
    <x v="100"/>
    <n v="0"/>
    <n v="0"/>
    <n v="0"/>
    <n v="0"/>
    <n v="0"/>
    <n v="0"/>
    <n v="0"/>
    <n v="0"/>
    <n v="0"/>
    <n v="0"/>
  </r>
  <r>
    <x v="101"/>
    <x v="101"/>
    <n v="0"/>
    <n v="0"/>
    <n v="0"/>
    <s v="≈ 0"/>
    <n v="0"/>
    <n v="0"/>
    <n v="0"/>
    <n v="0"/>
    <n v="0"/>
    <n v="0"/>
  </r>
  <r>
    <x v="102"/>
    <x v="102"/>
    <s v="≈ 0"/>
    <n v="0"/>
    <n v="0"/>
    <n v="0"/>
    <n v="0"/>
    <n v="0"/>
    <n v="0"/>
    <n v="0"/>
    <n v="0"/>
    <n v="0"/>
  </r>
  <r>
    <x v="103"/>
    <x v="103"/>
    <n v="22.71"/>
    <n v="20.25"/>
    <n v="24.93"/>
    <n v="23.61"/>
    <n v="20.45"/>
    <n v="32.5"/>
    <n v="31.13"/>
    <n v="41.31"/>
    <n v="37.44"/>
    <n v="44.98"/>
  </r>
  <r>
    <x v="104"/>
    <x v="104"/>
    <n v="3.75"/>
    <n v="4.82"/>
    <n v="5.31"/>
    <n v="4.7699999999999996"/>
    <n v="2.79"/>
    <n v="16.46"/>
    <n v="12.35"/>
    <n v="5.0599999999999996"/>
    <n v="6.26"/>
    <n v="7.32"/>
  </r>
  <r>
    <x v="105"/>
    <x v="105"/>
    <n v="4.51"/>
    <n v="4.5599999999999996"/>
    <n v="3.92"/>
    <n v="3.24"/>
    <n v="4.22"/>
    <n v="6.28"/>
    <n v="5.07"/>
    <n v="5.04"/>
    <n v="5.7"/>
    <n v="5.13"/>
  </r>
  <r>
    <x v="106"/>
    <x v="106"/>
    <n v="3.85"/>
    <n v="3.79"/>
    <n v="3.59"/>
    <n v="3.12"/>
    <n v="3.5"/>
    <n v="3.46"/>
    <n v="3.12"/>
    <n v="2.33"/>
    <n v="2.62"/>
    <n v="2.3199999999999998"/>
  </r>
  <r>
    <x v="107"/>
    <x v="107"/>
    <n v="2.69"/>
    <n v="3.63"/>
    <n v="2.33"/>
    <n v="2.08"/>
    <n v="2.31"/>
    <n v="1.99"/>
    <n v="2.44"/>
    <n v="6.51"/>
    <n v="2.37"/>
    <n v="2.14"/>
  </r>
  <r>
    <x v="108"/>
    <x v="108"/>
    <n v="2.34"/>
    <n v="2.2799999999999998"/>
    <n v="2.48"/>
    <n v="1.28"/>
    <n v="0.82"/>
    <n v="1.85"/>
    <n v="1.38"/>
    <n v="1.55"/>
    <n v="1.1399999999999999"/>
    <n v="2.08"/>
  </r>
  <r>
    <x v="109"/>
    <x v="109"/>
    <n v="2.31"/>
    <n v="2.2999999999999998"/>
    <n v="2.64"/>
    <n v="2.6"/>
    <n v="1.63"/>
    <n v="2.67"/>
    <n v="2.4700000000000002"/>
    <n v="2.23"/>
    <n v="1.65"/>
    <n v="1.83"/>
  </r>
  <r>
    <x v="110"/>
    <x v="110"/>
    <n v="0.71"/>
    <n v="1.4"/>
    <n v="2.4700000000000002"/>
    <n v="2.35"/>
    <n v="1.07"/>
    <n v="1.2"/>
    <n v="1.88"/>
    <n v="1.72"/>
    <n v="1.0900000000000001"/>
    <n v="1.22"/>
  </r>
  <r>
    <x v="111"/>
    <x v="111"/>
    <n v="0"/>
    <n v="0.02"/>
    <n v="0"/>
    <n v="0"/>
    <n v="0.18"/>
    <n v="0.05"/>
    <n v="0.18"/>
    <n v="0.06"/>
    <n v="0.15"/>
    <n v="0.69"/>
  </r>
  <r>
    <x v="112"/>
    <x v="112"/>
    <n v="0.85"/>
    <n v="0.28000000000000003"/>
    <n v="0.38"/>
    <n v="0.32"/>
    <n v="0.39"/>
    <n v="0.68"/>
    <n v="0.75"/>
    <n v="0.64"/>
    <n v="0.71"/>
    <n v="0.56000000000000005"/>
  </r>
  <r>
    <x v="113"/>
    <x v="113"/>
    <n v="0.32"/>
    <n v="1.51"/>
    <n v="1.1599999999999999"/>
    <n v="0.56000000000000005"/>
    <n v="4.63"/>
    <n v="1.29"/>
    <n v="0.08"/>
    <n v="0.41"/>
    <n v="0.11"/>
    <n v="0.39"/>
  </r>
  <r>
    <x v="114"/>
    <x v="114"/>
    <n v="0.2"/>
    <n v="0.21"/>
    <n v="0.1"/>
    <n v="0.14000000000000001"/>
    <n v="0.17"/>
    <n v="0.28999999999999998"/>
    <n v="0.18"/>
    <n v="0.13"/>
    <n v="0.23"/>
    <n v="0.35"/>
  </r>
  <r>
    <x v="115"/>
    <x v="115"/>
    <n v="1"/>
    <n v="1.65"/>
    <n v="2.2999999999999998"/>
    <n v="1.41"/>
    <n v="1.1200000000000001"/>
    <n v="1.28"/>
    <n v="0.7"/>
    <n v="0.32"/>
    <n v="0.38"/>
    <n v="0.28999999999999998"/>
  </r>
  <r>
    <x v="116"/>
    <x v="116"/>
    <n v="0.04"/>
    <n v="0.06"/>
    <n v="0.05"/>
    <n v="0.09"/>
    <n v="0.14000000000000001"/>
    <n v="0.23"/>
    <n v="0.16"/>
    <n v="0.1"/>
    <n v="0.15"/>
    <n v="0.23"/>
  </r>
  <r>
    <x v="117"/>
    <x v="117"/>
    <n v="0.28999999999999998"/>
    <n v="0.08"/>
    <n v="0.01"/>
    <n v="0.08"/>
    <n v="0.01"/>
    <n v="0.03"/>
    <n v="0"/>
    <n v="0.01"/>
    <n v="0"/>
    <n v="0.22"/>
  </r>
  <r>
    <x v="118"/>
    <x v="118"/>
    <n v="0"/>
    <n v="0"/>
    <s v="≈ 0"/>
    <s v="≈ 0"/>
    <s v="≈ 0"/>
    <n v="0"/>
    <s v="≈ 0"/>
    <s v="≈ 0"/>
    <n v="0.11"/>
    <n v="0.12"/>
  </r>
  <r>
    <x v="119"/>
    <x v="119"/>
    <s v="≈ 0"/>
    <n v="0"/>
    <s v="≈ 0"/>
    <n v="0.01"/>
    <n v="0"/>
    <n v="0.01"/>
    <n v="0.01"/>
    <n v="0.02"/>
    <n v="0"/>
    <n v="0.03"/>
  </r>
  <r>
    <x v="120"/>
    <x v="120"/>
    <n v="0.67"/>
    <n v="1.33"/>
    <n v="0.18"/>
    <n v="0.04"/>
    <n v="0.04"/>
    <n v="0.03"/>
    <n v="1.05"/>
    <n v="4.09"/>
    <n v="0"/>
    <n v="0.01"/>
  </r>
  <r>
    <x v="121"/>
    <x v="121"/>
    <n v="0.01"/>
    <n v="0.02"/>
    <n v="0"/>
    <n v="0"/>
    <n v="0"/>
    <n v="0"/>
    <n v="0"/>
    <n v="0"/>
    <n v="0"/>
    <n v="0.01"/>
  </r>
  <r>
    <x v="122"/>
    <x v="122"/>
    <n v="0"/>
    <s v="≈ 0"/>
    <n v="0"/>
    <s v="≈ 0"/>
    <n v="0"/>
    <n v="0"/>
    <s v="≈ 0"/>
    <n v="0"/>
    <n v="0"/>
    <n v="0.01"/>
  </r>
  <r>
    <x v="123"/>
    <x v="123"/>
    <n v="0.11"/>
    <n v="0.11"/>
    <n v="0.09"/>
    <n v="0.09"/>
    <n v="0"/>
    <s v="≈ 0"/>
    <n v="0.11"/>
    <n v="0.03"/>
    <n v="0.04"/>
    <n v="0"/>
  </r>
  <r>
    <x v="124"/>
    <x v="124"/>
    <n v="0"/>
    <n v="0"/>
    <n v="0"/>
    <n v="0"/>
    <n v="0"/>
    <n v="0"/>
    <n v="0"/>
    <n v="0"/>
    <n v="0"/>
    <n v="0"/>
  </r>
  <r>
    <x v="125"/>
    <x v="125"/>
    <s v="≈ 0"/>
    <s v="≈ 0"/>
    <n v="0"/>
    <s v="≈ 0"/>
    <n v="0"/>
    <n v="0"/>
    <s v="≈ 0"/>
    <n v="0"/>
    <n v="0"/>
    <n v="0"/>
  </r>
  <r>
    <x v="126"/>
    <x v="126"/>
    <s v="≈ 0"/>
    <n v="0.01"/>
    <n v="0.03"/>
    <s v="≈ 0"/>
    <s v="≈ 0"/>
    <s v="≈ 0"/>
    <n v="0.01"/>
    <s v="≈ 0"/>
    <n v="0"/>
    <n v="0"/>
  </r>
  <r>
    <x v="127"/>
    <x v="127"/>
    <n v="0"/>
    <n v="0"/>
    <n v="0"/>
    <s v="≈ 0"/>
    <n v="0"/>
    <n v="0"/>
    <n v="0.01"/>
    <n v="0"/>
    <n v="0"/>
    <n v="0"/>
  </r>
  <r>
    <x v="128"/>
    <x v="128"/>
    <n v="4.54"/>
    <n v="4.18"/>
    <n v="3.42"/>
    <n v="4.26"/>
    <n v="3.43"/>
    <n v="6.41"/>
    <n v="8.4600000000000009"/>
    <n v="7.11"/>
    <n v="7.84"/>
    <n v="14.03"/>
  </r>
  <r>
    <x v="129"/>
    <x v="129"/>
    <n v="0.84"/>
    <n v="0.84"/>
    <n v="0.91"/>
    <n v="0.98"/>
    <n v="0.87"/>
    <n v="1.17"/>
    <n v="1.26"/>
    <n v="0.97"/>
    <n v="0.75"/>
    <n v="0.78"/>
  </r>
  <r>
    <x v="130"/>
    <x v="130"/>
    <n v="0"/>
    <n v="0.02"/>
    <n v="0.03"/>
    <n v="0.02"/>
    <n v="0.12"/>
    <n v="0.33"/>
    <n v="0.69"/>
    <n v="1.2"/>
    <n v="1.07"/>
    <n v="0.63"/>
  </r>
  <r>
    <x v="131"/>
    <x v="131"/>
    <n v="0.17"/>
    <n v="0.25"/>
    <n v="0.26"/>
    <n v="0.1"/>
    <n v="0.09"/>
    <n v="0.21"/>
    <n v="0.54"/>
    <n v="0.15"/>
    <n v="0.24"/>
    <n v="0.24"/>
  </r>
  <r>
    <x v="132"/>
    <x v="132"/>
    <n v="0.04"/>
    <n v="0.05"/>
    <n v="0.03"/>
    <n v="0.03"/>
    <n v="0.01"/>
    <n v="0.01"/>
    <n v="0.01"/>
    <n v="0"/>
    <n v="0.02"/>
    <n v="0.23"/>
  </r>
  <r>
    <x v="133"/>
    <x v="133"/>
    <s v="≈ 0"/>
    <n v="0"/>
    <n v="0"/>
    <s v="≈ 0"/>
    <n v="0.01"/>
    <n v="0.01"/>
    <s v="≈ 0"/>
    <n v="0.03"/>
    <n v="0.06"/>
    <n v="7.0000000000000007E-2"/>
  </r>
  <r>
    <x v="134"/>
    <x v="134"/>
    <n v="0"/>
    <n v="0"/>
    <n v="0"/>
    <n v="0"/>
    <n v="0"/>
    <s v="≈ 0"/>
    <n v="0"/>
    <n v="0"/>
    <n v="0.01"/>
    <n v="7.0000000000000007E-2"/>
  </r>
  <r>
    <x v="135"/>
    <x v="135"/>
    <n v="0.02"/>
    <n v="0.01"/>
    <n v="0.03"/>
    <n v="0.03"/>
    <n v="0.05"/>
    <n v="7.0000000000000007E-2"/>
    <n v="0.03"/>
    <n v="0.04"/>
    <n v="0.05"/>
    <n v="0.06"/>
  </r>
  <r>
    <x v="136"/>
    <x v="136"/>
    <n v="0"/>
    <s v="≈ 0"/>
    <s v="≈ 0"/>
    <s v="≈ 0"/>
    <n v="0.01"/>
    <s v="≈ 0"/>
    <n v="0"/>
    <n v="0"/>
    <n v="0.04"/>
    <n v="0.06"/>
  </r>
  <r>
    <x v="137"/>
    <x v="137"/>
    <n v="0.11"/>
    <n v="0.16"/>
    <n v="0.3"/>
    <n v="0.04"/>
    <n v="0.02"/>
    <n v="0.01"/>
    <n v="7.0000000000000007E-2"/>
    <n v="0.1"/>
    <n v="0.01"/>
    <n v="0.01"/>
  </r>
  <r>
    <x v="138"/>
    <x v="138"/>
    <n v="0"/>
    <n v="0"/>
    <n v="0"/>
    <n v="0.01"/>
    <n v="0"/>
    <s v="≈ 0"/>
    <n v="0.01"/>
    <n v="0"/>
    <n v="0.02"/>
    <n v="0.01"/>
  </r>
  <r>
    <x v="139"/>
    <x v="139"/>
    <n v="0.02"/>
    <n v="0.01"/>
    <n v="0.01"/>
    <n v="0"/>
    <n v="0"/>
    <n v="0"/>
    <n v="0.01"/>
    <n v="0"/>
    <n v="0.06"/>
    <n v="0.01"/>
  </r>
  <r>
    <x v="140"/>
    <x v="140"/>
    <n v="0"/>
    <n v="0"/>
    <n v="0"/>
    <s v="≈ 0"/>
    <n v="0"/>
    <n v="0.01"/>
    <s v="≈ 0"/>
    <n v="0"/>
    <n v="0"/>
    <n v="0"/>
  </r>
  <r>
    <x v="141"/>
    <x v="141"/>
    <s v="≈ 0"/>
    <n v="0"/>
    <n v="0"/>
    <n v="0"/>
    <n v="0"/>
    <s v="≈ 0"/>
    <s v="≈ 0"/>
    <n v="0"/>
    <n v="0.06"/>
    <n v="0"/>
  </r>
  <r>
    <x v="142"/>
    <x v="142"/>
    <s v="≈ 0"/>
    <n v="0"/>
    <n v="0"/>
    <n v="0"/>
    <n v="0"/>
    <n v="0"/>
    <n v="0"/>
    <n v="0"/>
    <n v="0"/>
    <n v="0"/>
  </r>
  <r>
    <x v="143"/>
    <x v="143"/>
    <n v="51.52"/>
    <n v="114.14"/>
    <n v="168.12"/>
    <n v="147.86000000000001"/>
    <n v="99.18"/>
    <n v="270.66000000000003"/>
    <n v="292.92"/>
    <n v="398.71"/>
    <n v="331.88"/>
    <n v="327.37"/>
  </r>
  <r>
    <x v="144"/>
    <x v="144"/>
    <n v="0.85"/>
    <n v="1"/>
    <n v="0.85"/>
    <n v="0.84"/>
    <n v="0.69"/>
    <n v="1.73"/>
    <n v="3.03"/>
    <n v="3.06"/>
    <n v="3.07"/>
    <n v="3"/>
  </r>
  <r>
    <x v="145"/>
    <x v="145"/>
    <n v="0.76"/>
    <n v="1.1000000000000001"/>
    <n v="1.73"/>
    <n v="1.64"/>
    <n v="1.0900000000000001"/>
    <n v="1.61"/>
    <n v="2.81"/>
    <n v="2.56"/>
    <n v="2.63"/>
    <n v="2.29"/>
  </r>
  <r>
    <x v="146"/>
    <x v="146"/>
    <n v="0.01"/>
    <n v="0"/>
    <n v="0"/>
    <n v="0"/>
    <s v="≈ 0"/>
    <n v="0.02"/>
    <n v="0"/>
    <n v="0.19"/>
    <n v="3.08"/>
    <n v="2.04"/>
  </r>
  <r>
    <x v="147"/>
    <x v="147"/>
    <n v="0.04"/>
    <n v="0.11"/>
    <n v="0.01"/>
    <n v="0"/>
    <n v="0.02"/>
    <n v="0.14000000000000001"/>
    <n v="0.49"/>
    <n v="0.19"/>
    <n v="0.37"/>
    <n v="1.64"/>
  </r>
  <r>
    <x v="148"/>
    <x v="148"/>
    <n v="0.5"/>
    <n v="0.2"/>
    <n v="0.31"/>
    <n v="0.26"/>
    <n v="0.18"/>
    <n v="0.32"/>
    <n v="0.34"/>
    <n v="0.34"/>
    <n v="0.42"/>
    <n v="0.44"/>
  </r>
  <r>
    <x v="149"/>
    <x v="149"/>
    <n v="0.02"/>
    <n v="0.25"/>
    <n v="0.04"/>
    <n v="0.03"/>
    <n v="0.08"/>
    <n v="0.09"/>
    <n v="7.0000000000000007E-2"/>
    <n v="0.06"/>
    <n v="0.09"/>
    <n v="0.17"/>
  </r>
  <r>
    <x v="150"/>
    <x v="150"/>
    <s v="≈ 0"/>
    <s v="≈ 0"/>
    <n v="0"/>
    <n v="0.01"/>
    <n v="0.01"/>
    <n v="0.02"/>
    <n v="0.01"/>
    <n v="0.06"/>
    <n v="0.06"/>
    <n v="0.11"/>
  </r>
  <r>
    <x v="151"/>
    <x v="151"/>
    <n v="0.01"/>
    <n v="0.02"/>
    <n v="0.01"/>
    <n v="0.01"/>
    <n v="0.01"/>
    <n v="0.01"/>
    <n v="0.01"/>
    <n v="0.03"/>
    <n v="0.01"/>
    <n v="0.04"/>
  </r>
  <r>
    <x v="152"/>
    <x v="152"/>
    <n v="0"/>
    <n v="0"/>
    <s v="≈ 0"/>
    <n v="0"/>
    <s v="≈ 0"/>
    <n v="0"/>
    <n v="0"/>
    <n v="0"/>
    <n v="1.3"/>
    <n v="0.03"/>
  </r>
  <r>
    <x v="153"/>
    <x v="153"/>
    <n v="0.55000000000000004"/>
    <n v="0.23"/>
    <n v="0.05"/>
    <n v="0.04"/>
    <n v="0"/>
    <n v="0"/>
    <n v="0.14000000000000001"/>
    <n v="0.37"/>
    <n v="0.71"/>
    <n v="0.02"/>
  </r>
  <r>
    <x v="154"/>
    <x v="154"/>
    <n v="0"/>
    <n v="0.01"/>
    <n v="0"/>
    <n v="0.04"/>
    <n v="0"/>
    <n v="0"/>
    <n v="0"/>
    <s v="≈ 0"/>
    <n v="0.01"/>
    <n v="0"/>
  </r>
  <r>
    <x v="155"/>
    <x v="155"/>
    <n v="0"/>
    <n v="0"/>
    <n v="0"/>
    <n v="0"/>
    <n v="0"/>
    <n v="0"/>
    <n v="0"/>
    <n v="0"/>
    <n v="0"/>
    <n v="0"/>
  </r>
  <r>
    <x v="156"/>
    <x v="156"/>
    <n v="0"/>
    <n v="0"/>
    <n v="0"/>
    <s v="≈ 0"/>
    <n v="0"/>
    <n v="0"/>
    <s v="≈ 0"/>
    <n v="0"/>
    <n v="0"/>
    <n v="0"/>
  </r>
  <r>
    <x v="157"/>
    <x v="157"/>
    <n v="0.02"/>
    <n v="0"/>
    <n v="0"/>
    <n v="0"/>
    <n v="0"/>
    <n v="0"/>
    <n v="0"/>
    <s v="≈ 0"/>
    <n v="0"/>
    <n v="0"/>
  </r>
  <r>
    <x v="158"/>
    <x v="158"/>
    <n v="0.26"/>
    <n v="0.74"/>
    <n v="1.03"/>
    <n v="1.1000000000000001"/>
    <n v="0.59"/>
    <n v="3.76"/>
    <n v="3.02"/>
    <n v="3.62"/>
    <n v="4.42"/>
    <n v="4.2699999999999996"/>
  </r>
  <r>
    <x v="159"/>
    <x v="159"/>
    <n v="1.1000000000000001"/>
    <n v="0.97"/>
    <n v="0.68"/>
    <n v="1.18"/>
    <n v="1.61"/>
    <n v="0.56999999999999995"/>
    <n v="0.49"/>
    <n v="0.6"/>
    <n v="0.67"/>
    <n v="0.84"/>
  </r>
  <r>
    <x v="160"/>
    <x v="160"/>
    <n v="0.08"/>
    <n v="0.05"/>
    <n v="0.16"/>
    <n v="0.15"/>
    <n v="0.16"/>
    <n v="0.24"/>
    <n v="0.23"/>
    <n v="0.36"/>
    <n v="0.28000000000000003"/>
    <n v="0.35"/>
  </r>
  <r>
    <x v="161"/>
    <x v="161"/>
    <n v="0.08"/>
    <n v="0.32"/>
    <n v="0.28000000000000003"/>
    <n v="0.4"/>
    <n v="0.28999999999999998"/>
    <n v="0.35"/>
    <n v="0.37"/>
    <n v="0.32"/>
    <n v="0.3"/>
    <n v="0.22"/>
  </r>
  <r>
    <x v="162"/>
    <x v="162"/>
    <n v="0.2"/>
    <n v="0.21"/>
    <n v="0.13"/>
    <n v="0.12"/>
    <n v="0.16"/>
    <n v="0.17"/>
    <n v="0.16"/>
    <n v="0.14000000000000001"/>
    <n v="0.19"/>
    <n v="0.19"/>
  </r>
  <r>
    <x v="163"/>
    <x v="163"/>
    <n v="0.05"/>
    <n v="0"/>
    <n v="0"/>
    <n v="0.1"/>
    <n v="0.11"/>
    <n v="0.1"/>
    <n v="0.06"/>
    <n v="0.01"/>
    <n v="0.11"/>
    <n v="0.09"/>
  </r>
  <r>
    <x v="164"/>
    <x v="164"/>
    <n v="0.01"/>
    <n v="0.03"/>
    <n v="0.04"/>
    <n v="0.02"/>
    <n v="0.02"/>
    <n v="0.04"/>
    <n v="0.05"/>
    <n v="0.06"/>
    <n v="0.09"/>
    <n v="0.05"/>
  </r>
  <r>
    <x v="165"/>
    <x v="165"/>
    <n v="0.02"/>
    <n v="0.02"/>
    <n v="0.01"/>
    <n v="0"/>
    <n v="0.01"/>
    <n v="0.01"/>
    <n v="0.04"/>
    <n v="0.01"/>
    <n v="0.01"/>
    <n v="0.01"/>
  </r>
  <r>
    <x v="166"/>
    <x v="166"/>
    <n v="0.01"/>
    <n v="0.01"/>
    <n v="0.02"/>
    <n v="0.02"/>
    <n v="0.04"/>
    <n v="0.02"/>
    <n v="0.04"/>
    <n v="0.05"/>
    <n v="0.01"/>
    <n v="0.01"/>
  </r>
  <r>
    <x v="167"/>
    <x v="167"/>
    <n v="0"/>
    <n v="0"/>
    <n v="0"/>
    <n v="0"/>
    <n v="0"/>
    <n v="0"/>
    <n v="0.01"/>
    <n v="0"/>
    <n v="0"/>
    <n v="0"/>
  </r>
  <r>
    <x v="168"/>
    <x v="168"/>
    <n v="0"/>
    <n v="0"/>
    <n v="0"/>
    <s v="≈ 0"/>
    <n v="0"/>
    <n v="0"/>
    <n v="0.01"/>
    <n v="0.01"/>
    <n v="0"/>
    <n v="0"/>
  </r>
  <r>
    <x v="169"/>
    <x v="169"/>
    <n v="64.22"/>
    <n v="72.27"/>
    <n v="154.91"/>
    <n v="45.04"/>
    <n v="31.57"/>
    <n v="151.13"/>
    <n v="98.27"/>
    <n v="145.52000000000001"/>
    <n v="249.63"/>
    <n v="326.3"/>
  </r>
  <r>
    <x v="170"/>
    <x v="170"/>
    <n v="18.18"/>
    <n v="16.350000000000001"/>
    <n v="19.329999999999998"/>
    <n v="18.45"/>
    <n v="14.56"/>
    <n v="21.82"/>
    <n v="33.06"/>
    <n v="34.31"/>
    <n v="34.35"/>
    <n v="40.340000000000003"/>
  </r>
  <r>
    <x v="171"/>
    <x v="171"/>
    <n v="6.5"/>
    <n v="7.17"/>
    <n v="6.14"/>
    <n v="10.4"/>
    <n v="7.51"/>
    <n v="10.27"/>
    <n v="14.4"/>
    <n v="12.97"/>
    <n v="12.78"/>
    <n v="22.46"/>
  </r>
  <r>
    <x v="172"/>
    <x v="172"/>
    <n v="24.09"/>
    <n v="24.01"/>
    <n v="26.77"/>
    <n v="28.54"/>
    <n v="20.85"/>
    <n v="26.87"/>
    <n v="33.880000000000003"/>
    <n v="31.5"/>
    <n v="23.47"/>
    <n v="19.600000000000001"/>
  </r>
  <r>
    <x v="173"/>
    <x v="173"/>
    <n v="12.75"/>
    <n v="12.29"/>
    <n v="13.49"/>
    <n v="13.07"/>
    <n v="16.100000000000001"/>
    <n v="21.35"/>
    <n v="16.559999999999999"/>
    <n v="12.01"/>
    <n v="16.940000000000001"/>
    <n v="19.43"/>
  </r>
  <r>
    <x v="174"/>
    <x v="174"/>
    <n v="5.5"/>
    <n v="10.9"/>
    <n v="13.58"/>
    <n v="17.850000000000001"/>
    <n v="9.1199999999999992"/>
    <n v="17.91"/>
    <n v="17.440000000000001"/>
    <n v="17.53"/>
    <n v="12.47"/>
    <n v="18.53"/>
  </r>
  <r>
    <x v="175"/>
    <x v="175"/>
    <n v="12.05"/>
    <n v="13.29"/>
    <n v="14.49"/>
    <n v="15.52"/>
    <n v="10.49"/>
    <n v="15.93"/>
    <n v="16.41"/>
    <n v="16.43"/>
    <n v="17.45"/>
    <n v="17.100000000000001"/>
  </r>
  <r>
    <x v="176"/>
    <x v="176"/>
    <n v="6.26"/>
    <n v="5.81"/>
    <n v="51.58"/>
    <n v="31.49"/>
    <n v="67.69"/>
    <n v="103.07"/>
    <n v="24.8"/>
    <n v="24.91"/>
    <n v="10.94"/>
    <n v="16.91"/>
  </r>
  <r>
    <x v="177"/>
    <x v="177"/>
    <n v="11.45"/>
    <n v="11.31"/>
    <n v="17.97"/>
    <n v="12.94"/>
    <n v="5.99"/>
    <n v="12.36"/>
    <n v="14.33"/>
    <n v="13.07"/>
    <n v="8.6"/>
    <n v="13.41"/>
  </r>
  <r>
    <x v="178"/>
    <x v="178"/>
    <n v="11.8"/>
    <n v="11.04"/>
    <n v="12.03"/>
    <n v="10.31"/>
    <n v="7.33"/>
    <n v="12.41"/>
    <n v="11.51"/>
    <n v="14.28"/>
    <n v="13.32"/>
    <n v="12.99"/>
  </r>
  <r>
    <x v="179"/>
    <x v="179"/>
    <n v="8.6300000000000008"/>
    <n v="10.79"/>
    <n v="15.26"/>
    <n v="11.33"/>
    <n v="8.4600000000000009"/>
    <n v="14.47"/>
    <n v="13.9"/>
    <n v="14.25"/>
    <n v="12.5"/>
    <n v="12.16"/>
  </r>
  <r>
    <x v="180"/>
    <x v="180"/>
    <n v="3.52"/>
    <n v="3.7"/>
    <n v="4.7699999999999996"/>
    <n v="5.81"/>
    <n v="5.1100000000000003"/>
    <n v="24.02"/>
    <n v="20.41"/>
    <n v="10.71"/>
    <n v="9.32"/>
    <n v="11.25"/>
  </r>
  <r>
    <x v="181"/>
    <x v="181"/>
    <n v="5.34"/>
    <n v="6.46"/>
    <n v="6.87"/>
    <n v="6.61"/>
    <n v="5.84"/>
    <n v="9.51"/>
    <n v="7.9"/>
    <n v="6.85"/>
    <n v="9.6999999999999993"/>
    <n v="9.6"/>
  </r>
  <r>
    <x v="182"/>
    <x v="182"/>
    <n v="1.01"/>
    <n v="1.4"/>
    <n v="1.79"/>
    <n v="2.2999999999999998"/>
    <n v="3.96"/>
    <n v="5.76"/>
    <n v="8.89"/>
    <n v="5.94"/>
    <n v="7.08"/>
    <n v="8.7200000000000006"/>
  </r>
  <r>
    <x v="183"/>
    <x v="183"/>
    <n v="4.3499999999999996"/>
    <n v="4.04"/>
    <n v="8.26"/>
    <n v="6.39"/>
    <n v="5.74"/>
    <n v="3.19"/>
    <n v="6.05"/>
    <n v="3.56"/>
    <n v="4.83"/>
    <n v="7.58"/>
  </r>
  <r>
    <x v="184"/>
    <x v="184"/>
    <n v="2.15"/>
    <n v="1.66"/>
    <n v="1.5"/>
    <n v="1.83"/>
    <n v="1.48"/>
    <n v="0.68"/>
    <n v="1.71"/>
    <n v="2.25"/>
    <n v="3"/>
    <n v="7.18"/>
  </r>
  <r>
    <x v="185"/>
    <x v="185"/>
    <n v="1.53"/>
    <n v="1.7"/>
    <n v="2.96"/>
    <n v="5.66"/>
    <n v="3.27"/>
    <n v="3.21"/>
    <n v="4.6900000000000004"/>
    <n v="6.19"/>
    <n v="3.06"/>
    <n v="6.44"/>
  </r>
  <r>
    <x v="186"/>
    <x v="186"/>
    <n v="8.3800000000000008"/>
    <n v="7.37"/>
    <n v="9.25"/>
    <n v="8.6199999999999992"/>
    <n v="6.1"/>
    <n v="7.33"/>
    <n v="9.64"/>
    <n v="9.57"/>
    <n v="9.8000000000000007"/>
    <n v="4.71"/>
  </r>
  <r>
    <x v="187"/>
    <x v="187"/>
    <n v="3.84"/>
    <n v="4.49"/>
    <n v="5.15"/>
    <n v="6.94"/>
    <n v="5.33"/>
    <n v="8.3000000000000007"/>
    <n v="7.99"/>
    <n v="5.86"/>
    <n v="14.85"/>
    <n v="4.3499999999999996"/>
  </r>
  <r>
    <x v="188"/>
    <x v="188"/>
    <n v="0.42"/>
    <n v="0.13"/>
    <n v="0.01"/>
    <n v="0"/>
    <n v="0"/>
    <n v="0"/>
    <n v="0.35"/>
    <n v="0.42"/>
    <n v="1.72"/>
    <n v="4.08"/>
  </r>
  <r>
    <x v="189"/>
    <x v="189"/>
    <n v="1.48"/>
    <n v="3.62"/>
    <n v="3.4"/>
    <n v="3.48"/>
    <n v="2.15"/>
    <n v="2.4300000000000002"/>
    <n v="3.79"/>
    <n v="3.67"/>
    <n v="2.65"/>
    <n v="3.69"/>
  </r>
  <r>
    <x v="190"/>
    <x v="190"/>
    <n v="5.8"/>
    <n v="1.87"/>
    <n v="1.93"/>
    <n v="4.0599999999999996"/>
    <n v="2.71"/>
    <n v="2.37"/>
    <n v="2.46"/>
    <n v="2.76"/>
    <n v="3.65"/>
    <n v="3.18"/>
  </r>
  <r>
    <x v="191"/>
    <x v="191"/>
    <n v="0.44"/>
    <n v="0.34"/>
    <n v="0.28999999999999998"/>
    <n v="0.79"/>
    <n v="0.81"/>
    <n v="0.67"/>
    <n v="1"/>
    <n v="1.34"/>
    <n v="3.18"/>
    <n v="3.05"/>
  </r>
  <r>
    <x v="192"/>
    <x v="192"/>
    <n v="0.35"/>
    <n v="2.94"/>
    <n v="1.04"/>
    <n v="3.77"/>
    <n v="0.49"/>
    <n v="1.81"/>
    <n v="4.34"/>
    <n v="5.45"/>
    <n v="2.78"/>
    <n v="2.84"/>
  </r>
  <r>
    <x v="193"/>
    <x v="193"/>
    <n v="0.01"/>
    <n v="0"/>
    <s v="≈ 0"/>
    <n v="0"/>
    <n v="1.1399999999999999"/>
    <n v="3.72"/>
    <n v="6.13"/>
    <n v="20.059999999999999"/>
    <n v="2.62"/>
    <n v="2.77"/>
  </r>
  <r>
    <x v="194"/>
    <x v="194"/>
    <n v="0.35"/>
    <n v="0.84"/>
    <n v="1.5"/>
    <n v="0.93"/>
    <n v="1.56"/>
    <n v="1.74"/>
    <n v="2.4700000000000002"/>
    <n v="2.78"/>
    <n v="1.75"/>
    <n v="1.48"/>
  </r>
  <r>
    <x v="195"/>
    <x v="195"/>
    <n v="0.09"/>
    <n v="0.12"/>
    <n v="0.34"/>
    <n v="0.34"/>
    <n v="1.45"/>
    <n v="0.56000000000000005"/>
    <n v="0.64"/>
    <n v="1.06"/>
    <n v="3.22"/>
    <n v="1.43"/>
  </r>
  <r>
    <x v="196"/>
    <x v="196"/>
    <n v="1.55"/>
    <n v="1.49"/>
    <n v="1.56"/>
    <n v="1.06"/>
    <n v="6.64"/>
    <n v="19.87"/>
    <n v="24.99"/>
    <n v="5.37"/>
    <n v="5.62"/>
    <n v="1.32"/>
  </r>
  <r>
    <x v="197"/>
    <x v="197"/>
    <n v="0.1"/>
    <n v="0.11"/>
    <n v="0.83"/>
    <n v="0.31"/>
    <n v="0.17"/>
    <n v="0.12"/>
    <n v="0.06"/>
    <n v="1"/>
    <n v="0.35"/>
    <n v="1.28"/>
  </r>
  <r>
    <x v="198"/>
    <x v="198"/>
    <n v="1.03"/>
    <n v="0.18"/>
    <n v="0.24"/>
    <n v="0.2"/>
    <n v="0.89"/>
    <n v="0"/>
    <n v="0.1"/>
    <n v="0.49"/>
    <n v="0"/>
    <n v="1.24"/>
  </r>
  <r>
    <x v="199"/>
    <x v="199"/>
    <n v="0.43"/>
    <n v="1.0900000000000001"/>
    <n v="1.07"/>
    <n v="0.62"/>
    <n v="0.47"/>
    <n v="0.33"/>
    <n v="0.42"/>
    <n v="1.1599999999999999"/>
    <n v="1"/>
    <n v="1.23"/>
  </r>
  <r>
    <x v="200"/>
    <x v="200"/>
    <n v="0.18"/>
    <n v="0.16"/>
    <n v="0.31"/>
    <n v="0.51"/>
    <n v="7.0000000000000007E-2"/>
    <n v="0.23"/>
    <n v="0.06"/>
    <n v="0.26"/>
    <n v="0.64"/>
    <n v="1.2"/>
  </r>
  <r>
    <x v="201"/>
    <x v="201"/>
    <n v="0.16"/>
    <n v="0.08"/>
    <n v="0.28000000000000003"/>
    <n v="0.54"/>
    <n v="0.39"/>
    <n v="0.82"/>
    <n v="0.53"/>
    <n v="0.57999999999999996"/>
    <n v="0.56000000000000005"/>
    <n v="1.17"/>
  </r>
  <r>
    <x v="202"/>
    <x v="202"/>
    <n v="0.74"/>
    <n v="1.44"/>
    <n v="0.53"/>
    <n v="1.07"/>
    <n v="0.74"/>
    <n v="0.98"/>
    <n v="3.53"/>
    <n v="1.39"/>
    <n v="1.7"/>
    <n v="1.17"/>
  </r>
  <r>
    <x v="203"/>
    <x v="203"/>
    <n v="0.23"/>
    <n v="0.66"/>
    <n v="0.13"/>
    <n v="0.51"/>
    <n v="0.96"/>
    <n v="0.8"/>
    <n v="1.1100000000000001"/>
    <n v="1.26"/>
    <n v="1.31"/>
    <n v="1.07"/>
  </r>
  <r>
    <x v="204"/>
    <x v="204"/>
    <n v="0.61"/>
    <n v="0.42"/>
    <n v="1.25"/>
    <n v="0.48"/>
    <n v="0.13"/>
    <n v="0.31"/>
    <n v="0.02"/>
    <n v="0.11"/>
    <n v="0.28999999999999998"/>
    <n v="0.89"/>
  </r>
  <r>
    <x v="205"/>
    <x v="205"/>
    <n v="0.86"/>
    <n v="0.72"/>
    <n v="0.78"/>
    <n v="0.63"/>
    <n v="0.49"/>
    <n v="0.84"/>
    <n v="1.1200000000000001"/>
    <n v="0.9"/>
    <n v="1.07"/>
    <n v="0.77"/>
  </r>
  <r>
    <x v="206"/>
    <x v="206"/>
    <n v="0.05"/>
    <n v="0.12"/>
    <n v="0.11"/>
    <n v="0.44"/>
    <n v="1.67"/>
    <n v="0.14000000000000001"/>
    <n v="0.64"/>
    <n v="0.61"/>
    <n v="0.71"/>
    <n v="0.55000000000000004"/>
  </r>
  <r>
    <x v="207"/>
    <x v="207"/>
    <n v="0.14000000000000001"/>
    <n v="0.3"/>
    <n v="0.22"/>
    <n v="1"/>
    <n v="7.0000000000000007E-2"/>
    <n v="0.04"/>
    <n v="0.15"/>
    <n v="0.2"/>
    <n v="0.23"/>
    <n v="0.45"/>
  </r>
  <r>
    <x v="208"/>
    <x v="208"/>
    <n v="0.25"/>
    <n v="0.53"/>
    <n v="0.9"/>
    <n v="0.44"/>
    <n v="0.64"/>
    <n v="0.56999999999999995"/>
    <n v="0.45"/>
    <n v="0.28000000000000003"/>
    <n v="0.4"/>
    <n v="0.41"/>
  </r>
  <r>
    <x v="209"/>
    <x v="209"/>
    <n v="2.08"/>
    <n v="3.68"/>
    <n v="3.17"/>
    <n v="2.3199999999999998"/>
    <n v="2.34"/>
    <n v="2.0099999999999998"/>
    <n v="7.0000000000000007E-2"/>
    <n v="0.12"/>
    <n v="0.38"/>
    <n v="0.39"/>
  </r>
  <r>
    <x v="210"/>
    <x v="210"/>
    <n v="7.0000000000000007E-2"/>
    <n v="0.23"/>
    <n v="0.21"/>
    <n v="0.21"/>
    <n v="0.23"/>
    <n v="0.2"/>
    <n v="0.25"/>
    <n v="0.28999999999999998"/>
    <n v="0.28000000000000003"/>
    <n v="0.33"/>
  </r>
  <r>
    <x v="211"/>
    <x v="211"/>
    <n v="6.34"/>
    <n v="0.16"/>
    <n v="0.14000000000000001"/>
    <n v="7.0000000000000007E-2"/>
    <n v="0.13"/>
    <n v="0.21"/>
    <n v="0.22"/>
    <n v="0.09"/>
    <n v="0.12"/>
    <n v="0.27"/>
  </r>
  <r>
    <x v="212"/>
    <x v="212"/>
    <n v="0.01"/>
    <n v="0.24"/>
    <n v="0.22"/>
    <n v="0.56000000000000005"/>
    <n v="1.08"/>
    <n v="0.26"/>
    <n v="0.69"/>
    <n v="0.5"/>
    <n v="0"/>
    <n v="0.19"/>
  </r>
  <r>
    <x v="213"/>
    <x v="213"/>
    <n v="0.14000000000000001"/>
    <n v="0.16"/>
    <n v="0.35"/>
    <n v="0.37"/>
    <n v="0.18"/>
    <n v="0.17"/>
    <n v="0.27"/>
    <n v="0.15"/>
    <n v="0.21"/>
    <n v="0.17"/>
  </r>
  <r>
    <x v="214"/>
    <x v="214"/>
    <n v="1.49"/>
    <n v="0.06"/>
    <n v="0.01"/>
    <n v="0.06"/>
    <n v="0.53"/>
    <n v="0.01"/>
    <n v="0.04"/>
    <n v="0.25"/>
    <n v="0.1"/>
    <n v="0.16"/>
  </r>
  <r>
    <x v="215"/>
    <x v="215"/>
    <n v="0.11"/>
    <n v="0.51"/>
    <n v="0.02"/>
    <n v="0.15"/>
    <n v="0.08"/>
    <n v="0.01"/>
    <n v="0.21"/>
    <n v="0.21"/>
    <n v="0.18"/>
    <n v="0.16"/>
  </r>
  <r>
    <x v="216"/>
    <x v="216"/>
    <n v="0.02"/>
    <n v="0.28999999999999998"/>
    <n v="0.1"/>
    <n v="0.02"/>
    <n v="0.02"/>
    <n v="0.01"/>
    <n v="7.0000000000000007E-2"/>
    <n v="0.14000000000000001"/>
    <n v="0.05"/>
    <n v="0.16"/>
  </r>
  <r>
    <x v="217"/>
    <x v="217"/>
    <n v="0.21"/>
    <n v="0.35"/>
    <n v="0.09"/>
    <n v="0.04"/>
    <n v="0.11"/>
    <n v="0.03"/>
    <n v="0.84"/>
    <n v="7.0000000000000007E-2"/>
    <n v="1.94"/>
    <n v="0.15"/>
  </r>
  <r>
    <x v="218"/>
    <x v="218"/>
    <n v="0.01"/>
    <n v="0.05"/>
    <n v="0.01"/>
    <n v="0.05"/>
    <n v="7.0000000000000007E-2"/>
    <n v="0.08"/>
    <n v="0.13"/>
    <n v="0.05"/>
    <n v="0.1"/>
    <n v="0.15"/>
  </r>
  <r>
    <x v="219"/>
    <x v="219"/>
    <n v="0"/>
    <s v="≈ 0"/>
    <n v="0.01"/>
    <n v="0.03"/>
    <n v="0.02"/>
    <n v="0.2"/>
    <n v="0.06"/>
    <n v="0.05"/>
    <n v="0.11"/>
    <n v="0.12"/>
  </r>
  <r>
    <x v="220"/>
    <x v="220"/>
    <n v="0"/>
    <n v="1.0900000000000001"/>
    <n v="0"/>
    <n v="0.01"/>
    <n v="0.23"/>
    <n v="0.05"/>
    <n v="0"/>
    <n v="0.24"/>
    <n v="0.05"/>
    <n v="0.12"/>
  </r>
  <r>
    <x v="221"/>
    <x v="221"/>
    <n v="0.11"/>
    <n v="0"/>
    <n v="0.02"/>
    <n v="0"/>
    <n v="0.13"/>
    <n v="0.01"/>
    <n v="0.02"/>
    <n v="0.01"/>
    <n v="0.1"/>
    <n v="0.11"/>
  </r>
  <r>
    <x v="222"/>
    <x v="222"/>
    <n v="0.11"/>
    <n v="0.24"/>
    <n v="0.01"/>
    <n v="0.56999999999999995"/>
    <n v="0.33"/>
    <n v="0.27"/>
    <n v="0.04"/>
    <n v="0.01"/>
    <n v="0.1"/>
    <n v="0.11"/>
  </r>
  <r>
    <x v="223"/>
    <x v="223"/>
    <n v="0.01"/>
    <n v="0.1"/>
    <n v="0.13"/>
    <n v="0.36"/>
    <n v="0.14000000000000001"/>
    <n v="0.26"/>
    <n v="0.02"/>
    <n v="0.14000000000000001"/>
    <n v="0.05"/>
    <n v="0.1"/>
  </r>
  <r>
    <x v="224"/>
    <x v="224"/>
    <n v="0"/>
    <n v="0"/>
    <n v="0"/>
    <n v="0"/>
    <n v="0.66"/>
    <n v="0.25"/>
    <n v="0.03"/>
    <n v="0"/>
    <n v="0"/>
    <n v="7.0000000000000007E-2"/>
  </r>
  <r>
    <x v="225"/>
    <x v="225"/>
    <n v="0.01"/>
    <n v="0.02"/>
    <n v="0.01"/>
    <n v="0.01"/>
    <n v="0.02"/>
    <n v="0"/>
    <n v="0.01"/>
    <n v="0.01"/>
    <n v="0.02"/>
    <n v="0.06"/>
  </r>
  <r>
    <x v="226"/>
    <x v="226"/>
    <n v="0"/>
    <n v="0"/>
    <n v="0"/>
    <s v="≈ 0"/>
    <n v="0"/>
    <n v="0"/>
    <n v="0"/>
    <n v="0"/>
    <n v="0.11"/>
    <n v="0.06"/>
  </r>
  <r>
    <x v="227"/>
    <x v="227"/>
    <n v="0"/>
    <n v="0.17"/>
    <n v="0.08"/>
    <n v="0.03"/>
    <n v="0"/>
    <n v="0.28000000000000003"/>
    <n v="0.09"/>
    <n v="0.32"/>
    <n v="0.01"/>
    <n v="0.04"/>
  </r>
  <r>
    <x v="228"/>
    <x v="228"/>
    <n v="0.09"/>
    <n v="0.1"/>
    <n v="0.02"/>
    <n v="0.02"/>
    <n v="0.01"/>
    <n v="0.02"/>
    <n v="0.2"/>
    <n v="0.03"/>
    <n v="0.03"/>
    <n v="0.03"/>
  </r>
  <r>
    <x v="229"/>
    <x v="229"/>
    <n v="0.3"/>
    <n v="0.04"/>
    <n v="0.01"/>
    <n v="0.56000000000000005"/>
    <n v="0.06"/>
    <n v="0"/>
    <n v="0.06"/>
    <n v="0.37"/>
    <n v="0.12"/>
    <n v="0.03"/>
  </r>
  <r>
    <x v="230"/>
    <x v="230"/>
    <n v="0.24"/>
    <n v="0.35"/>
    <n v="0.13"/>
    <n v="1.17"/>
    <n v="0.53"/>
    <n v="0.68"/>
    <n v="0.19"/>
    <n v="0.03"/>
    <n v="0.21"/>
    <n v="0.03"/>
  </r>
  <r>
    <x v="231"/>
    <x v="231"/>
    <n v="0.38"/>
    <n v="0"/>
    <n v="0.09"/>
    <n v="0.21"/>
    <n v="0.03"/>
    <n v="0.02"/>
    <n v="0"/>
    <n v="0"/>
    <n v="0.01"/>
    <n v="0.03"/>
  </r>
  <r>
    <x v="232"/>
    <x v="232"/>
    <n v="0"/>
    <s v="≈ 0"/>
    <n v="0.01"/>
    <n v="0.04"/>
    <n v="0"/>
    <n v="0.03"/>
    <n v="0.01"/>
    <n v="0"/>
    <n v="0"/>
    <n v="0.03"/>
  </r>
  <r>
    <x v="233"/>
    <x v="233"/>
    <n v="0"/>
    <s v="≈ 0"/>
    <s v="≈ 0"/>
    <s v="≈ 0"/>
    <n v="0"/>
    <s v="≈ 0"/>
    <s v="≈ 0"/>
    <n v="0"/>
    <n v="0.01"/>
    <n v="0.03"/>
  </r>
  <r>
    <x v="234"/>
    <x v="234"/>
    <n v="6.37"/>
    <n v="13.43"/>
    <n v="16.760000000000002"/>
    <n v="14.77"/>
    <n v="15.76"/>
    <n v="21.65"/>
    <n v="4.47"/>
    <n v="22.79"/>
    <n v="0.4"/>
    <n v="0.03"/>
  </r>
  <r>
    <x v="235"/>
    <x v="235"/>
    <n v="0.01"/>
    <n v="0.25"/>
    <n v="0.19"/>
    <n v="0.32"/>
    <n v="0.16"/>
    <n v="0.1"/>
    <n v="0.19"/>
    <n v="0"/>
    <n v="0.01"/>
    <n v="0.02"/>
  </r>
  <r>
    <x v="236"/>
    <x v="236"/>
    <n v="0.02"/>
    <n v="0.01"/>
    <n v="0"/>
    <n v="0.02"/>
    <n v="0"/>
    <n v="0.01"/>
    <n v="0"/>
    <n v="0.2"/>
    <n v="0.01"/>
    <n v="0.01"/>
  </r>
  <r>
    <x v="237"/>
    <x v="237"/>
    <n v="0.04"/>
    <n v="0.16"/>
    <n v="0.01"/>
    <n v="0.02"/>
    <n v="0"/>
    <n v="0.03"/>
    <n v="0"/>
    <n v="0.01"/>
    <n v="0.14000000000000001"/>
    <n v="0.01"/>
  </r>
  <r>
    <x v="238"/>
    <x v="238"/>
    <n v="0"/>
    <n v="0"/>
    <n v="0"/>
    <n v="0"/>
    <n v="0"/>
    <n v="0"/>
    <n v="0"/>
    <n v="0"/>
    <n v="0.02"/>
    <n v="0.01"/>
  </r>
  <r>
    <x v="239"/>
    <x v="239"/>
    <n v="0.19"/>
    <n v="0.01"/>
    <n v="0"/>
    <n v="0"/>
    <n v="0"/>
    <n v="0.03"/>
    <n v="0.12"/>
    <n v="0.03"/>
    <n v="0.01"/>
    <n v="0.01"/>
  </r>
  <r>
    <x v="240"/>
    <x v="240"/>
    <n v="0.35"/>
    <n v="0.13"/>
    <n v="0.11"/>
    <n v="0"/>
    <n v="0.11"/>
    <n v="0.01"/>
    <n v="0.44"/>
    <n v="0"/>
    <n v="0.08"/>
    <n v="0"/>
  </r>
  <r>
    <x v="241"/>
    <x v="241"/>
    <n v="0"/>
    <n v="0.03"/>
    <n v="0"/>
    <n v="0"/>
    <n v="0"/>
    <n v="0"/>
    <n v="0"/>
    <n v="0"/>
    <n v="0"/>
    <n v="0"/>
  </r>
  <r>
    <x v="242"/>
    <x v="242"/>
    <n v="0.22"/>
    <n v="0.39"/>
    <n v="0.4"/>
    <n v="0.36"/>
    <n v="0.32"/>
    <n v="0.27"/>
    <s v="≈ 0"/>
    <n v="0"/>
    <n v="0"/>
    <n v="0"/>
  </r>
  <r>
    <x v="243"/>
    <x v="243"/>
    <n v="0.04"/>
    <n v="0"/>
    <s v="≈ 0"/>
    <s v="≈ 0"/>
    <n v="0.09"/>
    <s v="≈ 0"/>
    <s v="≈ 0"/>
    <n v="0.01"/>
    <n v="0"/>
    <n v="0"/>
  </r>
  <r>
    <x v="244"/>
    <x v="244"/>
    <n v="0"/>
    <n v="0"/>
    <n v="0"/>
    <n v="0"/>
    <n v="0"/>
    <n v="0"/>
    <n v="0"/>
    <n v="0"/>
    <n v="0"/>
    <n v="0"/>
  </r>
  <r>
    <x v="245"/>
    <x v="245"/>
    <n v="0"/>
    <n v="0"/>
    <n v="0.02"/>
    <n v="0"/>
    <n v="0"/>
    <n v="0"/>
    <n v="0"/>
    <n v="0"/>
    <n v="0"/>
    <n v="0"/>
  </r>
  <r>
    <x v="246"/>
    <x v="246"/>
    <n v="0"/>
    <s v="≈ 0"/>
    <n v="0"/>
    <n v="0"/>
    <n v="0"/>
    <n v="0"/>
    <n v="0"/>
    <n v="0"/>
    <n v="0"/>
    <n v="0"/>
  </r>
  <r>
    <x v="247"/>
    <x v="247"/>
    <n v="0"/>
    <n v="0.01"/>
    <n v="0"/>
    <n v="0"/>
    <n v="0"/>
    <n v="0"/>
    <n v="0"/>
    <n v="0"/>
    <n v="0.01"/>
    <n v="0"/>
  </r>
  <r>
    <x v="248"/>
    <x v="248"/>
    <n v="0"/>
    <n v="0"/>
    <n v="0"/>
    <n v="0"/>
    <n v="0"/>
    <n v="0"/>
    <n v="0"/>
    <n v="0"/>
    <n v="0"/>
    <n v="0"/>
  </r>
  <r>
    <x v="249"/>
    <x v="249"/>
    <s v="≈ 0"/>
    <n v="0"/>
    <n v="0"/>
    <n v="0.45"/>
    <n v="0.15"/>
    <n v="0.16"/>
    <n v="0"/>
    <n v="0"/>
    <n v="0"/>
    <n v="0"/>
  </r>
  <r>
    <x v="250"/>
    <x v="250"/>
    <n v="0"/>
    <n v="0"/>
    <n v="0"/>
    <n v="0.01"/>
    <n v="0"/>
    <n v="0"/>
    <n v="0.02"/>
    <n v="0.01"/>
    <n v="0"/>
    <n v="0"/>
  </r>
  <r>
    <x v="251"/>
    <x v="251"/>
    <n v="0.11"/>
    <n v="0.01"/>
    <n v="0"/>
    <s v="≈ 0"/>
    <s v="≈ 0"/>
    <n v="0"/>
    <n v="0"/>
    <n v="0"/>
    <n v="0"/>
    <n v="0"/>
  </r>
  <r>
    <x v="252"/>
    <x v="252"/>
    <n v="0.16"/>
    <s v="≈ 0"/>
    <n v="0"/>
    <n v="0"/>
    <n v="0.01"/>
    <n v="0"/>
    <n v="0"/>
    <n v="0.01"/>
    <n v="0.02"/>
    <n v="0"/>
  </r>
</pivotCacheRecords>
</file>

<file path=xl/pivotCache/pivotCacheRecords3.xml><?xml version="1.0" encoding="utf-8"?>
<pivotCacheRecords xmlns="http://schemas.openxmlformats.org/spreadsheetml/2006/main" xmlns:r="http://schemas.openxmlformats.org/officeDocument/2006/relationships" count="258">
  <r>
    <n v="8542"/>
    <s v="Electronic integrated circuits; parts thereof "/>
    <n v="92.55"/>
    <n v="123.06"/>
    <n v="101.01"/>
    <n v="97.75"/>
    <n v="100.71"/>
    <n v="151.05000000000001"/>
    <n v="215.05"/>
    <n v="313.52"/>
    <n v="420.33"/>
    <n v="445.84"/>
    <x v="0"/>
  </r>
  <r>
    <n v="8536"/>
    <s v="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 "/>
    <n v="115.76"/>
    <n v="129.6"/>
    <n v="131.68"/>
    <n v="108.33"/>
    <n v="108.49"/>
    <n v="154.6"/>
    <n v="184.61"/>
    <n v="194.14"/>
    <n v="192.44"/>
    <n v="247.91"/>
    <x v="0"/>
  </r>
  <r>
    <n v="8541"/>
    <s v="Semiconductor devices &quot;e.g. diodes, transistors, semiconductor-based transducers&quot;; photosensitive semiconductor devices, incl. photovoltaic cells whether or not assembled in modules or made up into panels (excl. photovoltaic generators); light emitting diodes &quot;LED&quot;, whether or not assembled with other light-emitting diodes &quot;LED&quot;; mounted piezoelectric crystals; parts thereof "/>
    <n v="137.75"/>
    <n v="112.73"/>
    <n v="93.91"/>
    <n v="114.07"/>
    <n v="98.8"/>
    <n v="111.71"/>
    <n v="158.28"/>
    <n v="222.86"/>
    <n v="184.92"/>
    <n v="219.5"/>
    <x v="0"/>
  </r>
  <r>
    <n v="8504"/>
    <s v="Electrical transformers, static converters, e.g. rectifiers, and inductors; parts thereof "/>
    <n v="59.42"/>
    <n v="80.12"/>
    <n v="87.57"/>
    <n v="95.71"/>
    <n v="60.61"/>
    <n v="90.03"/>
    <n v="84.43"/>
    <n v="111.37"/>
    <n v="94.92"/>
    <n v="158.44999999999999"/>
    <x v="0"/>
  </r>
  <r>
    <n v="8537"/>
    <s v="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 "/>
    <n v="71"/>
    <n v="72.790000000000006"/>
    <n v="105.87"/>
    <n v="74.02"/>
    <n v="55.23"/>
    <n v="114.25"/>
    <n v="130.24"/>
    <n v="111.94"/>
    <n v="115.82"/>
    <n v="132.09"/>
    <x v="0"/>
  </r>
  <r>
    <n v="8515"/>
    <s v="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 "/>
    <n v="48.79"/>
    <n v="33.119999999999997"/>
    <n v="41.69"/>
    <n v="86.16"/>
    <n v="52.85"/>
    <n v="70.12"/>
    <n v="47.4"/>
    <n v="82.1"/>
    <n v="104.45"/>
    <n v="115.28"/>
    <x v="0"/>
  </r>
  <r>
    <n v="8532"/>
    <s v="Electrical capacitors, fixed, variable or adjustable &quot;pre-set&quot;; parts thereof "/>
    <n v="39.22"/>
    <n v="38.83"/>
    <n v="31.69"/>
    <n v="40.29"/>
    <n v="29.83"/>
    <n v="31.94"/>
    <n v="49.54"/>
    <n v="62.62"/>
    <n v="87.49"/>
    <n v="115.1"/>
    <x v="0"/>
  </r>
  <r>
    <n v="8511"/>
    <s v="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 "/>
    <n v="42.34"/>
    <n v="46.24"/>
    <n v="47.24"/>
    <n v="33.450000000000003"/>
    <n v="24.31"/>
    <n v="41.27"/>
    <n v="69.78"/>
    <n v="85.24"/>
    <n v="98.95"/>
    <n v="107.02"/>
    <x v="0"/>
  </r>
  <r>
    <n v="8507"/>
    <s v="Electric accumulators, incl. separators therefor, whether or not square or rectangular; parts thereof (excl. spent and those of unhardened rubber or textiles) "/>
    <n v="25.83"/>
    <n v="31.08"/>
    <n v="36.380000000000003"/>
    <n v="30.89"/>
    <n v="31.89"/>
    <n v="56.74"/>
    <n v="85.42"/>
    <n v="86.64"/>
    <n v="65.349999999999994"/>
    <n v="105.78"/>
    <x v="0"/>
  </r>
  <r>
    <n v="8501"/>
    <s v="Electric motors and generators (excl. generating sets) "/>
    <n v="74.47"/>
    <n v="104.29"/>
    <n v="111.55"/>
    <n v="94.32"/>
    <n v="47.97"/>
    <n v="64.319999999999993"/>
    <n v="73.58"/>
    <n v="84.01"/>
    <n v="74.349999999999994"/>
    <n v="79.78"/>
    <x v="0"/>
  </r>
  <r>
    <n v="8525"/>
    <s v="Transmission apparatus for radio-broadcasting or television, whether or not incorporating reception apparatus or sound recording or reproducing apparatus; television cameras, digital cameras and video camera recorders "/>
    <n v="75.94"/>
    <n v="97.92"/>
    <n v="84.09"/>
    <n v="96.91"/>
    <n v="51"/>
    <n v="61.5"/>
    <n v="79.61"/>
    <n v="63.91"/>
    <n v="50.55"/>
    <n v="76.8"/>
    <x v="0"/>
  </r>
  <r>
    <n v="8538"/>
    <s v="Parts suitable for use solely or principally with the apparatus of heading 8535, 8536 or 8537, n.e.s. "/>
    <n v="45.12"/>
    <n v="44.06"/>
    <n v="50.34"/>
    <n v="63.21"/>
    <n v="45.5"/>
    <n v="57.19"/>
    <n v="59.03"/>
    <n v="66.87"/>
    <n v="59.68"/>
    <n v="73.69"/>
    <x v="0"/>
  </r>
  <r>
    <n v="8544"/>
    <s v="Insulated &quot;incl. enamelled or anodised&quot; wire, cable &quot;incl. coaxial cable&quot; and other insulated electric conductors, whether or not fitted with connectors; optical fibre cables, made up of individually sheathed fibres, whether or not assembled with electric conductors or fitted with connectors "/>
    <n v="29.58"/>
    <n v="29.61"/>
    <n v="64.48"/>
    <n v="54.73"/>
    <n v="27.12"/>
    <n v="29.6"/>
    <n v="47.86"/>
    <n v="50.24"/>
    <n v="49.16"/>
    <n v="72.37"/>
    <x v="0"/>
  </r>
  <r>
    <n v="8524"/>
    <s v="Flat panel display modules, whether or not incorporating touch-sensitive screens "/>
    <n v="0"/>
    <n v="0"/>
    <n v="0"/>
    <n v="0"/>
    <n v="0"/>
    <n v="0"/>
    <n v="25.93"/>
    <n v="26.67"/>
    <n v="32.21"/>
    <n v="65.28"/>
    <x v="0"/>
  </r>
  <r>
    <n v="8517"/>
    <s v="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
    <n v="91.35"/>
    <n v="84.82"/>
    <n v="118.59"/>
    <n v="102.31"/>
    <n v="55.96"/>
    <n v="44.01"/>
    <n v="37.9"/>
    <n v="57.93"/>
    <n v="54.63"/>
    <n v="57.09"/>
    <x v="0"/>
  </r>
  <r>
    <n v="8547"/>
    <s v="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n v="30.11"/>
    <n v="33.299999999999997"/>
    <n v="34.19"/>
    <n v="26.11"/>
    <n v="26.74"/>
    <n v="40.47"/>
    <n v="41.54"/>
    <n v="42.63"/>
    <n v="47.14"/>
    <n v="56.87"/>
    <x v="0"/>
  </r>
  <r>
    <n v="8543"/>
    <s v="Electrical machines and apparatus, having individual functions, n.e.s. in chapter 85 and parts thereof "/>
    <n v="46.86"/>
    <n v="29.89"/>
    <n v="41.82"/>
    <n v="46.15"/>
    <n v="25.31"/>
    <n v="34.619999999999997"/>
    <n v="56.29"/>
    <n v="43.24"/>
    <n v="43.45"/>
    <n v="54.97"/>
    <x v="0"/>
  </r>
  <r>
    <n v="8533"/>
    <s v="Electrical resistors, incl. rheostats and potentiometers (excl. heating resistors); parts thereof "/>
    <n v="15.61"/>
    <n v="18.309999999999999"/>
    <n v="27.34"/>
    <n v="24.3"/>
    <n v="16.21"/>
    <n v="17.010000000000002"/>
    <n v="19.02"/>
    <n v="23.95"/>
    <n v="28.2"/>
    <n v="36.68"/>
    <x v="0"/>
  </r>
  <r>
    <n v="8512"/>
    <s v="Electrical lighting or signalling equipment (excl. lamps of heading 8539), windscreen wipers, defrosters and demisters, of a kind used for cycles or motor vehicles; parts thereof "/>
    <n v="13.45"/>
    <n v="35.380000000000003"/>
    <n v="39.69"/>
    <n v="20.63"/>
    <n v="11.72"/>
    <n v="17.41"/>
    <n v="20.18"/>
    <n v="19.8"/>
    <n v="23.54"/>
    <n v="33.65"/>
    <x v="0"/>
  </r>
  <r>
    <n v="8523"/>
    <s v="Discs, tapes, solid-state non-volatile storage devices, &quot;smart cards&quot; and other media for the recording of sound or of other phenomena, whether or not recorded, incl. matrices and masters for the production of discs (excl. products of chapter 37) "/>
    <n v="26.82"/>
    <n v="28.42"/>
    <n v="23.19"/>
    <n v="33.47"/>
    <n v="17"/>
    <n v="17.66"/>
    <n v="17.690000000000001"/>
    <n v="18.95"/>
    <n v="24.11"/>
    <n v="33.26"/>
    <x v="0"/>
  </r>
  <r>
    <n v="8503"/>
    <s v="Parts suitable for use solely or principally with electric motors and generators, electric generating sets and rotary converters, n.e.s. "/>
    <n v="23.02"/>
    <n v="20.69"/>
    <n v="34.520000000000003"/>
    <n v="40.29"/>
    <n v="23.95"/>
    <n v="32.369999999999997"/>
    <n v="39.479999999999997"/>
    <n v="57.79"/>
    <n v="27.21"/>
    <n v="29.13"/>
    <x v="0"/>
  </r>
  <r>
    <n v="8505"/>
    <s v="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 "/>
    <n v="5.26"/>
    <n v="6.02"/>
    <n v="7.44"/>
    <n v="11.04"/>
    <n v="9.93"/>
    <n v="13.91"/>
    <n v="15.21"/>
    <n v="15.39"/>
    <n v="19.239999999999998"/>
    <n v="26.22"/>
    <x v="0"/>
  </r>
  <r>
    <n v="8539"/>
    <s v="Electric filament or discharge lamps, incl. sealed beam lamp units and ultraviolet or infra-red lamps; arc lamps; light-emitting diode &quot;LED&quot; light sources; parts thereof "/>
    <n v="6.41"/>
    <n v="9.44"/>
    <n v="9.39"/>
    <n v="9.06"/>
    <n v="5.49"/>
    <n v="9.1199999999999992"/>
    <n v="9.59"/>
    <n v="12.04"/>
    <n v="15.75"/>
    <n v="12.56"/>
    <x v="0"/>
  </r>
  <r>
    <n v="8534"/>
    <s v="Printed circuits "/>
    <n v="1.7"/>
    <n v="3.14"/>
    <n v="5.5"/>
    <n v="4.49"/>
    <n v="4.24"/>
    <n v="7.32"/>
    <n v="8.44"/>
    <n v="9.0399999999999991"/>
    <n v="8.3800000000000008"/>
    <n v="12.12"/>
    <x v="0"/>
  </r>
  <r>
    <n v="8514"/>
    <s v="Industrial or laboratory electric furnaces and ovens, incl. those functioning by induction or dielectric loss; other industrial or laboratory equipment for the heat treatment of materials by induction or dielectric loss; parts thereof "/>
    <n v="11.27"/>
    <n v="5.0999999999999996"/>
    <n v="14.63"/>
    <n v="21.74"/>
    <n v="6.53"/>
    <n v="4.03"/>
    <n v="11.17"/>
    <n v="7.78"/>
    <n v="9.27"/>
    <n v="11.32"/>
    <x v="0"/>
  </r>
  <r>
    <n v="8529"/>
    <s v="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
    <n v="6.92"/>
    <n v="8.68"/>
    <n v="7.42"/>
    <n v="7.4"/>
    <n v="5.46"/>
    <n v="12.46"/>
    <n v="9.1300000000000008"/>
    <n v="10.36"/>
    <n v="9.84"/>
    <n v="10.23"/>
    <x v="0"/>
  </r>
  <r>
    <n v="8540"/>
    <s v="Thermionic, cold cathode or photo-cathode valves and tubes, e.g. vacuum or vapour or gas filled valves and tubes, mercury arc rectifying valves and tubes, cathode ray tubes and television camera tubes; parts thereof "/>
    <n v="0.35"/>
    <n v="0.48"/>
    <n v="1.17"/>
    <n v="2.67"/>
    <n v="2.35"/>
    <n v="4.18"/>
    <n v="5.24"/>
    <n v="6.08"/>
    <n v="7.16"/>
    <n v="9.3699999999999992"/>
    <x v="0"/>
  </r>
  <r>
    <n v="8516"/>
    <s v="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 "/>
    <n v="3.7"/>
    <n v="4.3499999999999996"/>
    <n v="5.83"/>
    <n v="6.25"/>
    <n v="6.98"/>
    <n v="7.99"/>
    <n v="5.32"/>
    <n v="7.67"/>
    <n v="8.74"/>
    <n v="8.83"/>
    <x v="0"/>
  </r>
  <r>
    <n v="8545"/>
    <s v="Carbon electrodes, carbon brushes, lamp carbons, battery carbons and other articles of graphite or other carbon, with or without metal, of a kind used for electrical purposes "/>
    <n v="3.2"/>
    <n v="4.03"/>
    <n v="9.64"/>
    <n v="12.81"/>
    <n v="6.49"/>
    <n v="11.19"/>
    <n v="4.66"/>
    <n v="4.5999999999999996"/>
    <n v="3.16"/>
    <n v="8.3800000000000008"/>
    <x v="0"/>
  </r>
  <r>
    <n v="8528"/>
    <s v="Monitors and projectors, not incorporating television reception apparatus; reception apparatus for television, whether or not incorporating radio-broadcast receivers or sound or video recording or reproducing apparatus "/>
    <n v="11.3"/>
    <n v="14.53"/>
    <n v="15.08"/>
    <n v="10.96"/>
    <n v="5.61"/>
    <n v="5.69"/>
    <n v="7.54"/>
    <n v="10.62"/>
    <n v="5.66"/>
    <n v="8.19"/>
    <x v="0"/>
  </r>
  <r>
    <n v="8530"/>
    <s v="Electrical signalling, safety or traffic control equipment for railways, tramways, roads, inland waterways, parking facilities, port installations or airfields (excl. mechanical or electromechanical equipment of heading 8608); parts thereof "/>
    <n v="1.41"/>
    <n v="0.43"/>
    <n v="7.09"/>
    <n v="13.86"/>
    <n v="8.31"/>
    <n v="10.55"/>
    <n v="4.3"/>
    <n v="4.5599999999999996"/>
    <n v="9.11"/>
    <n v="7.96"/>
    <x v="0"/>
  </r>
  <r>
    <n v="8518"/>
    <s v="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 "/>
    <n v="2.82"/>
    <n v="3.53"/>
    <n v="5.17"/>
    <n v="5.44"/>
    <n v="3.77"/>
    <n v="3.78"/>
    <n v="3.82"/>
    <n v="4.0999999999999996"/>
    <n v="4.0199999999999996"/>
    <n v="6.73"/>
    <x v="0"/>
  </r>
  <r>
    <n v="8506"/>
    <s v="Primary cells and primary batteries, electrical; parts thereof (excl. spent) "/>
    <n v="3.87"/>
    <n v="3.4"/>
    <n v="2.98"/>
    <n v="1.95"/>
    <n v="1.56"/>
    <n v="2.48"/>
    <n v="4.76"/>
    <n v="5.0199999999999996"/>
    <n v="4.57"/>
    <n v="6.55"/>
    <x v="0"/>
  </r>
  <r>
    <n v="8531"/>
    <s v="Electric sound or visual signalling apparatus, e.g. bells, sirens, indicator panels, burglar or fire alarms (excl. those for cycles, motor vehicles and traffic signalling); parts thereof "/>
    <n v="1.65"/>
    <n v="2.25"/>
    <n v="1.99"/>
    <n v="2"/>
    <n v="0.98"/>
    <n v="2.3199999999999998"/>
    <n v="3.36"/>
    <n v="2"/>
    <n v="2.19"/>
    <n v="2.5299999999999998"/>
    <x v="0"/>
  </r>
  <r>
    <n v="8546"/>
    <s v="Electrical insulators of any material (excl. insulating fittings) "/>
    <n v="1.19"/>
    <n v="1.36"/>
    <n v="0.82"/>
    <n v="0.55000000000000004"/>
    <n v="0.37"/>
    <n v="0.74"/>
    <n v="0.49"/>
    <n v="0.3"/>
    <n v="0.39"/>
    <n v="2.29"/>
    <x v="0"/>
  </r>
  <r>
    <n v="8535"/>
    <s v="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 "/>
    <n v="2.54"/>
    <n v="1.28"/>
    <n v="2.78"/>
    <n v="6.28"/>
    <n v="1.95"/>
    <n v="2.41"/>
    <n v="1.84"/>
    <n v="1.08"/>
    <n v="5.62"/>
    <n v="1.46"/>
    <x v="0"/>
  </r>
  <r>
    <n v="8527"/>
    <s v="Reception apparatus for radio-broadcasting, whether or not combined, in the same housing, with sound recording or reproducing apparatus or a clock "/>
    <n v="0.15"/>
    <n v="0.16"/>
    <n v="0.7"/>
    <n v="0.38"/>
    <n v="0.09"/>
    <n v="0.32"/>
    <n v="0.27"/>
    <n v="0.37"/>
    <n v="0.69"/>
    <n v="1.4"/>
    <x v="0"/>
  </r>
  <r>
    <n v="8526"/>
    <s v="Radar apparatus, radio navigational aid apparatus and radio remote control apparatus "/>
    <n v="0.63"/>
    <n v="0.44"/>
    <n v="0.28000000000000003"/>
    <n v="0.59"/>
    <n v="1.62"/>
    <n v="0.21"/>
    <n v="0.2"/>
    <n v="0.35"/>
    <n v="1.02"/>
    <n v="0.65"/>
    <x v="0"/>
  </r>
  <r>
    <n v="8521"/>
    <s v="Video recording or reproducing apparatus, whether or not incorporating a video tuner (excl. video camera recorders) "/>
    <n v="0.45"/>
    <n v="0.46"/>
    <n v="0.28000000000000003"/>
    <n v="0.15"/>
    <n v="0.41"/>
    <n v="0.4"/>
    <n v="0.47"/>
    <n v="0.44"/>
    <n v="0.6"/>
    <n v="0.61"/>
    <x v="0"/>
  </r>
  <r>
    <n v="8502"/>
    <s v="Electric generating sets and rotary converters "/>
    <n v="2.2400000000000002"/>
    <n v="1.95"/>
    <n v="0.42"/>
    <n v="7.23"/>
    <n v="2.2400000000000002"/>
    <n v="0.55000000000000004"/>
    <n v="0.01"/>
    <n v="0.11"/>
    <n v="0.05"/>
    <n v="0.12"/>
    <x v="0"/>
  </r>
  <r>
    <n v="8522"/>
    <s v="Parts and accessories suitable for use solely or principally with sound reproducing and recording apparatus and with video equipment for recording and reproducing pictures and sound "/>
    <n v="1"/>
    <n v="0.46"/>
    <n v="0.23"/>
    <n v="0.05"/>
    <n v="0.01"/>
    <n v="0.01"/>
    <n v="0.02"/>
    <n v="0.03"/>
    <n v="0.08"/>
    <n v="0.08"/>
    <x v="0"/>
  </r>
  <r>
    <n v="8508"/>
    <s v="Vacuum cleaners, incl. dry cleaners and wet vacuum cleaners "/>
    <n v="0.11"/>
    <n v="0.14000000000000001"/>
    <n v="0.24"/>
    <n v="0.16"/>
    <n v="0.08"/>
    <n v="0.06"/>
    <n v="0.17"/>
    <n v="0.08"/>
    <n v="0.1"/>
    <n v="7.0000000000000007E-2"/>
    <x v="0"/>
  </r>
  <r>
    <n v="8513"/>
    <s v="Portable electric lamps designed to function by their own source of energy, e.g. dry batteries, accumulators and magnetos; parts thereof (excl. lighting equipment of heading 8512) "/>
    <n v="0.03"/>
    <n v="0.06"/>
    <n v="0.02"/>
    <n v="0.08"/>
    <n v="0.02"/>
    <n v="0.03"/>
    <n v="0.02"/>
    <n v="0.03"/>
    <n v="0.04"/>
    <n v="0.05"/>
    <x v="0"/>
  </r>
  <r>
    <n v="8519"/>
    <s v="Sound recording or sound reproducing apparatus "/>
    <n v="0.1"/>
    <n v="0.05"/>
    <n v="0.06"/>
    <n v="0.17"/>
    <n v="0.1"/>
    <n v="0.18"/>
    <n v="0.21"/>
    <n v="0.14000000000000001"/>
    <n v="0.13"/>
    <n v="0.04"/>
    <x v="0"/>
  </r>
  <r>
    <n v="8509"/>
    <s v="Electromechanical domestic appliances, with self-contained electric motor; parts thereof (excl. vacuum cleaners, dry and wet vacuum cleaners) "/>
    <n v="0.12"/>
    <n v="0.09"/>
    <n v="0.25"/>
    <n v="0.13"/>
    <n v="0.02"/>
    <n v="0.1"/>
    <n v="0.12"/>
    <n v="0.05"/>
    <n v="0.05"/>
    <n v="0.04"/>
    <x v="0"/>
  </r>
  <r>
    <n v="8548"/>
    <s v="Waste and scrap of primary cells, primary batteries and electric accumulators; spent primary cells, spent primary batteries and spent electric accumulators; electrical parts of machinery or apparatus, not specified or included elsewhere in chapter 85 "/>
    <n v="0.01"/>
    <n v="0.02"/>
    <n v="0.03"/>
    <n v="0"/>
    <n v="0.03"/>
    <n v="0"/>
    <n v="0.11"/>
    <n v="0.01"/>
    <n v="0.09"/>
    <n v="0.02"/>
    <x v="0"/>
  </r>
  <r>
    <n v="8549"/>
    <s v="Electrical and electronic waste and scrap "/>
    <n v="0"/>
    <n v="0"/>
    <n v="0"/>
    <n v="0"/>
    <n v="0"/>
    <n v="0"/>
    <n v="0"/>
    <n v="0.99"/>
    <n v="0.38"/>
    <n v="0.01"/>
    <x v="0"/>
  </r>
  <r>
    <n v="8510"/>
    <s v="Electric shavers, hair clippers and hair-removing appliances, with self-contained electric motor; parts thereof "/>
    <n v="0"/>
    <n v="0"/>
    <n v="0"/>
    <n v="0"/>
    <n v="0"/>
    <n v="0"/>
    <n v="0"/>
    <n v="0"/>
    <n v="0"/>
    <n v="0"/>
    <x v="0"/>
  </r>
  <r>
    <n v="3904"/>
    <s v="Polymers of vinyl chloride or of other halogenated olefins, in primary forms "/>
    <n v="276.67"/>
    <n v="347.51"/>
    <n v="387.45"/>
    <n v="501.82"/>
    <n v="450.49"/>
    <n v="640.76"/>
    <n v="627.88"/>
    <n v="544.52"/>
    <n v="479.81"/>
    <n v="456.61"/>
    <x v="1"/>
  </r>
  <r>
    <n v="3906"/>
    <s v="Acrylic polymers, in primary forms "/>
    <n v="39.61"/>
    <n v="70.430000000000007"/>
    <n v="83.35"/>
    <n v="74.150000000000006"/>
    <n v="63.67"/>
    <n v="91.67"/>
    <n v="123.01"/>
    <n v="98.95"/>
    <n v="93.55"/>
    <n v="123.43"/>
    <x v="1"/>
  </r>
  <r>
    <n v="3926"/>
    <s v="Articles of plastics and articles of other materials of heading 3901 to 3914, n.e.s. "/>
    <n v="41.33"/>
    <n v="47.45"/>
    <n v="46.87"/>
    <n v="44.96"/>
    <n v="36.270000000000003"/>
    <n v="54.13"/>
    <n v="59.83"/>
    <n v="58.41"/>
    <n v="60.31"/>
    <n v="82.06"/>
    <x v="1"/>
  </r>
  <r>
    <n v="3909"/>
    <s v="Amino-resins, phenolic resins and polyurethanes, in primary forms "/>
    <n v="18.45"/>
    <n v="17.8"/>
    <n v="34.25"/>
    <n v="31.03"/>
    <n v="29.24"/>
    <n v="51.89"/>
    <n v="64.680000000000007"/>
    <n v="60.98"/>
    <n v="88.87"/>
    <n v="80.260000000000005"/>
    <x v="1"/>
  </r>
  <r>
    <n v="3901"/>
    <s v="Polymers of ethylene, in primary forms "/>
    <n v="45.07"/>
    <n v="48.22"/>
    <n v="41.61"/>
    <n v="43.21"/>
    <n v="43.17"/>
    <n v="55.27"/>
    <n v="64.12"/>
    <n v="82.03"/>
    <n v="66.8"/>
    <n v="67.34"/>
    <x v="1"/>
  </r>
  <r>
    <n v="3912"/>
    <s v="Cellulose and its chemical derivatives, n.e.s., in primary forms "/>
    <n v="23.57"/>
    <n v="24.86"/>
    <n v="34.979999999999997"/>
    <n v="35.340000000000003"/>
    <n v="37.71"/>
    <n v="53.83"/>
    <n v="50.16"/>
    <n v="46.13"/>
    <n v="60.02"/>
    <n v="62.32"/>
    <x v="1"/>
  </r>
  <r>
    <n v="3907"/>
    <s v="Polyacetals, other polyethers and epoxide resins, in primary forms; polycarbonates, alkyd resins, polyallyl esters and other polyesters, in primary forms "/>
    <n v="35.08"/>
    <n v="38.520000000000003"/>
    <n v="47.88"/>
    <n v="38.49"/>
    <n v="35.020000000000003"/>
    <n v="51.92"/>
    <n v="46.73"/>
    <n v="47.18"/>
    <n v="55.64"/>
    <n v="61"/>
    <x v="1"/>
  </r>
  <r>
    <n v="3902"/>
    <s v="Polymers of propylene or of other olefins, in primary forms "/>
    <n v="18.82"/>
    <n v="22.44"/>
    <n v="25.47"/>
    <n v="23.62"/>
    <n v="17.77"/>
    <n v="28.15"/>
    <n v="32.5"/>
    <n v="41.94"/>
    <n v="57.11"/>
    <n v="45.1"/>
    <x v="1"/>
  </r>
  <r>
    <n v="3919"/>
    <s v="Self-adhesive plates, sheets, film, foil, tape, strip and other flat shapes, of plastics, whether or not in rolls (excl. floor, wall and ceiling coverings of heading 3918) "/>
    <n v="26.52"/>
    <n v="30.62"/>
    <n v="29.34"/>
    <n v="25.98"/>
    <n v="19.940000000000001"/>
    <n v="26.91"/>
    <n v="26.46"/>
    <n v="25.58"/>
    <n v="28.77"/>
    <n v="36.090000000000003"/>
    <x v="1"/>
  </r>
  <r>
    <n v="3920"/>
    <s v="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 "/>
    <n v="38.22"/>
    <n v="32.57"/>
    <n v="31.2"/>
    <n v="22.77"/>
    <n v="20.2"/>
    <n v="29.82"/>
    <n v="31.14"/>
    <n v="31.16"/>
    <n v="33.33"/>
    <n v="35.979999999999997"/>
    <x v="1"/>
  </r>
  <r>
    <n v="3905"/>
    <s v="Polymers of vinyl acetate or of other vinyl esters, in primary forms; other vinyl polymers, in primary forms "/>
    <n v="28.2"/>
    <n v="23.27"/>
    <n v="21.44"/>
    <n v="20.99"/>
    <n v="20.22"/>
    <n v="27.43"/>
    <n v="29.76"/>
    <n v="22.72"/>
    <n v="19.670000000000002"/>
    <n v="21.65"/>
    <x v="1"/>
  </r>
  <r>
    <n v="3911"/>
    <s v="Petroleum resins, coumarone-indene resins, polyterpenes, polysulphides, polysulphones and other polymers and prepolymers produced by chemical synthesis, n.e.s., in primary forms "/>
    <n v="7.96"/>
    <n v="12.2"/>
    <n v="12.64"/>
    <n v="14.73"/>
    <n v="14.27"/>
    <n v="25.13"/>
    <n v="27.96"/>
    <n v="28.87"/>
    <n v="24.42"/>
    <n v="20.29"/>
    <x v="1"/>
  </r>
  <r>
    <n v="3903"/>
    <s v="Polymers of styrene, in primary forms "/>
    <n v="12.9"/>
    <n v="13.92"/>
    <n v="9.19"/>
    <n v="8.2200000000000006"/>
    <n v="7.58"/>
    <n v="18.78"/>
    <n v="19.8"/>
    <n v="11.96"/>
    <n v="12.14"/>
    <n v="19.91"/>
    <x v="1"/>
  </r>
  <r>
    <n v="3908"/>
    <s v="Polyamides, in primary forms "/>
    <n v="12.71"/>
    <n v="15.44"/>
    <n v="15.73"/>
    <n v="13.96"/>
    <n v="15.5"/>
    <n v="19.5"/>
    <n v="19.510000000000002"/>
    <n v="16.84"/>
    <n v="16.27"/>
    <n v="15.43"/>
    <x v="1"/>
  </r>
  <r>
    <n v="3923"/>
    <s v="Articles for the conveyance or packaging of goods, of plastics; stoppers, lids, caps and other closures, of plastics "/>
    <n v="11.56"/>
    <n v="12.24"/>
    <n v="13.72"/>
    <n v="13.76"/>
    <n v="8.2100000000000009"/>
    <n v="8.99"/>
    <n v="9.98"/>
    <n v="11.37"/>
    <n v="12.1"/>
    <n v="14.81"/>
    <x v="1"/>
  </r>
  <r>
    <n v="3910"/>
    <s v="Silicones in primary forms "/>
    <n v="8.39"/>
    <n v="11.15"/>
    <n v="15.02"/>
    <n v="11.57"/>
    <n v="8.64"/>
    <n v="12.82"/>
    <n v="14.85"/>
    <n v="13.47"/>
    <n v="15.81"/>
    <n v="14.39"/>
    <x v="1"/>
  </r>
  <r>
    <n v="3917"/>
    <s v="Tubes, pipes and hoses, and fittings therefor, e.g. joints, elbows, flanges, of plastics "/>
    <n v="8.7899999999999991"/>
    <n v="10.88"/>
    <n v="12.45"/>
    <n v="10.62"/>
    <n v="8.6300000000000008"/>
    <n v="12.91"/>
    <n v="12.27"/>
    <n v="12.16"/>
    <n v="10.53"/>
    <n v="11.17"/>
    <x v="1"/>
  </r>
  <r>
    <n v="3921"/>
    <s v="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 "/>
    <n v="6.82"/>
    <n v="6.32"/>
    <n v="8.17"/>
    <n v="8.86"/>
    <n v="5.01"/>
    <n v="7.33"/>
    <n v="9.4"/>
    <n v="8.69"/>
    <n v="12.17"/>
    <n v="10.24"/>
    <x v="1"/>
  </r>
  <r>
    <n v="3914"/>
    <s v="Ion-exchangers based on polymers of heading 3901 to 3913, in primary forms "/>
    <n v="1.4"/>
    <n v="1"/>
    <n v="2.8"/>
    <n v="0.63"/>
    <n v="1.52"/>
    <n v="2"/>
    <n v="3.03"/>
    <n v="2.36"/>
    <n v="3.52"/>
    <n v="2.97"/>
    <x v="1"/>
  </r>
  <r>
    <n v="3913"/>
    <s v="Natural polymers, e.g. alginic acid, and modified natural polymers, e.g. hardened proteins, chemical derivatives of natural rubber, n.e.s., in primary forms "/>
    <n v="1.88"/>
    <n v="0.73"/>
    <n v="1.53"/>
    <n v="1.07"/>
    <n v="0.41"/>
    <n v="0.52"/>
    <n v="1.28"/>
    <n v="1.75"/>
    <n v="1.61"/>
    <n v="2.1800000000000002"/>
    <x v="1"/>
  </r>
  <r>
    <n v="3916"/>
    <s v="Monofilament of which any cross-sectional dimension &gt; 1 mm, rods, sticks and profile shapes, of plastics, whether or not surface-worked but not further worked "/>
    <n v="0.49"/>
    <n v="0.28000000000000003"/>
    <n v="0.2"/>
    <n v="0.11"/>
    <n v="0.16"/>
    <n v="0.2"/>
    <n v="0.56000000000000005"/>
    <n v="1.35"/>
    <n v="1.23"/>
    <n v="0.84"/>
    <x v="1"/>
  </r>
  <r>
    <n v="3924"/>
    <s v="Tableware, kitchenware, other household articles and toilet articles, of plastics (excl. baths, shower-baths, washbasins, bidets, lavatory pans, seats and covers, flushing cisterns and similar sanitary ware) "/>
    <n v="0.21"/>
    <n v="0.33"/>
    <n v="0.67"/>
    <n v="0.31"/>
    <n v="0.09"/>
    <n v="0.06"/>
    <n v="0.13"/>
    <n v="0.19"/>
    <n v="0.25"/>
    <n v="0.43"/>
    <x v="1"/>
  </r>
  <r>
    <n v="3925"/>
    <s v="Builders' ware of plastics, n.e.s. "/>
    <n v="0.11"/>
    <n v="0.26"/>
    <n v="0.15"/>
    <n v="0.16"/>
    <n v="0.11"/>
    <n v="0.1"/>
    <n v="0.23"/>
    <n v="0.3"/>
    <n v="0.13"/>
    <n v="0.23"/>
    <x v="1"/>
  </r>
  <r>
    <n v="3922"/>
    <s v="Baths, shower-baths, sinks, washbasins, bidets, lavatory pans, seats and covers, flushing cisterns and similar sanitary ware, of plastics "/>
    <n v="0.05"/>
    <n v="0.05"/>
    <n v="0.09"/>
    <n v="0.45"/>
    <n v="0.32"/>
    <n v="0.25"/>
    <n v="0.21"/>
    <n v="0.03"/>
    <n v="0.01"/>
    <n v="0.06"/>
    <x v="1"/>
  </r>
  <r>
    <n v="3918"/>
    <s v="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 "/>
    <n v="0.04"/>
    <n v="0.06"/>
    <n v="0.03"/>
    <n v="0.32"/>
    <n v="0.06"/>
    <n v="0.01"/>
    <n v="0.04"/>
    <n v="0.06"/>
    <n v="0.12"/>
    <n v="0.05"/>
    <x v="1"/>
  </r>
  <r>
    <n v="3915"/>
    <s v="Waste, parings and scrap, of plastics "/>
    <n v="0.05"/>
    <n v="0.23"/>
    <n v="0.11"/>
    <n v="0"/>
    <n v="0"/>
    <n v="0"/>
    <n v="0"/>
    <n v="0.01"/>
    <n v="0"/>
    <n v="0.02"/>
    <x v="1"/>
  </r>
  <r>
    <n v="6813"/>
    <s v="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 "/>
    <n v="18.739999999999998"/>
    <n v="18.13"/>
    <n v="27.19"/>
    <n v="21.16"/>
    <n v="15.13"/>
    <n v="19.010000000000002"/>
    <n v="18.149999999999999"/>
    <n v="17.36"/>
    <n v="18.690000000000001"/>
    <n v="22.84"/>
    <x v="2"/>
  </r>
  <r>
    <n v="6804"/>
    <s v="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 "/>
    <n v="13.4"/>
    <n v="14.16"/>
    <n v="20.350000000000001"/>
    <n v="16.03"/>
    <n v="13.03"/>
    <n v="18.54"/>
    <n v="17.13"/>
    <n v="18.5"/>
    <n v="18.98"/>
    <n v="18.350000000000001"/>
    <x v="2"/>
  </r>
  <r>
    <n v="6815"/>
    <s v="Articles of stone or of other mineral substances, incl. carbon fibres, articles of carbon fibres and articles of peat, n.e.s. "/>
    <n v="3.57"/>
    <n v="11.68"/>
    <n v="7.15"/>
    <n v="11.39"/>
    <n v="5.51"/>
    <n v="15.26"/>
    <n v="3.76"/>
    <n v="6.37"/>
    <n v="10.75"/>
    <n v="11.09"/>
    <x v="2"/>
  </r>
  <r>
    <n v="6806"/>
    <s v="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 "/>
    <n v="3.72"/>
    <n v="2.73"/>
    <n v="5.01"/>
    <n v="3.61"/>
    <n v="1.44"/>
    <n v="3.77"/>
    <n v="4.51"/>
    <n v="6.82"/>
    <n v="7.96"/>
    <n v="8.76"/>
    <x v="2"/>
  </r>
  <r>
    <n v="6805"/>
    <s v="Natural or artificial abrasive powder or grain, on a base of textile material, paper, paperboard or other materials, whether or not cut to shape or sewn or otherwise made up "/>
    <n v="1.55"/>
    <n v="1.69"/>
    <n v="2.14"/>
    <n v="2.37"/>
    <n v="1.61"/>
    <n v="3.12"/>
    <n v="2.82"/>
    <n v="2.73"/>
    <n v="2.75"/>
    <n v="4.28"/>
    <x v="2"/>
  </r>
  <r>
    <n v="6814"/>
    <s v="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 "/>
    <n v="0.64"/>
    <n v="0.89"/>
    <n v="0.96"/>
    <n v="1.1299999999999999"/>
    <n v="1.44"/>
    <n v="2.0099999999999998"/>
    <n v="1.46"/>
    <n v="1.88"/>
    <n v="1.4"/>
    <n v="1.72"/>
    <x v="2"/>
  </r>
  <r>
    <n v="6812"/>
    <s v="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 "/>
    <n v="0.2"/>
    <n v="0.15"/>
    <n v="0.59"/>
    <n v="0.38"/>
    <n v="0.28000000000000003"/>
    <n v="0.3"/>
    <n v="0.21"/>
    <n v="0.24"/>
    <n v="0.24"/>
    <n v="0.15"/>
    <x v="2"/>
  </r>
  <r>
    <n v="6811"/>
    <s v="Articles of asbestos-cement, cellulose fibre-cement or the like "/>
    <n v="0"/>
    <n v="0.02"/>
    <n v="0.08"/>
    <n v="0.04"/>
    <n v="0"/>
    <n v="0.02"/>
    <n v="0.05"/>
    <n v="0.15"/>
    <n v="0"/>
    <n v="0.11"/>
    <x v="2"/>
  </r>
  <r>
    <n v="6810"/>
    <s v="Articles of cement, concrete or artificial stone, whether or not reinforced "/>
    <n v="0.03"/>
    <n v="0.02"/>
    <n v="0.15"/>
    <s v="≈ 0"/>
    <n v="0"/>
    <n v="0"/>
    <n v="0"/>
    <n v="0"/>
    <n v="0.03"/>
    <n v="0.1"/>
    <x v="2"/>
  </r>
  <r>
    <n v="6802"/>
    <s v="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 "/>
    <n v="0.05"/>
    <n v="0.02"/>
    <n v="0.01"/>
    <n v="0.01"/>
    <n v="0.01"/>
    <n v="0"/>
    <n v="0"/>
    <n v="0"/>
    <n v="0"/>
    <n v="0"/>
    <x v="2"/>
  </r>
  <r>
    <n v="6803"/>
    <s v="Worked slate and articles of slate or of agglomerated slate (excluding slate granules, chippings and powder, mosaic cubes and the like, slate pencils, and ready-to-use slates or boards with writing or drawing surfaces) "/>
    <n v="0"/>
    <n v="0"/>
    <n v="0"/>
    <s v="≈ 0"/>
    <s v="≈ 0"/>
    <n v="0"/>
    <n v="0"/>
    <s v="≈ 0"/>
    <n v="0"/>
    <n v="0"/>
    <x v="2"/>
  </r>
  <r>
    <n v="6807"/>
    <s v="Articles of asphalt or of similar materials, e.g. petroleum bitumen or coal tar pitch "/>
    <n v="0.17"/>
    <n v="0.25"/>
    <n v="0"/>
    <n v="0"/>
    <n v="0"/>
    <n v="0.01"/>
    <n v="0"/>
    <n v="0.01"/>
    <n v="0"/>
    <n v="0"/>
    <x v="2"/>
  </r>
  <r>
    <n v="6808"/>
    <s v="Panels, boards, tiles, blocks and similar articles of vegetable fibre, of straw or of shavings, chips, particles, sawdust or other waste of wood, agglomerated with cement, plaster or other mineral binders (excluding articles of asbestos-cement, cellulose fibre-cement or the like) "/>
    <n v="0.02"/>
    <n v="0"/>
    <n v="0"/>
    <s v="≈ 0"/>
    <n v="0"/>
    <n v="0"/>
    <n v="0"/>
    <s v="≈ 0"/>
    <n v="0"/>
    <n v="0"/>
    <x v="2"/>
  </r>
  <r>
    <n v="6809"/>
    <s v="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 "/>
    <n v="0"/>
    <n v="0.05"/>
    <n v="0"/>
    <n v="0"/>
    <n v="0"/>
    <n v="0"/>
    <n v="0"/>
    <n v="0"/>
    <n v="0"/>
    <n v="0"/>
    <x v="2"/>
  </r>
  <r>
    <n v="6909"/>
    <s v="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 "/>
    <n v="3.46"/>
    <n v="9.1999999999999993"/>
    <n v="12.48"/>
    <n v="7.15"/>
    <n v="8.09"/>
    <n v="13.29"/>
    <n v="11.02"/>
    <n v="20.88"/>
    <n v="16.989999999999998"/>
    <n v="21.44"/>
    <x v="3"/>
  </r>
  <r>
    <n v="6903"/>
    <s v="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 "/>
    <n v="4.3099999999999996"/>
    <n v="3.68"/>
    <n v="6.47"/>
    <n v="8.17"/>
    <n v="8.7100000000000009"/>
    <n v="12.58"/>
    <n v="12.66"/>
    <n v="11.78"/>
    <n v="11.76"/>
    <n v="11.41"/>
    <x v="3"/>
  </r>
  <r>
    <n v="6902"/>
    <s v="Refractory bricks, blocks, tiles and similar refractory ceramic constructional goods (excl. those of siliceous fossil meals or similar siliceous earths) "/>
    <n v="1.89"/>
    <n v="4.25"/>
    <n v="1.38"/>
    <n v="1.3"/>
    <n v="1.94"/>
    <n v="2.88"/>
    <n v="1.43"/>
    <n v="7.39"/>
    <n v="15.09"/>
    <n v="9.3000000000000007"/>
    <x v="3"/>
  </r>
  <r>
    <n v="6914"/>
    <s v="Ceramic articles, n.e.s. "/>
    <n v="3.6"/>
    <n v="1.96"/>
    <n v="2.69"/>
    <n v="2.64"/>
    <n v="1.59"/>
    <n v="2.36"/>
    <n v="2.3199999999999998"/>
    <n v="1.31"/>
    <n v="2.3199999999999998"/>
    <n v="2.11"/>
    <x v="3"/>
  </r>
  <r>
    <n v="6910"/>
    <s v="Ceramic sinks, washbasins, washbasin pedestals, baths, bidets, water closet pans, flushing cisterns, urinals and similar sanitary fixtures (excl. soap dishes, sponge holders, tooth-brush holders, towel hooks and toilet paper holders) "/>
    <n v="0.13"/>
    <n v="0.21"/>
    <n v="0.36"/>
    <n v="0.33"/>
    <n v="0.25"/>
    <n v="0.32"/>
    <n v="0.44"/>
    <n v="0.54"/>
    <n v="0.43"/>
    <n v="0.52"/>
    <x v="3"/>
  </r>
  <r>
    <n v="6911"/>
    <s v="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 "/>
    <n v="0.21"/>
    <n v="0.11"/>
    <n v="0.21"/>
    <n v="0.35"/>
    <n v="0.31"/>
    <n v="0.54"/>
    <n v="0.27"/>
    <n v="0.16"/>
    <n v="0.18"/>
    <n v="0.14000000000000001"/>
    <x v="3"/>
  </r>
  <r>
    <n v="6912"/>
    <s v="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 "/>
    <n v="0.04"/>
    <n v="0.02"/>
    <n v="0.03"/>
    <n v="0.04"/>
    <n v="0.02"/>
    <n v="0.11"/>
    <n v="0.04"/>
    <n v="0.04"/>
    <n v="7.0000000000000007E-2"/>
    <n v="7.0000000000000007E-2"/>
    <x v="3"/>
  </r>
  <r>
    <n v="6907"/>
    <s v="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 "/>
    <n v="0"/>
    <n v="0.14000000000000001"/>
    <n v="0.36"/>
    <n v="0.28000000000000003"/>
    <n v="0.01"/>
    <n v="0.01"/>
    <s v="≈ 0"/>
    <n v="0.01"/>
    <n v="0"/>
    <n v="0.03"/>
    <x v="3"/>
  </r>
  <r>
    <n v="6905"/>
    <s v="Roofing tiles, chimney pots, cowls, chimney liners, architectural ornaments and other ceramic constructional goods (excl. of siliceous fossil meals or similar siliceous earths, refractory ceramic constructional components, pipes and other components for drainage and similar purposes) "/>
    <n v="0.01"/>
    <n v="0.02"/>
    <n v="0.02"/>
    <n v="0.04"/>
    <n v="0.05"/>
    <n v="0.09"/>
    <n v="0.06"/>
    <n v="0.03"/>
    <n v="0.04"/>
    <n v="0.03"/>
    <x v="3"/>
  </r>
  <r>
    <n v="6906"/>
    <s v="Ceramic pipes, conduits, guttering and pipe fittings (excluding of siliceous fossil meals or similar siliceous earths, refractory ceramic goods, chimney liners, pipes specifically manufactured for laboratories, insulating tubing and fittings and other piping for electrotechnical purposes) "/>
    <n v="0"/>
    <n v="0"/>
    <n v="0"/>
    <n v="0.01"/>
    <n v="0"/>
    <n v="0.03"/>
    <n v="0.03"/>
    <n v="0.06"/>
    <n v="0.02"/>
    <n v="0.01"/>
    <x v="3"/>
  </r>
  <r>
    <n v="6904"/>
    <s v="Ceramic building bricks, flooring blocks, support or filler tiles and the like (excl. those of siliceous fossil meals or similar siliceous earths, refractory bricks of heading 6902, and flags and pavings, hearth and wall tiles of heading 6907 and 6908) "/>
    <n v="0.56000000000000005"/>
    <n v="0.02"/>
    <n v="0"/>
    <n v="1.17"/>
    <n v="0.01"/>
    <n v="0"/>
    <n v="0"/>
    <n v="0"/>
    <n v="0"/>
    <n v="0.01"/>
    <x v="3"/>
  </r>
  <r>
    <n v="6913"/>
    <s v="Statuettes and other ornamental ceramic articles, n.e.s. "/>
    <n v="0.01"/>
    <n v="0"/>
    <n v="0"/>
    <s v="≈ 0"/>
    <n v="0"/>
    <s v="≈ 0"/>
    <n v="0"/>
    <s v="≈ 0"/>
    <n v="0"/>
    <n v="0"/>
    <x v="3"/>
  </r>
  <r>
    <n v="6901"/>
    <s v="Bricks, blocks, tiles and other ceramic goods of siliceous fossil meals, e.g. kieselguhr, tripolite or diatomite, or of similar siliceous earths "/>
    <n v="0"/>
    <n v="0.03"/>
    <n v="0.09"/>
    <n v="0.01"/>
    <s v="≈ 0"/>
    <n v="0"/>
    <n v="0"/>
    <n v="0"/>
    <n v="0"/>
    <n v="0"/>
    <x v="3"/>
  </r>
  <r>
    <n v="6908"/>
    <s v="Glazed ceramic flags and paving, hearth or wall tiles; glazed ceramic mosaic cubes and the like, whether or not on a backing (excluding of siliceous fossil meals or similar siliceous earths, refractory ceramic goods, tiles specially adapted as table mats, ornamental articles and tiles specifically manufactured for stoves) "/>
    <n v="0.02"/>
    <n v="0"/>
    <n v="0"/>
    <n v="0"/>
    <n v="0"/>
    <n v="0"/>
    <n v="0"/>
    <n v="0"/>
    <n v="0"/>
    <n v="0"/>
    <x v="3"/>
  </r>
  <r>
    <n v="7318"/>
    <s v="Screws, bolts, nuts, coach screws, screw hooks, rivets, cotters, cotter pins, washers, incl. spring washers, and similar articles, of iron or steel (excl. lag screws, stoppers, plugs and the like, threaded) "/>
    <n v="113.57"/>
    <n v="117.43"/>
    <n v="132.84"/>
    <n v="101.88"/>
    <n v="72.63"/>
    <n v="108.66"/>
    <n v="106.46"/>
    <n v="129.47"/>
    <n v="126.9"/>
    <n v="149.87"/>
    <x v="4"/>
  </r>
  <r>
    <n v="7302"/>
    <s v="Railway or tramway track construction material of iron or steel, the following : rails, check-rails and rack rails, switch blades, crossing frogs, point rods and other crossing pieces, sleepers &quot;cross-ties&quot;, fish-plates, chairs, chair wedges, sole plates &quot;base plates&quot;, rail clips, bedplates, ties and other material specialised for jointing or fixing rails "/>
    <n v="50.07"/>
    <n v="25.71"/>
    <n v="59.5"/>
    <n v="84.44"/>
    <n v="25.54"/>
    <n v="56.81"/>
    <n v="27.73"/>
    <n v="93.62"/>
    <n v="46.06"/>
    <n v="91.28"/>
    <x v="4"/>
  </r>
  <r>
    <n v="7326"/>
    <s v="Articles of iron or steel, n.e.s. (excl. cast articles) "/>
    <n v="69.650000000000006"/>
    <n v="64.56"/>
    <n v="59.45"/>
    <n v="65.709999999999994"/>
    <n v="40.450000000000003"/>
    <n v="55.75"/>
    <n v="53.83"/>
    <n v="60.07"/>
    <n v="62.97"/>
    <n v="79.33"/>
    <x v="4"/>
  </r>
  <r>
    <n v="7304"/>
    <s v="Tubes, pipes and hollow profiles, seamless, of iron or steel (excl. products of cast iron) "/>
    <n v="61.05"/>
    <n v="28.89"/>
    <n v="67.03"/>
    <n v="57.11"/>
    <n v="32.33"/>
    <n v="18.18"/>
    <n v="39.03"/>
    <n v="23.76"/>
    <n v="46.27"/>
    <n v="26.71"/>
    <x v="4"/>
  </r>
  <r>
    <n v="7307"/>
    <s v="Tube or pipe fittings &quot;e.g. couplings, elbows, sleeves&quot;, of iron or steel "/>
    <n v="8.3800000000000008"/>
    <n v="10.37"/>
    <n v="13.63"/>
    <n v="11.21"/>
    <n v="7.98"/>
    <n v="10.59"/>
    <n v="11.38"/>
    <n v="13.39"/>
    <n v="11.34"/>
    <n v="14.93"/>
    <x v="4"/>
  </r>
  <r>
    <n v="7320"/>
    <s v="Springs and leaves for springs, of iron or steel (excl. clock and watch springs, springs for sticks and handles of umbrellas or parasols, shock absorbers and torque rod or torsion bar springs of Section 17) "/>
    <n v="14.32"/>
    <n v="15.14"/>
    <n v="15.84"/>
    <n v="13.38"/>
    <n v="11.05"/>
    <n v="13.72"/>
    <n v="12.57"/>
    <n v="13.42"/>
    <n v="15.07"/>
    <n v="14.46"/>
    <x v="4"/>
  </r>
  <r>
    <n v="7315"/>
    <s v="Chain and parts thereof, or iron or steel (excl. watch chains, necklace chains and the like, cutting and saw chain, skid chain, scraper chain for conveyors, toothed chain for textile machinery and the like, safety devices with chains for securing doors, measuring chains) "/>
    <n v="5.75"/>
    <n v="6.1"/>
    <n v="7.5"/>
    <n v="6.49"/>
    <n v="6.79"/>
    <n v="6.85"/>
    <n v="8.01"/>
    <n v="10.09"/>
    <n v="8.98"/>
    <n v="12.3"/>
    <x v="4"/>
  </r>
  <r>
    <n v="7308"/>
    <s v="Structures and parts of structures &quot;e.g., bridges and bridge-sections, lock-gates, towers, lattice masts, roofs, roofing frameworks, doors and windows and their frames and thresholds for doors, shutters, balustrades, pillars and columns&quot;, of iron or steel; plates, rods, angles, shapes, sections, tubes and the like, prepared for use in structures, of iron or steel (excl. prefabricated buildings of heading 9406) "/>
    <n v="7.08"/>
    <n v="7.08"/>
    <n v="4.57"/>
    <n v="2.6"/>
    <n v="16.63"/>
    <n v="65.62"/>
    <n v="20.57"/>
    <n v="32.69"/>
    <n v="16.28"/>
    <n v="7.34"/>
    <x v="4"/>
  </r>
  <r>
    <n v="7306"/>
    <s v="Tubes, pipes and hollow profiles &quot;e.g., open seam or welded, riveted or similarly closed&quot;, of iron or steel (excl. of cast iron, seamless tubes and pipes and tubes having internal and external circular cross-sections and an external diameter of &gt; 406,4 mm) "/>
    <n v="17.57"/>
    <n v="16.329999999999998"/>
    <n v="16.82"/>
    <n v="12.36"/>
    <n v="7.37"/>
    <n v="10.06"/>
    <n v="7.92"/>
    <n v="7.89"/>
    <n v="7.8"/>
    <n v="6.06"/>
    <x v="4"/>
  </r>
  <r>
    <n v="7325"/>
    <s v="Articles of iron or steel, cast, n.e.s. "/>
    <n v="10.71"/>
    <n v="8.09"/>
    <n v="5.01"/>
    <n v="5.16"/>
    <n v="1.1399999999999999"/>
    <n v="1.28"/>
    <n v="2.11"/>
    <n v="2.36"/>
    <n v="2.48"/>
    <n v="4.6100000000000003"/>
    <x v="4"/>
  </r>
  <r>
    <n v="7319"/>
    <s v="Sewing needles, knitting needles, bodkins, crochet hoods, embroidery stilettos and similar articles, for use in the hand, of iron or steel; safety pins and other pins of iron or steel, n.e.s. "/>
    <n v="5.08"/>
    <n v="5.84"/>
    <n v="5.34"/>
    <n v="4.6100000000000003"/>
    <n v="3.09"/>
    <n v="3.9"/>
    <n v="3.17"/>
    <n v="3.34"/>
    <n v="3.53"/>
    <n v="4.17"/>
    <x v="4"/>
  </r>
  <r>
    <n v="7310"/>
    <s v="Tanks, casks, drums, cans, boxes and similar containers, of iron or steel, for any material &quot;other than compressed or liquefied gas&quot;, of a capacity of &lt;= 300 l, not fitted with mechanical or thermal equipment, whether or not lined or heat-insulated, n.e.s. "/>
    <n v="3.34"/>
    <n v="4.38"/>
    <n v="3.93"/>
    <n v="3.16"/>
    <n v="1.77"/>
    <n v="2.75"/>
    <n v="2.39"/>
    <n v="3.09"/>
    <n v="3.91"/>
    <n v="2.62"/>
    <x v="4"/>
  </r>
  <r>
    <n v="7314"/>
    <s v="Cloth, incl. endless bands, grill, netting and fencing, of iron or steel wire, expanded metal of iron or steel (excl. woven products of metal fibres of a kind used for cladding, lining or similar purposes) "/>
    <n v="2.42"/>
    <n v="2.17"/>
    <n v="1.22"/>
    <n v="1"/>
    <n v="0.78"/>
    <n v="2.13"/>
    <n v="1.68"/>
    <n v="1.6"/>
    <n v="0.79"/>
    <n v="1.1399999999999999"/>
    <x v="4"/>
  </r>
  <r>
    <n v="7312"/>
    <s v="Stranded wire, ropes, cables, plaited bands, slings and the like, of iron or steel (excl. electrically insulated products and twisted fencing wire and barbed wire) "/>
    <n v="1.3"/>
    <n v="1.48"/>
    <n v="1.62"/>
    <n v="1.66"/>
    <n v="0.74"/>
    <n v="0.98"/>
    <n v="1.1200000000000001"/>
    <n v="1.28"/>
    <n v="1.1499999999999999"/>
    <n v="1.01"/>
    <x v="4"/>
  </r>
  <r>
    <n v="7309"/>
    <s v="Reservoirs, tanks, vats and similar containers, of iron or steel, for any material &quot;other than compressed or liquefied gas&quot;, of a capacity of &gt; 300 l, not fitted with mechanical or thermal equipment, whether or not lined or heat-insulated (excluding containers specifically constructed or equipped for one or more types of transport) "/>
    <n v="1.6"/>
    <n v="1.18"/>
    <n v="0.95"/>
    <n v="0.8"/>
    <n v="0.41"/>
    <n v="0.25"/>
    <n v="0.22"/>
    <n v="0.26"/>
    <n v="0.37"/>
    <n v="0.43"/>
    <x v="4"/>
  </r>
  <r>
    <n v="7322"/>
    <s v="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
    <n v="0.1"/>
    <n v="0.16"/>
    <n v="0.09"/>
    <n v="0.56999999999999995"/>
    <n v="0.27"/>
    <n v="0.4"/>
    <n v="0.37"/>
    <n v="0.26"/>
    <n v="1.55"/>
    <n v="0.42"/>
    <x v="4"/>
  </r>
  <r>
    <n v="7311"/>
    <s v="Containers of iron or steel, for compressed or liquefied gas (excluding containers specifically constructed or equipped for one or more types of transport) "/>
    <n v="0.03"/>
    <n v="0.06"/>
    <n v="0.09"/>
    <n v="0.14000000000000001"/>
    <n v="0.16"/>
    <n v="0.64"/>
    <n v="0.32"/>
    <n v="0.25"/>
    <n v="0.28999999999999998"/>
    <n v="0.27"/>
    <x v="4"/>
  </r>
  <r>
    <n v="7321"/>
    <s v="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n v="0.01"/>
    <n v="0.01"/>
    <n v="0.01"/>
    <n v="0.03"/>
    <n v="0.02"/>
    <s v="≈ 0"/>
    <n v="0"/>
    <n v="0.01"/>
    <n v="0"/>
    <n v="0.16"/>
    <x v="4"/>
  </r>
  <r>
    <n v="7323"/>
    <s v="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n v="7.0000000000000007E-2"/>
    <n v="0.13"/>
    <n v="0.23"/>
    <n v="0.11"/>
    <n v="0.05"/>
    <n v="0.06"/>
    <n v="0.12"/>
    <n v="0.08"/>
    <n v="0.12"/>
    <n v="0.06"/>
    <x v="4"/>
  </r>
  <r>
    <n v="7317"/>
    <s v="Nails, tacks, drawing pins, corrugated nails, staples and similar articles of iron or steel, whether or not with heads of other material (excluding such articles with heads of copper and staples in strips) "/>
    <n v="0.57999999999999996"/>
    <n v="0.5"/>
    <n v="0.13"/>
    <n v="0.18"/>
    <n v="0.09"/>
    <n v="0.09"/>
    <n v="0.09"/>
    <n v="0.18"/>
    <n v="0.04"/>
    <n v="0.05"/>
    <x v="4"/>
  </r>
  <r>
    <n v="7324"/>
    <s v="Sanitary ware, and parts thereof, of iron or steel (excl. cans, boxes and similar containers of heading 7310, small wall cabinets for medical supplies or toiletries and other furniture of chapter 94, and fittings) "/>
    <n v="0.02"/>
    <n v="0.03"/>
    <n v="0.03"/>
    <n v="0.04"/>
    <n v="0.05"/>
    <n v="0.1"/>
    <n v="0.16"/>
    <n v="0.02"/>
    <n v="0.01"/>
    <n v="0.03"/>
    <x v="4"/>
  </r>
  <r>
    <n v="7303"/>
    <s v="Tubes, pipes and hollow profiles, of cast iron "/>
    <n v="0.04"/>
    <n v="0.02"/>
    <n v="0.22"/>
    <n v="0.05"/>
    <n v="0.03"/>
    <n v="0.06"/>
    <n v="0.02"/>
    <n v="0.04"/>
    <n v="0.05"/>
    <n v="0.03"/>
    <x v="4"/>
  </r>
  <r>
    <n v="7316"/>
    <s v="Anchors, grapnels and parts thereof, of iron or steel "/>
    <n v="0.01"/>
    <n v="0.04"/>
    <n v="0.01"/>
    <n v="0.03"/>
    <n v="0.02"/>
    <n v="0.01"/>
    <n v="0"/>
    <n v="0"/>
    <n v="0.01"/>
    <n v="0"/>
    <x v="4"/>
  </r>
  <r>
    <n v="7301"/>
    <s v="Sheet piling of iron or steel, whether or not drilled, punched or made from assembled elements; welded angles, shapes and sections, of iron or steel "/>
    <n v="0.14000000000000001"/>
    <n v="0.06"/>
    <n v="0.08"/>
    <n v="0.69"/>
    <n v="0.08"/>
    <n v="0.14000000000000001"/>
    <n v="0.17"/>
    <n v="0.09"/>
    <n v="0"/>
    <n v="0"/>
    <x v="4"/>
  </r>
  <r>
    <n v="7305"/>
    <s v="Tubes and pipes, having circular cross-sections and an external diameter of &gt; 406,4 mm, of flat-rolled products of iron or steel &quot;e.g., welded, riveted or similarly closed&quot; "/>
    <n v="0.21"/>
    <n v="0.15"/>
    <n v="0.04"/>
    <n v="0.54"/>
    <n v="0.09"/>
    <n v="0"/>
    <n v="0.17"/>
    <n v="0.33"/>
    <n v="7.0000000000000007E-2"/>
    <n v="0"/>
    <x v="4"/>
  </r>
  <r>
    <n v="7313"/>
    <s v="Barbed wire of iron or steel; twisted hoop or single flat wire, barbed or not, and loosely twisted double wire, of a kind used for fencing, of iron or steel "/>
    <n v="0"/>
    <n v="0"/>
    <n v="0"/>
    <n v="0"/>
    <n v="0"/>
    <n v="0"/>
    <n v="0"/>
    <n v="0.01"/>
    <n v="0"/>
    <n v="0"/>
    <x v="4"/>
  </r>
  <r>
    <n v="7403"/>
    <s v="Copper, refined, and copper alloys, unwrought (excl. copper alloys of heading 7405) "/>
    <n v="27.33"/>
    <n v="121.33"/>
    <n v="376.31"/>
    <n v="676.63"/>
    <n v="758.82"/>
    <n v="1103.99"/>
    <n v="942.91"/>
    <n v="1908.09"/>
    <n v="1994.98"/>
    <n v="1970.11"/>
    <x v="0"/>
  </r>
  <r>
    <n v="7408"/>
    <s v="Copper wire (excl. surgical sutures, stranded wire, cables, plaited bands and the like and other articles of heading 7413, electrically insulated wires and strings for musical instruments) "/>
    <n v="13.05"/>
    <n v="19.010000000000002"/>
    <n v="45.25"/>
    <n v="54.72"/>
    <n v="77.69"/>
    <n v="94.01"/>
    <n v="85.6"/>
    <n v="174.75"/>
    <n v="102.64"/>
    <n v="108.77"/>
    <x v="0"/>
  </r>
  <r>
    <n v="7409"/>
    <s v="Plates, sheets and strip, of copper, of a thickness of &gt; 0,15 mm (excl. expanded sheet and strip copper and electrically insulated strip) "/>
    <n v="6.47"/>
    <n v="8.57"/>
    <n v="9.5500000000000007"/>
    <n v="9.0399999999999991"/>
    <n v="7.92"/>
    <n v="15.65"/>
    <n v="17.329999999999998"/>
    <n v="16.86"/>
    <n v="24.47"/>
    <n v="25.64"/>
    <x v="0"/>
  </r>
  <r>
    <n v="7419"/>
    <s v="Other articles of copper, n.e.s. "/>
    <n v="8.2899999999999991"/>
    <n v="9.3699999999999992"/>
    <n v="15.32"/>
    <n v="13.91"/>
    <n v="7.79"/>
    <n v="14"/>
    <n v="12.89"/>
    <n v="11.4"/>
    <n v="11.45"/>
    <n v="14.47"/>
    <x v="0"/>
  </r>
  <r>
    <n v="7407"/>
    <s v="Bars, rods and profiles, of copper, n.e.s. "/>
    <n v="9.39"/>
    <n v="20.38"/>
    <n v="14.16"/>
    <n v="13.05"/>
    <n v="8.9"/>
    <n v="17.45"/>
    <n v="24.97"/>
    <n v="19.95"/>
    <n v="13.3"/>
    <n v="14.08"/>
    <x v="0"/>
  </r>
  <r>
    <n v="7404"/>
    <s v="Waste and scrap, of copper (excluding ingots or other similar unwrought shapes, of remelted copper waste and scrap, ashes and residues containing copper, and waste and scrap of primary cells, primary batteries and electric accumulators) "/>
    <n v="0.09"/>
    <n v="0"/>
    <n v="0.12"/>
    <n v="4.5199999999999996"/>
    <n v="7.05"/>
    <n v="4.91"/>
    <n v="0.79"/>
    <n v="1.1000000000000001"/>
    <n v="2.06"/>
    <n v="5.12"/>
    <x v="0"/>
  </r>
  <r>
    <n v="7402"/>
    <s v="Copper, unrefined; copper anodes for electrolytic refining "/>
    <n v="0"/>
    <n v="0.3"/>
    <n v="0.56999999999999995"/>
    <n v="0.56000000000000005"/>
    <n v="0.42"/>
    <n v="0.13"/>
    <n v="7.0000000000000007E-2"/>
    <n v="0"/>
    <n v="0.02"/>
    <n v="4.51"/>
    <x v="0"/>
  </r>
  <r>
    <n v="7410"/>
    <s v="Copper foil &quot;whether or not printed or backed with paper, paperboard, plastics or similar backing materials&quot;, of a thickness &quot;excl. any backing&quot; of &lt;= 0,15 mm (excl. stamping foils of heading 3212, metal yarns and metallised yarns and foil made up as christmas tree decorating material) "/>
    <n v="0.74"/>
    <n v="1.06"/>
    <n v="1.19"/>
    <n v="0.62"/>
    <n v="0.89"/>
    <n v="1.18"/>
    <n v="1.1599999999999999"/>
    <n v="1.61"/>
    <n v="2.2000000000000002"/>
    <n v="3.67"/>
    <x v="0"/>
  </r>
  <r>
    <n v="7412"/>
    <s v="Copper tube or pipe fittings &quot;e.g., couplings, elbows, sleeves&quot; "/>
    <n v="1.0900000000000001"/>
    <n v="1.2"/>
    <n v="1.47"/>
    <n v="1.46"/>
    <n v="1.28"/>
    <n v="1.9"/>
    <n v="1.89"/>
    <n v="2.48"/>
    <n v="2.2799999999999998"/>
    <n v="2.3199999999999998"/>
    <x v="0"/>
  </r>
  <r>
    <n v="7406"/>
    <s v="Powders and flakes, of copper (excl. grains of copper and spangles of heading 8308) "/>
    <n v="0.75"/>
    <n v="0.89"/>
    <n v="1.19"/>
    <n v="1.25"/>
    <n v="0.85"/>
    <n v="1.17"/>
    <n v="1.08"/>
    <n v="1.25"/>
    <n v="1.6"/>
    <n v="1.76"/>
    <x v="0"/>
  </r>
  <r>
    <n v="7411"/>
    <s v="Copper tubes and pipes "/>
    <n v="3.01"/>
    <n v="1.84"/>
    <n v="2.29"/>
    <n v="2.69"/>
    <n v="2.5099999999999998"/>
    <n v="2.4700000000000002"/>
    <n v="1.81"/>
    <n v="0.8"/>
    <n v="14.35"/>
    <n v="1.37"/>
    <x v="0"/>
  </r>
  <r>
    <n v="7413"/>
    <s v="Stranded wire, cables, plaited bands and the like, of copper (excluding electrically insulated products) "/>
    <n v="0.02"/>
    <n v="0.05"/>
    <n v="0.12"/>
    <n v="0.04"/>
    <n v="0.11"/>
    <n v="0.15"/>
    <n v="0.17"/>
    <n v="0.12"/>
    <n v="0.1"/>
    <n v="1.18"/>
    <x v="0"/>
  </r>
  <r>
    <n v="7415"/>
    <s v="Nails, tacks, drawing pins, staples and similar articles, of copper or with shafts of iron or steel and heads of copper, screws, bolts, nuts, screw hooks, rivets, cotters, cotter pins, washers &quot;incl. spring washers&quot; and similar articles, of copper (excl. staples in strips, and lag screws, plugs, bungs and the like, threaded) "/>
    <n v="0.13"/>
    <n v="0.12"/>
    <n v="0.09"/>
    <n v="7.0000000000000007E-2"/>
    <n v="0.08"/>
    <n v="0.13"/>
    <n v="0.11"/>
    <n v="0.17"/>
    <n v="0.48"/>
    <n v="0.74"/>
    <x v="0"/>
  </r>
  <r>
    <n v="7418"/>
    <s v="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 "/>
    <n v="0.05"/>
    <n v="0.02"/>
    <n v="0.04"/>
    <n v="0.02"/>
    <n v="0.03"/>
    <n v="0.04"/>
    <n v="0.06"/>
    <n v="0.02"/>
    <n v="0.05"/>
    <n v="0.05"/>
    <x v="0"/>
  </r>
  <r>
    <n v="7401"/>
    <s v="Copper mattes; cement copper &quot;precipitated copper&quot; "/>
    <n v="0"/>
    <n v="0"/>
    <n v="0"/>
    <n v="0"/>
    <n v="0"/>
    <n v="0"/>
    <n v="0"/>
    <n v="0"/>
    <n v="0"/>
    <n v="0.01"/>
    <x v="0"/>
  </r>
  <r>
    <n v="7405"/>
    <s v="Master alloys of copper (excluding phosphorus-copper compounds &quot;copper phosphide&quot; containing by weight &gt; 15% phosphorus) "/>
    <n v="0"/>
    <n v="0"/>
    <n v="0"/>
    <n v="0"/>
    <n v="0"/>
    <n v="0.01"/>
    <n v="0.01"/>
    <n v="0"/>
    <n v="0.01"/>
    <n v="0.01"/>
    <x v="0"/>
  </r>
  <r>
    <n v="7602"/>
    <s v="Waste and scrap, of aluminium (excluding slags, scale and the like from iron and steel production, containing recoverable aluminium in the form of silicates, ingots or other similar unwrought shapes, of remelted waste and scrap, of aluminium, ashes and residues from aluminium production) "/>
    <n v="0.86"/>
    <n v="1.1000000000000001"/>
    <n v="4.2300000000000004"/>
    <n v="8.56"/>
    <n v="10.14"/>
    <n v="11.18"/>
    <n v="6.83"/>
    <n v="11.02"/>
    <n v="8.1199999999999992"/>
    <n v="28.47"/>
    <x v="4"/>
  </r>
  <r>
    <n v="7606"/>
    <s v="Plates, sheets and strip, of aluminium, of a thickness of &gt; 0,2 mm (excl. expanded plates, sheets and strip) "/>
    <n v="7.92"/>
    <n v="5.33"/>
    <n v="6.41"/>
    <n v="6.77"/>
    <n v="3.52"/>
    <n v="5.64"/>
    <n v="8.3699999999999992"/>
    <n v="6.51"/>
    <n v="9.16"/>
    <n v="8.1300000000000008"/>
    <x v="4"/>
  </r>
  <r>
    <n v="7616"/>
    <s v="Articles of aluminium, n.e.s. "/>
    <n v="5.86"/>
    <n v="4.54"/>
    <n v="8.2899999999999991"/>
    <n v="14.29"/>
    <n v="10.45"/>
    <n v="9.4600000000000009"/>
    <n v="18.03"/>
    <n v="12.68"/>
    <n v="9.4600000000000009"/>
    <n v="7.69"/>
    <x v="4"/>
  </r>
  <r>
    <n v="7607"/>
    <s v="Aluminium foil, &quot;whether or not printed or backed with paper, paperboard, plastics or similar backing materials&quot;, of a thickness &quot;excl. any backing&quot; of &lt;= 0,2 mm (excl. stamping foils of heading 3212, christmas tree decorating material) "/>
    <n v="2.36"/>
    <n v="2.4900000000000002"/>
    <n v="2.12"/>
    <n v="1.32"/>
    <n v="0.73"/>
    <n v="0.97"/>
    <n v="1.18"/>
    <n v="1.29"/>
    <n v="1.47"/>
    <n v="1.78"/>
    <x v="4"/>
  </r>
  <r>
    <n v="7604"/>
    <s v="Bars, rods and profiles, of aluminium, n.e.s. "/>
    <n v="2.82"/>
    <n v="2.11"/>
    <n v="3.56"/>
    <n v="4.09"/>
    <n v="2.41"/>
    <n v="2.08"/>
    <n v="1.91"/>
    <n v="1.57"/>
    <n v="1.28"/>
    <n v="1.56"/>
    <x v="4"/>
  </r>
  <r>
    <n v="7605"/>
    <s v="Aluminium wire (excl. stranded wire, cables, plaited bands and the like and other articles of heading 7614, electrically insulated wires, and strings for musical instruments) "/>
    <n v="0.08"/>
    <n v="0.09"/>
    <n v="0.11"/>
    <n v="0.2"/>
    <n v="0.1"/>
    <n v="0.17"/>
    <n v="0.42"/>
    <n v="0.2"/>
    <n v="0.3"/>
    <n v="1.07"/>
    <x v="4"/>
  </r>
  <r>
    <n v="7608"/>
    <s v="Aluminium tubes and pipes (excl. hollow profiles) "/>
    <n v="1.18"/>
    <n v="0.88"/>
    <n v="1.18"/>
    <n v="1.51"/>
    <n v="0.39"/>
    <n v="0.82"/>
    <n v="0.78"/>
    <n v="0.87"/>
    <n v="1.06"/>
    <n v="0.87"/>
    <x v="4"/>
  </r>
  <r>
    <n v="7610"/>
    <s v="Structures and parts of structures &quot;e.g., bridges and bridge-sections, towers, lattice masts, pillars and columns, roofs, roofing frameworks, doors and windows and their frames and thresholds for doors, shutters, balustrades&quot;, of aluminium (excl. prefabricated buildings of heading 9406); plates, rods, profiles, tubes and the like, prepared for use in structures, of aluminium "/>
    <n v="5.03"/>
    <n v="1.57"/>
    <n v="0.73"/>
    <n v="0.23"/>
    <n v="7.0000000000000007E-2"/>
    <n v="0.28000000000000003"/>
    <n v="0.41"/>
    <n v="0.41"/>
    <n v="0.4"/>
    <n v="0.64"/>
    <x v="4"/>
  </r>
  <r>
    <n v="7603"/>
    <s v="Powder and flakes, of aluminium (excl. pellets of aluminium, and spangles) "/>
    <n v="0.06"/>
    <n v="0.1"/>
    <n v="0.17"/>
    <n v="0.17"/>
    <n v="0.3"/>
    <n v="0.48"/>
    <n v="0.56999999999999995"/>
    <n v="0.47"/>
    <n v="0.52"/>
    <n v="0.61"/>
    <x v="4"/>
  </r>
  <r>
    <n v="7609"/>
    <s v="Aluminium tube or pipe fittings &quot;e.g., couplings, elbows, sleeves&quot; "/>
    <n v="7.0000000000000007E-2"/>
    <n v="0.02"/>
    <n v="0.09"/>
    <n v="0.06"/>
    <n v="0.04"/>
    <n v="0.24"/>
    <n v="0.14000000000000001"/>
    <n v="0.17"/>
    <n v="0.15"/>
    <n v="0.22"/>
    <x v="4"/>
  </r>
  <r>
    <n v="7612"/>
    <s v="Casks, drums, cans, boxes and similar containers, incl. rigid or collapsible tubular containers, of aluminium, for any material (other than compressed or liquefied gas), of a capacity of &lt;= 300 l, not fitted with mechanical or thermal equipment, whether or not lined or heat-insulated, n.e.s. "/>
    <n v="0.06"/>
    <n v="0.19"/>
    <n v="0.16"/>
    <n v="0.04"/>
    <n v="0.04"/>
    <n v="0.24"/>
    <n v="0.23"/>
    <n v="0.18"/>
    <n v="0.23"/>
    <n v="0.09"/>
    <x v="4"/>
  </r>
  <r>
    <n v="7601"/>
    <s v="Unwrought aluminium "/>
    <n v="1.1200000000000001"/>
    <n v="0.71"/>
    <n v="2.09"/>
    <n v="3.02"/>
    <n v="0.88"/>
    <n v="0.91"/>
    <n v="0.78"/>
    <n v="0.24"/>
    <n v="0.28000000000000003"/>
    <n v="0.06"/>
    <x v="4"/>
  </r>
  <r>
    <n v="7615"/>
    <s v="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n v="0"/>
    <n v="0.01"/>
    <n v="0.04"/>
    <n v="0.02"/>
    <n v="0"/>
    <n v="0"/>
    <n v="0.01"/>
    <n v="0.02"/>
    <n v="0.01"/>
    <n v="0.01"/>
    <x v="4"/>
  </r>
  <r>
    <n v="7613"/>
    <s v="Aluminium containers for compressed or liquefied gas "/>
    <n v="0"/>
    <n v="0"/>
    <n v="0"/>
    <n v="0"/>
    <n v="0"/>
    <n v="0"/>
    <n v="0"/>
    <n v="0"/>
    <n v="0"/>
    <n v="0"/>
    <x v="4"/>
  </r>
  <r>
    <n v="7611"/>
    <s v="Reservoirs, tanks, vats and similar containers, of aluminium, for any material (other than compressed or liquefied gas), of a capacity of &gt; 300 l, not fitted with mechanical or thermal equipment, whether or not lined or heat-insulated (excluding containers specifically constructed or equipped for one or more types of transport) "/>
    <n v="0"/>
    <n v="0"/>
    <n v="0"/>
    <n v="0"/>
    <n v="0"/>
    <n v="0"/>
    <n v="0"/>
    <n v="0"/>
    <n v="0.01"/>
    <n v="0"/>
    <x v="4"/>
  </r>
  <r>
    <n v="7614"/>
    <s v="Stranded wire, cables, plaited bands and the like, of aluminium (excl. such products electrically insulated) "/>
    <n v="1.4"/>
    <n v="1.3"/>
    <n v="0"/>
    <n v="0"/>
    <n v="0.09"/>
    <n v="0.77"/>
    <n v="0.82"/>
    <n v="0.01"/>
    <n v="0"/>
    <n v="0"/>
    <x v="4"/>
  </r>
  <r>
    <n v="8311"/>
    <s v="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n v="7.92"/>
    <n v="5.54"/>
    <n v="7.37"/>
    <n v="6.2"/>
    <n v="5.92"/>
    <n v="7.9"/>
    <n v="7.82"/>
    <n v="9.06"/>
    <n v="8.9700000000000006"/>
    <n v="10.47"/>
    <x v="4"/>
  </r>
  <r>
    <n v="8301"/>
    <s v="Padlocks and locks &quot;key, combination or electrically operated&quot;, of base metal; clasps and frames with clasps, incorporating locks, of base metal; keys for any of the foregoing articles, of base metal "/>
    <n v="6.52"/>
    <n v="9.98"/>
    <n v="8"/>
    <n v="7.23"/>
    <n v="7.36"/>
    <n v="10.71"/>
    <n v="8.0299999999999994"/>
    <n v="5.46"/>
    <n v="6.07"/>
    <n v="6.75"/>
    <x v="4"/>
  </r>
  <r>
    <n v="8302"/>
    <s v="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n v="3.96"/>
    <n v="3.5"/>
    <n v="4.05"/>
    <n v="4.18"/>
    <n v="4.21"/>
    <n v="3.8"/>
    <n v="3.96"/>
    <n v="4.51"/>
    <n v="5.37"/>
    <n v="6.68"/>
    <x v="4"/>
  </r>
  <r>
    <n v="8307"/>
    <s v="Flexible tubing of base metal, with or without fittings "/>
    <n v="1.79"/>
    <n v="2.14"/>
    <n v="0.78"/>
    <n v="0.7"/>
    <n v="1.27"/>
    <n v="0.87"/>
    <n v="0.88"/>
    <n v="0.79"/>
    <n v="1.31"/>
    <n v="0.64"/>
    <x v="4"/>
  </r>
  <r>
    <n v="8310"/>
    <s v="Sign-plates, nameplates, address-plates and similar plates, numbers, letters and other symbols, of base metal, incl. traffic signs (excluding those of heading 9405, type and the like, and signal boards, signal discs and signal arms for traffic of heading 8608) "/>
    <n v="0.42"/>
    <n v="0.47"/>
    <n v="0.55000000000000004"/>
    <n v="0.44"/>
    <n v="0.31"/>
    <n v="0.41"/>
    <n v="0.26"/>
    <n v="0.42"/>
    <n v="0.53"/>
    <n v="0.57999999999999996"/>
    <x v="4"/>
  </r>
  <r>
    <n v="8309"/>
    <s v="Stoppers, caps and lids, incl. crown corks, screw caps and pouring stoppers, capsules for bottles, threaded bungs, bung covers, seals and other packing accessories, of base metal "/>
    <n v="4.3"/>
    <n v="2.76"/>
    <n v="2.13"/>
    <n v="0.56000000000000005"/>
    <n v="0.27"/>
    <n v="0.51"/>
    <n v="0.71"/>
    <n v="0.65"/>
    <n v="0.38"/>
    <n v="0.32"/>
    <x v="4"/>
  </r>
  <r>
    <n v="8308"/>
    <s v="Clasps, frames with clasps, buckles, buckle-clasps, hooks, eyes, eyelets and the like, of base metal, of a kind used for clothing, footwear, awnings, handbags, travel goods or other made-up articles, tubular or bifurcated rivets, of base metal; beads and spangles of base metal "/>
    <n v="0.13"/>
    <n v="0.32"/>
    <n v="0.32"/>
    <n v="0.23"/>
    <n v="0.21"/>
    <n v="0.22"/>
    <n v="0.2"/>
    <n v="0.22"/>
    <n v="0.15"/>
    <n v="0.18"/>
    <x v="4"/>
  </r>
  <r>
    <n v="8305"/>
    <s v="Fittings for loose-leaf binders or files, letter clips, letter corners, paper clips, indexing tags and similar office articles, of base metal (excl. drawing pins and clasps for books or registers); staples in strips, e.g. for use in offices, upholstery and packaging, of base metal "/>
    <n v="0.06"/>
    <n v="7.0000000000000007E-2"/>
    <n v="0.04"/>
    <n v="0.04"/>
    <n v="0.03"/>
    <n v="0.05"/>
    <n v="0.06"/>
    <n v="0.05"/>
    <n v="7.0000000000000007E-2"/>
    <n v="0.1"/>
    <x v="4"/>
  </r>
  <r>
    <n v="8303"/>
    <s v="Armoured or reinforced safes, strongboxes and doors and safe deposit lockers for strongrooms, cash or deed boxes and the like, of base metal "/>
    <n v="0"/>
    <n v="0.2"/>
    <n v="0.01"/>
    <n v="0.01"/>
    <s v="≈ 0"/>
    <n v="0"/>
    <n v="0"/>
    <n v="0.01"/>
    <n v="0.01"/>
    <n v="0.1"/>
    <x v="4"/>
  </r>
  <r>
    <n v="8306"/>
    <s v="Bells, gongs and the like, non-electric, of base metal (excl. musical instruments); statuettes and other ornaments, of base metal (excl. works of art, collectors' pieces and antiques); photograph, picture or similar frames, of base metal; mirrors of base metal (excl. optical elements) "/>
    <n v="0.02"/>
    <n v="0.06"/>
    <n v="0.16"/>
    <n v="0.09"/>
    <n v="0.02"/>
    <n v="0"/>
    <n v="0.02"/>
    <n v="0.01"/>
    <n v="0.01"/>
    <n v="0.03"/>
    <x v="4"/>
  </r>
  <r>
    <n v="8304"/>
    <s v="Filing cabinets, card-index cabinets, paper trays, paper rests, pen trays, office-stamp stands and similar office or desk equipment, of base metal (excluding office furniture of heading 9403 and waste paper bins) "/>
    <n v="0"/>
    <n v="0.04"/>
    <n v="0"/>
    <n v="0"/>
    <n v="0"/>
    <n v="0"/>
    <n v="0"/>
    <n v="0"/>
    <n v="0"/>
    <n v="0"/>
    <x v="4"/>
  </r>
  <r>
    <n v="8479"/>
    <s v="Machines and mechanical appliances having individual functions, not specified or included elsewhere in this chapter; parts thereof "/>
    <n v="211.21"/>
    <n v="159.94999999999999"/>
    <n v="369.24"/>
    <n v="371.83"/>
    <n v="216.75"/>
    <n v="201.62"/>
    <n v="199.97"/>
    <n v="302.55"/>
    <n v="319.68"/>
    <n v="392.91"/>
    <x v="5"/>
  </r>
  <r>
    <n v="8457"/>
    <s v="Machining centres, unit construction machines &quot;single station&quot; and multi-station transfer machines for working metal "/>
    <n v="99.32"/>
    <n v="82.46"/>
    <n v="221.09"/>
    <n v="203.78"/>
    <n v="120.76"/>
    <n v="174.74"/>
    <n v="127.61"/>
    <n v="188.93"/>
    <n v="175.4"/>
    <n v="291.20999999999998"/>
    <x v="5"/>
  </r>
  <r>
    <n v="8411"/>
    <s v="Turbojets, turbopropellers and other gas turbines "/>
    <n v="11.37"/>
    <n v="13.72"/>
    <n v="91.57"/>
    <n v="41.3"/>
    <n v="18.22"/>
    <n v="64.98"/>
    <n v="48"/>
    <n v="95.57"/>
    <n v="194.6"/>
    <n v="204.3"/>
    <x v="5"/>
  </r>
  <r>
    <n v="8443"/>
    <s v="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 "/>
    <n v="208.99"/>
    <n v="238.81"/>
    <n v="151.46"/>
    <n v="105.45"/>
    <n v="91.71"/>
    <n v="104.55"/>
    <n v="153.94"/>
    <n v="130.34"/>
    <n v="162.18"/>
    <n v="183.03"/>
    <x v="5"/>
  </r>
  <r>
    <n v="8409"/>
    <s v="Parts suitable for use solely or principally with internal combustion piston engine of heading 8407 or 8408 "/>
    <n v="117.36"/>
    <n v="130.36000000000001"/>
    <n v="162.44999999999999"/>
    <n v="127.39"/>
    <n v="87.67"/>
    <n v="122.22"/>
    <n v="129.96"/>
    <n v="136.18"/>
    <n v="156.94"/>
    <n v="182.72"/>
    <x v="5"/>
  </r>
  <r>
    <n v="8481"/>
    <s v="Taps, cocks, valves and similar appliances for pipes, boiler shells, tanks, vats or the like, incl. pressure-reducing valves and thermostatically controlled valves; parts thereof "/>
    <n v="102.01"/>
    <n v="108.64"/>
    <n v="131.94"/>
    <n v="124.62"/>
    <n v="98.45"/>
    <n v="159.35"/>
    <n v="145.51"/>
    <n v="139.4"/>
    <n v="138.44999999999999"/>
    <n v="170.7"/>
    <x v="5"/>
  </r>
  <r>
    <n v="8477"/>
    <s v="Machinery for working rubber or plastics or for the manufacture of products from these materials, not specified or included elsewhere in this chapter, parts thereof "/>
    <n v="71.53"/>
    <n v="94.01"/>
    <n v="114.53"/>
    <n v="180.07"/>
    <n v="63.64"/>
    <n v="98.57"/>
    <n v="67.989999999999995"/>
    <n v="98.37"/>
    <n v="100.36"/>
    <n v="166.53"/>
    <x v="5"/>
  </r>
  <r>
    <n v="8414"/>
    <s v="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 "/>
    <n v="133.44"/>
    <n v="78.05"/>
    <n v="70.72"/>
    <n v="84.58"/>
    <n v="102.02"/>
    <n v="97.68"/>
    <n v="75.41"/>
    <n v="95.06"/>
    <n v="89.26"/>
    <n v="142.71"/>
    <x v="5"/>
  </r>
  <r>
    <n v="8482"/>
    <s v="Ball or roller bearings (excl. steel balls of heading 7326); parts thereof "/>
    <n v="104.77"/>
    <n v="118.63"/>
    <n v="133.97"/>
    <n v="130.41"/>
    <n v="84.29"/>
    <n v="141.63999999999999"/>
    <n v="145.19999999999999"/>
    <n v="145.44"/>
    <n v="137.24"/>
    <n v="139.51"/>
    <x v="5"/>
  </r>
  <r>
    <n v="8431"/>
    <s v="Parts suitable for use solely or principally with the machinery of heading 8425 to 8430, n.e.s. "/>
    <n v="75.3"/>
    <n v="80.83"/>
    <n v="82.91"/>
    <n v="72.400000000000006"/>
    <n v="54.27"/>
    <n v="93.44"/>
    <n v="82.93"/>
    <n v="75.3"/>
    <n v="86.54"/>
    <n v="136.66"/>
    <x v="5"/>
  </r>
  <r>
    <n v="8413"/>
    <s v="Pumps for liquids, whether or not fitted with a measuring device (excl. ceramic pumps and secretion aspirating pumps for medical use and medical pumps carried on or implanted in the body); liquid elevators (excl. pumps); parts thereof "/>
    <n v="67.849999999999994"/>
    <n v="81.58"/>
    <n v="101.24"/>
    <n v="83.9"/>
    <n v="66.099999999999994"/>
    <n v="126.99"/>
    <n v="105.89"/>
    <n v="105.06"/>
    <n v="113.99"/>
    <n v="136.06"/>
    <x v="5"/>
  </r>
  <r>
    <n v="8462"/>
    <s v="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 "/>
    <n v="80.73"/>
    <n v="92.97"/>
    <n v="97.9"/>
    <n v="131.13"/>
    <n v="31.74"/>
    <n v="40.53"/>
    <n v="46.51"/>
    <n v="76.19"/>
    <n v="107.69"/>
    <n v="128.93"/>
    <x v="5"/>
  </r>
  <r>
    <n v="8446"/>
    <s v="Weaving machines &quot;looms&quot; "/>
    <n v="221.7"/>
    <n v="144.66999999999999"/>
    <n v="149.76"/>
    <n v="74.069999999999993"/>
    <n v="50.45"/>
    <n v="52.18"/>
    <n v="124.1"/>
    <n v="186.89"/>
    <n v="127.16"/>
    <n v="115.62"/>
    <x v="5"/>
  </r>
  <r>
    <n v="8421"/>
    <s v="Centrifuges, incl. centrifugal dryers (excl. those for isotope separation); filtering or purifying machinery and apparatus, for liquids or gases; parts thereof (excl. artificial kidneys) "/>
    <n v="44.76"/>
    <n v="49.72"/>
    <n v="57.98"/>
    <n v="73.069999999999993"/>
    <n v="83.33"/>
    <n v="106.66"/>
    <n v="127.64"/>
    <n v="147.88"/>
    <n v="155.68"/>
    <n v="114.77"/>
    <x v="5"/>
  </r>
  <r>
    <n v="8466"/>
    <s v="Parts and accessories suitable for use solely or principally with the machines of headings 8456 to 8465, incl. work or tool holders, self-opening dieheads, dividing heads and other special attachments for the machines, n.e.s.; tool holders for any type of tool for working in the hand "/>
    <n v="86.36"/>
    <n v="73.489999999999995"/>
    <n v="115.45"/>
    <n v="136.82"/>
    <n v="59.46"/>
    <n v="83.71"/>
    <n v="68.42"/>
    <n v="90.35"/>
    <n v="79.87"/>
    <n v="110.36"/>
    <x v="5"/>
  </r>
  <r>
    <n v="8483"/>
    <s v="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 "/>
    <n v="88.37"/>
    <n v="84.39"/>
    <n v="104.17"/>
    <n v="94.71"/>
    <n v="68.709999999999994"/>
    <n v="102.09"/>
    <n v="96.27"/>
    <n v="87.48"/>
    <n v="79.84"/>
    <n v="97.22"/>
    <x v="5"/>
  </r>
  <r>
    <n v="8408"/>
    <s v="Compression-ignition internal combustion piston engine &quot;diesel or semi-diesel engine&quot; "/>
    <n v="113.54"/>
    <n v="115.83"/>
    <n v="79.650000000000006"/>
    <n v="67.97"/>
    <n v="37.65"/>
    <n v="85.91"/>
    <n v="68.42"/>
    <n v="64.680000000000007"/>
    <n v="65.22"/>
    <n v="80.88"/>
    <x v="5"/>
  </r>
  <r>
    <n v="8429"/>
    <s v="Self-propelled bulldozers, angledozers, graders, levellers, scrapers, mechanical shovels, excavators, shovel loaders, tamping machines and roadrollers "/>
    <n v="76.19"/>
    <n v="60.72"/>
    <n v="53.33"/>
    <n v="66.78"/>
    <n v="73.900000000000006"/>
    <n v="88.53"/>
    <n v="93.67"/>
    <n v="110.59"/>
    <n v="82.07"/>
    <n v="79.59"/>
    <x v="5"/>
  </r>
  <r>
    <n v="8460"/>
    <s v="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 "/>
    <n v="47.62"/>
    <n v="28.24"/>
    <n v="76.41"/>
    <n v="89.86"/>
    <n v="54.83"/>
    <n v="25.48"/>
    <n v="47.85"/>
    <n v="32.94"/>
    <n v="59.53"/>
    <n v="60.36"/>
    <x v="5"/>
  </r>
  <r>
    <n v="8458"/>
    <s v="Lathes, incl. turning centres, for removing metal "/>
    <n v="40.869999999999997"/>
    <n v="37.32"/>
    <n v="57.42"/>
    <n v="65.2"/>
    <n v="42.7"/>
    <n v="31.81"/>
    <n v="42.03"/>
    <n v="42.34"/>
    <n v="50.31"/>
    <n v="60.02"/>
    <x v="5"/>
  </r>
  <r>
    <n v="8445"/>
    <s v="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 "/>
    <n v="96.64"/>
    <n v="89.66"/>
    <n v="87.85"/>
    <n v="74.349999999999994"/>
    <n v="29.52"/>
    <n v="126.8"/>
    <n v="111.92"/>
    <n v="170.33"/>
    <n v="82.4"/>
    <n v="56.65"/>
    <x v="5"/>
  </r>
  <r>
    <n v="8412"/>
    <s v="Engines and motors (excl. steam turbines, internal combustion piston engine, hydraulic turbines, water wheels, gas turbines and electric motors); parts thereof "/>
    <n v="51.2"/>
    <n v="48.56"/>
    <n v="56.46"/>
    <n v="50.98"/>
    <n v="29.61"/>
    <n v="58.58"/>
    <n v="45.62"/>
    <n v="48.59"/>
    <n v="49.78"/>
    <n v="53.68"/>
    <x v="5"/>
  </r>
  <r>
    <n v="8455"/>
    <s v="Metal-rolling mills and rolls therefor; parts of metal-rolling mills "/>
    <n v="23.49"/>
    <n v="18.75"/>
    <n v="42.69"/>
    <n v="118.65"/>
    <n v="32.72"/>
    <n v="25.2"/>
    <n v="45.32"/>
    <n v="55.44"/>
    <n v="59.16"/>
    <n v="53.18"/>
    <x v="5"/>
  </r>
  <r>
    <n v="8428"/>
    <s v="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 "/>
    <n v="27.19"/>
    <n v="26.5"/>
    <n v="53.74"/>
    <n v="77.150000000000006"/>
    <n v="33.380000000000003"/>
    <n v="32.119999999999997"/>
    <n v="20.99"/>
    <n v="52.24"/>
    <n v="56.88"/>
    <n v="46"/>
    <x v="5"/>
  </r>
  <r>
    <n v="8415"/>
    <s v="Air conditioning machines comprising a motor-driven fan and elements for changing the temperature and humidity, incl. those machines in which the humidity cannot be separately regulated; parts thereof "/>
    <n v="35.04"/>
    <n v="39.4"/>
    <n v="47.84"/>
    <n v="47.98"/>
    <n v="29.16"/>
    <n v="32.54"/>
    <n v="36.549999999999997"/>
    <n v="31.91"/>
    <n v="34.22"/>
    <n v="41.83"/>
    <x v="5"/>
  </r>
  <r>
    <n v="8433"/>
    <s v="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 "/>
    <n v="4.37"/>
    <n v="3.24"/>
    <n v="12.81"/>
    <n v="11.46"/>
    <n v="12.87"/>
    <n v="20.56"/>
    <n v="34.94"/>
    <n v="22.68"/>
    <n v="38.06"/>
    <n v="40.49"/>
    <x v="5"/>
  </r>
  <r>
    <n v="8454"/>
    <s v="Converters, ladles, ingot moulds and casting machines of a kind used in metallurgy or in metal foundries (excl. metal powder presses); parts thereof "/>
    <n v="21.78"/>
    <n v="17.32"/>
    <n v="35.880000000000003"/>
    <n v="42.41"/>
    <n v="23.02"/>
    <n v="21.76"/>
    <n v="12.65"/>
    <n v="22.16"/>
    <n v="50.14"/>
    <n v="39.21"/>
    <x v="5"/>
  </r>
  <r>
    <n v="8473"/>
    <s v="Parts and accessories (other than covers, carrying cases and the like) suitable for use solely or principally with machines of heading 8469 to 8472, n.e.s. "/>
    <n v="6.06"/>
    <n v="5.61"/>
    <n v="10.62"/>
    <n v="6.8"/>
    <n v="7.98"/>
    <n v="12.55"/>
    <n v="15.07"/>
    <n v="14.83"/>
    <n v="18.78"/>
    <n v="38.979999999999997"/>
    <x v="5"/>
  </r>
  <r>
    <n v="8422"/>
    <s v="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 "/>
    <n v="24.52"/>
    <n v="17.829999999999998"/>
    <n v="23.74"/>
    <n v="12.62"/>
    <n v="22.77"/>
    <n v="31.36"/>
    <n v="16.32"/>
    <n v="24.02"/>
    <n v="16.07"/>
    <n v="37.15"/>
    <x v="5"/>
  </r>
  <r>
    <n v="8424"/>
    <s v="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
    <n v="17.54"/>
    <n v="8.3000000000000007"/>
    <n v="22.03"/>
    <n v="36.770000000000003"/>
    <n v="13.38"/>
    <n v="19.02"/>
    <n v="14.11"/>
    <n v="19.28"/>
    <n v="26.08"/>
    <n v="35.799999999999997"/>
    <x v="5"/>
  </r>
  <r>
    <n v="8461"/>
    <s v="Machine tools for planing, shaping, slotting, broaching, gear cutting, gear grinding or gear finishing, sawing, cutting-off and other machine tools working by removing metal, sintered metal carbides or cermets, n.e.s. "/>
    <n v="29.41"/>
    <n v="11.54"/>
    <n v="23.77"/>
    <n v="58.57"/>
    <n v="32.25"/>
    <n v="13.63"/>
    <n v="27.57"/>
    <n v="19.73"/>
    <n v="30.95"/>
    <n v="32.229999999999997"/>
    <x v="5"/>
  </r>
  <r>
    <n v="8419"/>
    <s v="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
    <n v="41.07"/>
    <n v="23.61"/>
    <n v="25.18"/>
    <n v="31.51"/>
    <n v="30.44"/>
    <n v="23.17"/>
    <n v="15.09"/>
    <n v="29.61"/>
    <n v="21.68"/>
    <n v="28.56"/>
    <x v="5"/>
  </r>
  <r>
    <n v="8456"/>
    <s v="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 "/>
    <n v="22.8"/>
    <n v="27.27"/>
    <n v="33.32"/>
    <n v="20.72"/>
    <n v="10.98"/>
    <n v="29.37"/>
    <n v="21.3"/>
    <n v="25.11"/>
    <n v="23.13"/>
    <n v="27.93"/>
    <x v="5"/>
  </r>
  <r>
    <n v="8471"/>
    <s v="Automatic data-processing machines and units thereof; magnetic or optical readers, machines for transcribing data onto data media in coded form and machines for processing such data, n.e.s. "/>
    <n v="21.93"/>
    <n v="22.28"/>
    <n v="16.25"/>
    <n v="12.76"/>
    <n v="15.57"/>
    <n v="14.39"/>
    <n v="16.29"/>
    <n v="19.57"/>
    <n v="25.23"/>
    <n v="25.29"/>
    <x v="5"/>
  </r>
  <r>
    <n v="8447"/>
    <s v="Knitting machines, stitch-bonding machines and machines for making gimped yarn, tulle, lace, embroidery, trimmings, braid or net and machines for tufting (excl. hem-stitching machines) "/>
    <n v="21.46"/>
    <n v="25.9"/>
    <n v="19.510000000000002"/>
    <n v="15.3"/>
    <n v="8.7799999999999994"/>
    <n v="14.31"/>
    <n v="12.03"/>
    <n v="26.1"/>
    <n v="20.27"/>
    <n v="24.97"/>
    <x v="5"/>
  </r>
  <r>
    <n v="8406"/>
    <s v="Steam turbines and other vapour turbines; parts thereof "/>
    <n v="42.93"/>
    <n v="52.88"/>
    <n v="37.78"/>
    <n v="41.63"/>
    <n v="39.229999999999997"/>
    <n v="32.18"/>
    <n v="12.4"/>
    <n v="14.16"/>
    <n v="14.92"/>
    <n v="22.55"/>
    <x v="5"/>
  </r>
  <r>
    <n v="8448"/>
    <s v="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 "/>
    <n v="30.31"/>
    <n v="50.35"/>
    <n v="38.5"/>
    <n v="32.200000000000003"/>
    <n v="22.87"/>
    <n v="29.69"/>
    <n v="40.479999999999997"/>
    <n v="31.89"/>
    <n v="30.45"/>
    <n v="21.29"/>
    <x v="5"/>
  </r>
  <r>
    <n v="8459"/>
    <s v="Machine tools, incl. way-type unit head machines, for drilling, boring, milling, threading or tapping (excl. lathes and turning centres of heading 8458, gear cutting machines of heading 8461 and hand-operated machines) "/>
    <n v="27.9"/>
    <n v="16.190000000000001"/>
    <n v="26.22"/>
    <n v="41.33"/>
    <n v="16.98"/>
    <n v="8.44"/>
    <n v="5.15"/>
    <n v="1.86"/>
    <n v="10.31"/>
    <n v="20.95"/>
    <x v="5"/>
  </r>
  <r>
    <n v="8427"/>
    <s v="Fork-lift trucks; other works trucks fitted with lifting or handling equipment (excl. straddle carriers and works trucks fitted with a crane) "/>
    <n v="9.0399999999999991"/>
    <n v="8.6999999999999993"/>
    <n v="16.73"/>
    <n v="16.77"/>
    <n v="6.48"/>
    <n v="13.11"/>
    <n v="19.48"/>
    <n v="26.81"/>
    <n v="14.37"/>
    <n v="20.34"/>
    <x v="5"/>
  </r>
  <r>
    <n v="8423"/>
    <s v="Weighing machinery, incl. weight-operated counting or checking machines (excl. balances of a sensitivity of 5 cg or better); weighing machine weights of all kinds; parts thereof "/>
    <n v="9.85"/>
    <n v="8.0299999999999994"/>
    <n v="15.17"/>
    <n v="15.51"/>
    <n v="8.59"/>
    <n v="16.309999999999999"/>
    <n v="8.14"/>
    <n v="11.96"/>
    <n v="10.09"/>
    <n v="19.489999999999998"/>
    <x v="5"/>
  </r>
  <r>
    <n v="8417"/>
    <s v="Industrial or laboratory furnaces and ovens, non-electric, incl. incinerators (excl. drying ovens and ovens for cracking operations) "/>
    <n v="11.48"/>
    <n v="4.1399999999999997"/>
    <n v="10.49"/>
    <n v="12.11"/>
    <n v="10.29"/>
    <n v="4.96"/>
    <n v="8.67"/>
    <n v="12.35"/>
    <n v="11.36"/>
    <n v="18.11"/>
    <x v="5"/>
  </r>
  <r>
    <n v="8486"/>
    <s v="Machines and apparatus of a kind used solely or principally for the manufacture of semiconductor boules or wafers, semiconductor devices, electronic integrated circuits or flat panel displays; machines and apparatus specified in note 11 C to chapter 84; parts and accessories, n.e.s. "/>
    <n v="2.72"/>
    <n v="1.03"/>
    <n v="2"/>
    <n v="2.9"/>
    <n v="3.9"/>
    <n v="3.29"/>
    <n v="3.73"/>
    <n v="28.27"/>
    <n v="9.98"/>
    <n v="17.579999999999998"/>
    <x v="5"/>
  </r>
  <r>
    <n v="8480"/>
    <s v="Moulding boxes for metal foundry; mould bases; moulding patterns; moulds for metal (other than ingot moulds), metal carbides, glass, mineral materials, rubber or plastics (excl. moulds of graphite or other carbons, ceramic or glass moulds and linotype moulds or matrices) "/>
    <n v="36.049999999999997"/>
    <n v="37.93"/>
    <n v="29.27"/>
    <n v="38.43"/>
    <n v="28.96"/>
    <n v="34.020000000000003"/>
    <n v="23.55"/>
    <n v="17"/>
    <n v="17.829999999999998"/>
    <n v="16.66"/>
    <x v="5"/>
  </r>
  <r>
    <n v="8407"/>
    <s v="Spark-ignition reciprocating or rotary internal combustion piston engine "/>
    <n v="28.3"/>
    <n v="18.23"/>
    <n v="15.91"/>
    <n v="10.09"/>
    <n v="9.2200000000000006"/>
    <n v="10.6"/>
    <n v="13.13"/>
    <n v="13.54"/>
    <n v="9.35"/>
    <n v="15.48"/>
    <x v="5"/>
  </r>
  <r>
    <n v="8484"/>
    <s v="Gaskets and similar joints of metal sheeting combined with other material or of two or more layers of metal; sets or assortments of gaskets and similar joints, dissimilar in composition, put up in pouches, envelopes or similar packings; mechanical seals "/>
    <n v="10.18"/>
    <n v="13.24"/>
    <n v="15.13"/>
    <n v="10.48"/>
    <n v="8.98"/>
    <n v="12.23"/>
    <n v="12.26"/>
    <n v="13.77"/>
    <n v="13.46"/>
    <n v="15.13"/>
    <x v="5"/>
  </r>
  <r>
    <n v="8467"/>
    <s v="Tools for working in the hand, pneumatic, hydraulic or with self-contained electric or non-electric motor; parts thereof "/>
    <n v="9.32"/>
    <n v="8.61"/>
    <n v="15.02"/>
    <n v="20.22"/>
    <n v="11.26"/>
    <n v="11.19"/>
    <n v="10.36"/>
    <n v="9.49"/>
    <n v="12.09"/>
    <n v="14.05"/>
    <x v="5"/>
  </r>
  <r>
    <n v="8441"/>
    <s v="Machinery for making up paper pulp, paper or paperboard, incl. cutting machines of all kinds, n.e.s.; parts thereof "/>
    <n v="5.31"/>
    <n v="6"/>
    <n v="12.61"/>
    <n v="6.69"/>
    <n v="14.84"/>
    <n v="18.47"/>
    <n v="19.04"/>
    <n v="21.29"/>
    <n v="17.309999999999999"/>
    <n v="11.68"/>
    <x v="5"/>
  </r>
  <r>
    <n v="8426"/>
    <s v="Ships' derricks; cranes, incl. cable cranes (excl. wheel-mounted cranes and vehicle cranes for railways); mobile lifting frames, straddle carriers and works trucks fitted with a crane "/>
    <n v="5.52"/>
    <n v="1.87"/>
    <n v="38.85"/>
    <n v="20.83"/>
    <n v="20.74"/>
    <n v="0.56999999999999995"/>
    <n v="15.3"/>
    <n v="9.65"/>
    <n v="12.79"/>
    <n v="11.07"/>
    <x v="5"/>
  </r>
  <r>
    <n v="8452"/>
    <s v="Sewing machines (other than book-sewing machines of heading 8440); furniture, bases and covers specially designed for sewing machines; sewing machine needles; parts thereof "/>
    <n v="22.4"/>
    <n v="19.95"/>
    <n v="16.53"/>
    <n v="9.49"/>
    <n v="5.91"/>
    <n v="9.41"/>
    <n v="10.210000000000001"/>
    <n v="10.81"/>
    <n v="14.54"/>
    <n v="10.92"/>
    <x v="5"/>
  </r>
  <r>
    <n v="8474"/>
    <s v="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 "/>
    <n v="8.43"/>
    <n v="8.58"/>
    <n v="16.649999999999999"/>
    <n v="11.41"/>
    <n v="11.1"/>
    <n v="5.53"/>
    <n v="7.99"/>
    <n v="7.34"/>
    <n v="10.199999999999999"/>
    <n v="8.15"/>
    <x v="5"/>
  </r>
  <r>
    <n v="8487"/>
    <s v="Machinery parts, n.e.s. in chapter 84 (excl. parts containing electrical connectors, insulators, coils, contacts or other electrical features) "/>
    <n v="4.53"/>
    <n v="6.27"/>
    <n v="8.27"/>
    <n v="5.67"/>
    <n v="3.85"/>
    <n v="5.97"/>
    <n v="18.84"/>
    <n v="4.82"/>
    <n v="5.17"/>
    <n v="5.81"/>
    <x v="5"/>
  </r>
  <r>
    <n v="8438"/>
    <s v="Machinery, not specified or included elsewhere in this chapter, for the industrial preparation or manufacture of food or drink (other than machinery for the extraction or preparation of animal or fixed vegetable fats or oils); parts thereof "/>
    <n v="10.02"/>
    <n v="6.03"/>
    <n v="7.94"/>
    <n v="7.98"/>
    <n v="2.57"/>
    <n v="2.12"/>
    <n v="4.63"/>
    <n v="4.24"/>
    <n v="5.61"/>
    <n v="5.6"/>
    <x v="5"/>
  </r>
  <r>
    <n v="8425"/>
    <s v="Pulley tackle and hoists (other than skip hoists); winches and capstans; jacks "/>
    <n v="1.21"/>
    <n v="1.47"/>
    <n v="2.36"/>
    <n v="2.2400000000000002"/>
    <n v="1.55"/>
    <n v="2.12"/>
    <n v="2.72"/>
    <n v="3.11"/>
    <n v="2.81"/>
    <n v="5.37"/>
    <x v="5"/>
  </r>
  <r>
    <n v="8464"/>
    <s v="Machine tools for working stone, ceramics, concrete, asbestos-cement or like mineral materials or for cold-working glass (excl. machines for working in the hand) "/>
    <n v="1.1200000000000001"/>
    <n v="1.45"/>
    <n v="1.1599999999999999"/>
    <n v="0.74"/>
    <n v="1.79"/>
    <n v="0.63"/>
    <n v="1.83"/>
    <n v="8.5500000000000007"/>
    <n v="0.11"/>
    <n v="3.93"/>
    <x v="5"/>
  </r>
  <r>
    <n v="8463"/>
    <s v="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 "/>
    <n v="4.25"/>
    <n v="2.88"/>
    <n v="4"/>
    <n v="6"/>
    <n v="2.82"/>
    <n v="4.41"/>
    <n v="2.4"/>
    <n v="3.66"/>
    <n v="6.84"/>
    <n v="3.85"/>
    <x v="5"/>
  </r>
  <r>
    <n v="8444"/>
    <s v="Machines for extruding, drawing, texturing or cutting man-made textile materials "/>
    <n v="1.96"/>
    <n v="1.1299999999999999"/>
    <n v="0.99"/>
    <n v="2.2799999999999998"/>
    <n v="0.35"/>
    <n v="0.16"/>
    <n v="5.13"/>
    <n v="6.4"/>
    <n v="9.2100000000000009"/>
    <n v="3.58"/>
    <x v="5"/>
  </r>
  <r>
    <n v="8416"/>
    <s v="Furnace burners for liquid fuel, for pulverised solid fuel or for gas; mechanical stokers, incl. their mechanical grates, mechanical ash dischargers and similar appliances; parts thereof "/>
    <n v="0.35"/>
    <n v="1.38"/>
    <n v="0.67"/>
    <n v="4.3099999999999996"/>
    <n v="0.86"/>
    <n v="0.62"/>
    <n v="0.61"/>
    <n v="0.71"/>
    <n v="0.25"/>
    <n v="3.49"/>
    <x v="5"/>
  </r>
  <r>
    <n v="8418"/>
    <s v="Refrigerators, freezers and other refrigerating or freezing equipment, electric or other; heat pumps; parts thereof (excl. air conditioning machines of heading 8415) "/>
    <n v="3.24"/>
    <n v="1.85"/>
    <n v="2.79"/>
    <n v="2.02"/>
    <n v="1.73"/>
    <n v="2.23"/>
    <n v="2.09"/>
    <n v="2.69"/>
    <n v="2.5099999999999998"/>
    <n v="3.4"/>
    <x v="5"/>
  </r>
  <r>
    <n v="8468"/>
    <s v="Machinery and apparatus for soldering, brazing or welding, whether or not capable of cutting (other than those of heading 8515); gas-operated surface tempering machines and appliances; parts thereof "/>
    <n v="6.81"/>
    <n v="5.3"/>
    <n v="7.99"/>
    <n v="5.77"/>
    <n v="2.6"/>
    <n v="4.72"/>
    <n v="3.5"/>
    <n v="3.54"/>
    <n v="5.82"/>
    <n v="2.97"/>
    <x v="5"/>
  </r>
  <r>
    <n v="8451"/>
    <s v="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 "/>
    <n v="7.42"/>
    <n v="4.74"/>
    <n v="4.12"/>
    <n v="4.5199999999999996"/>
    <n v="1.86"/>
    <n v="1.67"/>
    <n v="1.26"/>
    <n v="1.7"/>
    <n v="2.2400000000000002"/>
    <n v="1.61"/>
    <x v="5"/>
  </r>
  <r>
    <n v="8430"/>
    <s v="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 "/>
    <n v="4.25"/>
    <n v="3.26"/>
    <n v="6.46"/>
    <n v="3.16"/>
    <n v="2.14"/>
    <n v="2.34"/>
    <n v="2.15"/>
    <n v="0.7"/>
    <n v="1.66"/>
    <n v="1.5"/>
    <x v="5"/>
  </r>
  <r>
    <n v="8476"/>
    <s v="Automatic goods-vending machines, e.g. postage stamp, cigarette, food or beverage machines, incl. money-changing machines; parts thereof "/>
    <n v="0"/>
    <n v="0"/>
    <n v="0"/>
    <n v="0"/>
    <n v="0.01"/>
    <n v="0"/>
    <n v="0"/>
    <n v="0.03"/>
    <n v="0.14000000000000001"/>
    <n v="1.23"/>
    <x v="5"/>
  </r>
  <r>
    <n v="8453"/>
    <s v="Machinery for preparing, tanning or working hides, skins or leather or for making or repairing footwear or other articles of hides, skins or leather (excl. drying machines, spray guns, machines for the dehairing of pigs, sewing machines and general purpose presses); parts thereof "/>
    <n v="0.21"/>
    <n v="0.46"/>
    <n v="0.05"/>
    <n v="0.02"/>
    <n v="0.14000000000000001"/>
    <n v="0.54"/>
    <n v="0.36"/>
    <n v="0.09"/>
    <n v="0.02"/>
    <n v="1.2"/>
    <x v="5"/>
  </r>
  <r>
    <n v="8439"/>
    <s v="Machinery for making pulp of fibrous cellulosic material or for making or finishing paper or paperboard (excl. autoclaves, boilers, dryers, other heating appliances and calenders); parts thereof "/>
    <n v="0.65"/>
    <n v="0.47"/>
    <n v="0.61"/>
    <n v="1.61"/>
    <n v="1.1200000000000001"/>
    <n v="0.64"/>
    <n v="0.37"/>
    <n v="0.59"/>
    <n v="0.8"/>
    <n v="1.19"/>
    <x v="5"/>
  </r>
  <r>
    <n v="8440"/>
    <s v="Bookbinding machinery, incl. book-sewing machines (excl. machinery of heading 8441, general-purpose presses, printing machinery of heading 8443 and machines of uses ancillary to printing); parts thereof "/>
    <n v="0.56000000000000005"/>
    <n v="1.1299999999999999"/>
    <n v="0.71"/>
    <n v="1.26"/>
    <n v="0.3"/>
    <n v="0.3"/>
    <n v="0.36"/>
    <n v="0.81"/>
    <n v="5.21"/>
    <n v="1.1399999999999999"/>
    <x v="5"/>
  </r>
  <r>
    <n v="8465"/>
    <s v="Machine tools, incl. machines for nailing, stapling, glueing or otherwise assembling, for working wood, cork, bone, hard rubber, hard plastics or similar hard materials (excl. machines for working in the hand and machines for additive manufacturing) "/>
    <n v="3.84"/>
    <n v="2.48"/>
    <n v="3.14"/>
    <n v="6.77"/>
    <n v="0.74"/>
    <n v="1.94"/>
    <n v="0.28999999999999998"/>
    <n v="2"/>
    <n v="0.95"/>
    <n v="1.07"/>
    <x v="5"/>
  </r>
  <r>
    <n v="8472"/>
    <s v="Office machines, e.g. hectograph or stencil duplicating machines, addressing machines, automatic banknote dispensers, coin-sorting machines, coin-counting or coin-wrapping machines, pencil-sharpening machines, perforating or stapling machines, n.e.s. "/>
    <n v="5.07"/>
    <n v="1.69"/>
    <n v="2.7"/>
    <n v="6.76"/>
    <n v="0.73"/>
    <n v="0.49"/>
    <n v="0.91"/>
    <n v="0.38"/>
    <n v="0.35"/>
    <n v="0.66"/>
    <x v="5"/>
  </r>
  <r>
    <n v="8432"/>
    <s v="Agricultural, horticultural or forestry machinery for soil preparation or cultivation (excl. sprayers and dusters); lawn or sports-ground rollers; parts thereof "/>
    <n v="2.06"/>
    <n v="1.43"/>
    <n v="2.0499999999999998"/>
    <n v="2.34"/>
    <n v="1.29"/>
    <n v="2.2999999999999998"/>
    <n v="2.58"/>
    <n v="1.84"/>
    <n v="0.97"/>
    <n v="0.51"/>
    <x v="5"/>
  </r>
  <r>
    <n v="8475"/>
    <s v="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 "/>
    <n v="2.08"/>
    <n v="1.72"/>
    <n v="0.22"/>
    <n v="0.21"/>
    <n v="0.21"/>
    <n v="1.48"/>
    <n v="1.71"/>
    <n v="0.46"/>
    <n v="0.19"/>
    <n v="0.4"/>
    <x v="5"/>
  </r>
  <r>
    <n v="8420"/>
    <s v="Calendering or other rolling machines (other than for metals or glass) and cylinders therefor; parts thereof "/>
    <n v="1.6"/>
    <n v="1.06"/>
    <n v="0.59"/>
    <n v="0.52"/>
    <n v="1.24"/>
    <n v="0.47"/>
    <n v="0.2"/>
    <n v="0.33"/>
    <n v="0.37"/>
    <n v="0.4"/>
    <x v="5"/>
  </r>
  <r>
    <n v="8442"/>
    <s v="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 "/>
    <n v="9.0500000000000007"/>
    <n v="8.2100000000000009"/>
    <n v="6.98"/>
    <n v="6.5"/>
    <n v="2.67"/>
    <n v="3.15"/>
    <n v="0.34"/>
    <n v="0.64"/>
    <n v="0.37"/>
    <n v="0.37"/>
    <x v="5"/>
  </r>
  <r>
    <n v="8485"/>
    <s v="Machines for additive manufacturing "/>
    <n v="0"/>
    <n v="0"/>
    <n v="0"/>
    <n v="0"/>
    <n v="0"/>
    <n v="0"/>
    <n v="0"/>
    <n v="0.02"/>
    <n v="0.04"/>
    <n v="0.33"/>
    <x v="5"/>
  </r>
  <r>
    <n v="8437"/>
    <s v="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 "/>
    <n v="0.43"/>
    <n v="0.99"/>
    <n v="1.6"/>
    <n v="1.54"/>
    <n v="2.11"/>
    <n v="0.54"/>
    <n v="0.11"/>
    <n v="0.19"/>
    <n v="0.22"/>
    <n v="0.12"/>
    <x v="5"/>
  </r>
  <r>
    <n v="8404"/>
    <s v="Auxiliary plant for use with boilers of heading 8402 or 8403, e.g. economizers, superheaters, soot removers and gas recoverers; condensers for steam or other vapour power units; parts thereof "/>
    <n v="0.03"/>
    <n v="1.97"/>
    <n v="2.13"/>
    <n v="0.01"/>
    <n v="0.02"/>
    <n v="7.0000000000000007E-2"/>
    <n v="0.09"/>
    <n v="0.17"/>
    <n v="0.13"/>
    <n v="7.0000000000000007E-2"/>
    <x v="5"/>
  </r>
  <r>
    <n v="8405"/>
    <s v="Producer gas or water gas generators, with or without their purifiers; acetylene gas generators and similar water process gas generators, with or without their purifiers; parts thereof (excl. coke ovens, electrolytic process gas generators and carbide lamps) "/>
    <n v="0.63"/>
    <n v="0.76"/>
    <n v="0.09"/>
    <n v="0.09"/>
    <n v="0.12"/>
    <n v="0.75"/>
    <n v="0.17"/>
    <n v="0.21"/>
    <n v="0.21"/>
    <n v="0.04"/>
    <x v="5"/>
  </r>
  <r>
    <n v="8450"/>
    <s v="Household or laundry-type washing machines, incl. machines which both wash and dry; parts thereof "/>
    <n v="0.03"/>
    <n v="0.01"/>
    <n v="0.16"/>
    <n v="0.69"/>
    <n v="0.05"/>
    <n v="0.5"/>
    <n v="0.04"/>
    <n v="0.4"/>
    <n v="0"/>
    <n v="0.02"/>
    <x v="5"/>
  </r>
  <r>
    <n v="8402"/>
    <s v="Steam or other vapour generating boilers (excl. central heating hot water boilers capable also of producing low pressure steam); superheated water boilers; parts thereof "/>
    <n v="0.4"/>
    <n v="0.02"/>
    <n v="6.3"/>
    <n v="0"/>
    <n v="0.57999999999999996"/>
    <n v="8.98"/>
    <n v="0.2"/>
    <n v="0.02"/>
    <n v="0.01"/>
    <n v="0.02"/>
    <x v="5"/>
  </r>
  <r>
    <n v="8410"/>
    <s v="Hydraulic turbines, water wheels, and regulators therefor (excl. hydraulic power engines and motors of heading 8412) "/>
    <n v="0"/>
    <n v="0.12"/>
    <n v="0.01"/>
    <n v="0.02"/>
    <n v="0.01"/>
    <n v="0.56999999999999995"/>
    <n v="0.01"/>
    <n v="0.01"/>
    <n v="0.08"/>
    <n v="0.01"/>
    <x v="5"/>
  </r>
  <r>
    <n v="8436"/>
    <s v="Agricultural, horticultural, forestry, poultry-keeping or bee-keeping machinery, incl. germination plant fitted with mechanical or thermal equipment; poultry incubators and brooders; parts thereof "/>
    <n v="0.04"/>
    <n v="0.01"/>
    <n v="0"/>
    <n v="0"/>
    <n v="0.05"/>
    <n v="0.03"/>
    <n v="0"/>
    <n v="0.17"/>
    <n v="0.43"/>
    <n v="0.01"/>
    <x v="5"/>
  </r>
  <r>
    <n v="8449"/>
    <s v="Machinery for the manufacture or finishing of felt or nonwovens in the piece or in shapes, incl. machinery for making felt hats; blocks for making hats; parts thereof (excluding machinery for preparing fibres for felt and calenders) "/>
    <n v="0.03"/>
    <n v="0.02"/>
    <n v="0.02"/>
    <n v="0"/>
    <n v="0.02"/>
    <n v="0.98"/>
    <n v="2.0299999999999998"/>
    <n v="0.4"/>
    <n v="0"/>
    <n v="0.01"/>
    <x v="5"/>
  </r>
  <r>
    <n v="8478"/>
    <s v="Machinery for preparing or making up tobacco, not specified or included elsewhere in this chapter; parts thereof "/>
    <n v="0.01"/>
    <n v="0.01"/>
    <n v="0"/>
    <n v="0"/>
    <n v="0.01"/>
    <n v="0.05"/>
    <n v="0"/>
    <n v="0"/>
    <n v="0"/>
    <n v="0"/>
    <x v="5"/>
  </r>
  <r>
    <n v="8401"/>
    <s v="Nuclear reactors; fuel elements &quot;cartridges&quot;, non-irradiated, for nuclear reactors; machinery and apparatus for isotopic separation; parts thereof "/>
    <n v="0"/>
    <n v="0.01"/>
    <n v="0"/>
    <n v="0"/>
    <n v="0"/>
    <n v="0"/>
    <n v="0"/>
    <n v="0"/>
    <n v="0"/>
    <n v="0"/>
    <x v="5"/>
  </r>
  <r>
    <n v="8403"/>
    <s v="Central heating boilers, non-electric; parts thereof (excl. vapour generating boilers and superheated water boilers of heading 8402) "/>
    <n v="0"/>
    <n v="0"/>
    <n v="0"/>
    <n v="0"/>
    <n v="0.01"/>
    <n v="0"/>
    <n v="0"/>
    <n v="0"/>
    <n v="0"/>
    <n v="0"/>
    <x v="5"/>
  </r>
  <r>
    <n v="8434"/>
    <s v="Milking machines and dairy machinery (excl. refrigerating or heat treatment equipment, cream separators, clarifying centrifuges, filter presses and other filtering equipment); parts thereof "/>
    <n v="0.06"/>
    <n v="0"/>
    <n v="0"/>
    <n v="0"/>
    <n v="0"/>
    <n v="0"/>
    <n v="0"/>
    <n v="0"/>
    <s v="≈ 0"/>
    <n v="0"/>
    <x v="5"/>
  </r>
  <r>
    <n v="8435"/>
    <s v="Presses, crushers and similar machinery used in the manufacture of wine, cider, fruit juices or similar beverages (excl. machinery for the treatment of these beverages, incl. centrifuges, filter presses, other filtering equipment and domestic appliances); parts thereof "/>
    <n v="0.03"/>
    <n v="0.01"/>
    <n v="0"/>
    <n v="0"/>
    <n v="0"/>
    <n v="0.06"/>
    <n v="0.13"/>
    <n v="0"/>
    <n v="0"/>
    <n v="0"/>
    <x v="5"/>
  </r>
  <r>
    <n v="8469"/>
    <s v="Typewriters and word-processing machines (excluding automatic data-processing machines and units thereof of heading 8443 and laser, thermal and electrosensitive printers) "/>
    <n v="0.15"/>
    <n v="0"/>
    <n v="0"/>
    <n v="0"/>
    <n v="0"/>
    <n v="0"/>
    <n v="0"/>
    <n v="0"/>
    <n v="0"/>
    <n v="0"/>
    <x v="5"/>
  </r>
  <r>
    <n v="8470"/>
    <s v="Calculating machines and pocket-size &quot;dimensions &lt;= 170 mm x 100 mm x 45 mm&quot;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 "/>
    <n v="2.29"/>
    <n v="0.01"/>
    <n v="0.62"/>
    <n v="0.4"/>
    <n v="0.36"/>
    <n v="7.0000000000000007E-2"/>
    <n v="0.02"/>
    <n v="0.01"/>
    <n v="0"/>
    <n v="0"/>
    <x v="5"/>
  </r>
</pivotCacheRecords>
</file>

<file path=xl/pivotCache/pivotCacheRecords4.xml><?xml version="1.0" encoding="utf-8"?>
<pivotCacheRecords xmlns="http://schemas.openxmlformats.org/spreadsheetml/2006/main" xmlns:r="http://schemas.openxmlformats.org/officeDocument/2006/relationships" count="253">
  <r>
    <n v="8517"/>
    <s v="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
    <n v="5.33"/>
    <n v="3.79"/>
    <n v="1.71"/>
    <n v="1.75"/>
    <n v="1.76"/>
    <n v="202.18"/>
    <n v="275.29000000000002"/>
    <n v="96.42"/>
    <n v="299.04000000000002"/>
    <n v="305.64999999999998"/>
    <x v="0"/>
  </r>
  <r>
    <n v="8544"/>
    <s v="Insulated &quot;incl. enamelled or anodised&quot; wire, cable &quot;incl. coaxial cable&quot; and other insulated electric conductors, whether or not fitted with connectors; optical fibre cables, made up of individually sheathed fibres, whether or not assembled with electric conductors or fitted with connectors "/>
    <n v="24.49"/>
    <n v="13.66"/>
    <n v="11.23"/>
    <n v="17.309999999999999"/>
    <n v="20.43"/>
    <n v="32.26"/>
    <n v="41.14"/>
    <n v="44.59"/>
    <n v="41.82"/>
    <n v="46.2"/>
    <x v="0"/>
  </r>
  <r>
    <n v="8511"/>
    <s v="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 "/>
    <n v="4.38"/>
    <n v="6"/>
    <n v="6.05"/>
    <n v="6.32"/>
    <n v="7.33"/>
    <n v="11.21"/>
    <n v="18.73"/>
    <n v="25.59"/>
    <n v="30.18"/>
    <n v="34.89"/>
    <x v="0"/>
  </r>
  <r>
    <n v="8504"/>
    <s v="Electrical transformers, static converters, e.g. rectifiers, and inductors; parts thereof "/>
    <n v="7.37"/>
    <n v="9.42"/>
    <n v="12.95"/>
    <n v="18.899999999999999"/>
    <n v="11.68"/>
    <n v="10.94"/>
    <n v="13.36"/>
    <n v="22.94"/>
    <n v="22.63"/>
    <n v="34.869999999999997"/>
    <x v="0"/>
  </r>
  <r>
    <n v="8507"/>
    <s v="Electric accumulators, incl. separators therefor, whether or not square or rectangular; parts thereof (excl. spent and those of unhardened rubber or textiles) "/>
    <n v="0.98"/>
    <n v="1.35"/>
    <n v="1.18"/>
    <n v="0.33"/>
    <n v="0.28999999999999998"/>
    <n v="5.26"/>
    <n v="12.6"/>
    <n v="35.4"/>
    <n v="15"/>
    <n v="26.19"/>
    <x v="0"/>
  </r>
  <r>
    <n v="8527"/>
    <s v="Reception apparatus for radio-broadcasting, whether or not combined, in the same housing, with sound recording or reproducing apparatus or a clock "/>
    <n v="0.03"/>
    <n v="0.06"/>
    <n v="0.08"/>
    <n v="0.12"/>
    <n v="0.05"/>
    <n v="0.04"/>
    <n v="2.15"/>
    <n v="7.41"/>
    <n v="16.18"/>
    <n v="21.74"/>
    <x v="0"/>
  </r>
  <r>
    <n v="8525"/>
    <s v="Transmission apparatus for radio-broadcasting or television, whether or not incorporating reception apparatus or sound recording or reproducing apparatus; television cameras, digital cameras and video camera recorders "/>
    <n v="0.42"/>
    <n v="0.31"/>
    <n v="0.24"/>
    <n v="0.99"/>
    <n v="2.1800000000000002"/>
    <n v="0.39"/>
    <n v="1.1000000000000001"/>
    <n v="3.1"/>
    <n v="3.6"/>
    <n v="20.38"/>
    <x v="0"/>
  </r>
  <r>
    <n v="8545"/>
    <s v="Carbon electrodes, carbon brushes, lamp carbons, battery carbons and other articles of graphite or other carbon, with or without metal, of a kind used for electrical purposes "/>
    <n v="1.6"/>
    <n v="2.77"/>
    <n v="4.34"/>
    <n v="3.12"/>
    <n v="2.99"/>
    <n v="5.61"/>
    <n v="4.92"/>
    <n v="5.7"/>
    <n v="8.15"/>
    <n v="18.850000000000001"/>
    <x v="0"/>
  </r>
  <r>
    <n v="8537"/>
    <s v="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 "/>
    <n v="33.79"/>
    <n v="36.01"/>
    <n v="39.65"/>
    <n v="28.45"/>
    <n v="18.43"/>
    <n v="20.93"/>
    <n v="23.66"/>
    <n v="16.45"/>
    <n v="15.14"/>
    <n v="15.1"/>
    <x v="0"/>
  </r>
  <r>
    <n v="8536"/>
    <s v="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 "/>
    <n v="5.51"/>
    <n v="5.54"/>
    <n v="6.94"/>
    <n v="6.94"/>
    <n v="7.21"/>
    <n v="9.5299999999999994"/>
    <n v="11.59"/>
    <n v="9.4499999999999993"/>
    <n v="8.34"/>
    <n v="9.92"/>
    <x v="0"/>
  </r>
  <r>
    <n v="8501"/>
    <s v="Electric motors and generators (excl. generating sets) "/>
    <n v="7.13"/>
    <n v="4.7699999999999996"/>
    <n v="4.0599999999999996"/>
    <n v="5.62"/>
    <n v="3.42"/>
    <n v="7.57"/>
    <n v="5.76"/>
    <n v="5.44"/>
    <n v="8.18"/>
    <n v="7.9"/>
    <x v="0"/>
  </r>
  <r>
    <n v="8512"/>
    <s v="Electrical lighting or signalling equipment (excl. lamps of heading 8539), windscreen wipers, defrosters and demisters, of a kind used for cycles or motor vehicles; parts thereof "/>
    <n v="4.6399999999999997"/>
    <n v="4.5999999999999996"/>
    <n v="17.25"/>
    <n v="4.46"/>
    <n v="3.57"/>
    <n v="6.62"/>
    <n v="12.9"/>
    <n v="10.050000000000001"/>
    <n v="7.56"/>
    <n v="7.02"/>
    <x v="0"/>
  </r>
  <r>
    <n v="8549"/>
    <s v="Electrical and electronic waste and scrap "/>
    <n v="0"/>
    <n v="0"/>
    <n v="0"/>
    <n v="0"/>
    <n v="0"/>
    <n v="0"/>
    <n v="0.17"/>
    <n v="3.57"/>
    <n v="2.0099999999999998"/>
    <n v="5.91"/>
    <x v="0"/>
  </r>
  <r>
    <n v="8503"/>
    <s v="Parts suitable for use solely or principally with electric motors and generators, electric generating sets and rotary converters, n.e.s. "/>
    <n v="0.56000000000000005"/>
    <n v="0.64"/>
    <n v="1.3"/>
    <n v="2.92"/>
    <n v="4.07"/>
    <n v="4.84"/>
    <n v="4.97"/>
    <n v="5.25"/>
    <n v="6.03"/>
    <n v="4.4400000000000004"/>
    <x v="0"/>
  </r>
  <r>
    <n v="8538"/>
    <s v="Parts suitable for use solely or principally with the apparatus of heading 8535, 8536 or 8537, n.e.s. "/>
    <n v="1.64"/>
    <n v="2.2400000000000002"/>
    <n v="2.4300000000000002"/>
    <n v="2.4500000000000002"/>
    <n v="5.85"/>
    <n v="4.3499999999999996"/>
    <n v="7.51"/>
    <n v="5.03"/>
    <n v="4.08"/>
    <n v="3.74"/>
    <x v="0"/>
  </r>
  <r>
    <n v="8502"/>
    <s v="Electric generating sets and rotary converters "/>
    <n v="1.54"/>
    <n v="1.01"/>
    <n v="1.99"/>
    <n v="1.97"/>
    <n v="2.4700000000000002"/>
    <n v="1.34"/>
    <n v="0.94"/>
    <n v="0.82"/>
    <n v="0.86"/>
    <n v="2.48"/>
    <x v="0"/>
  </r>
  <r>
    <n v="8546"/>
    <s v="Electrical insulators of any material (excl. insulating fittings) "/>
    <n v="0.64"/>
    <n v="0.53"/>
    <n v="0.93"/>
    <n v="1.05"/>
    <n v="1.41"/>
    <n v="1.37"/>
    <n v="1.88"/>
    <n v="2.2400000000000002"/>
    <n v="1.1399999999999999"/>
    <n v="1.74"/>
    <x v="0"/>
  </r>
  <r>
    <n v="8542"/>
    <s v="Electronic integrated circuits; parts thereof "/>
    <n v="0.43"/>
    <n v="0.5"/>
    <n v="0.38"/>
    <n v="0.41"/>
    <n v="0.44"/>
    <n v="0.57999999999999996"/>
    <n v="2.38"/>
    <n v="8.9499999999999993"/>
    <n v="1.1100000000000001"/>
    <n v="1.69"/>
    <x v="0"/>
  </r>
  <r>
    <n v="8529"/>
    <s v="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
    <n v="0.25"/>
    <n v="0.15"/>
    <n v="0.32"/>
    <n v="0.6"/>
    <n v="0.83"/>
    <n v="1.59"/>
    <n v="1.89"/>
    <n v="1.82"/>
    <n v="2.2200000000000002"/>
    <n v="1.62"/>
    <x v="0"/>
  </r>
  <r>
    <n v="8541"/>
    <s v="Semiconductor devices &quot;e.g. diodes, transistors, semiconductor-based transducers&quot;; photosensitive semiconductor devices, incl. photovoltaic cells whether or not assembled in modules or made up into panels (excl. photovoltaic generators); light emitting diodes &quot;LED&quot;, whether or not assembled with other light-emitting diodes &quot;LED&quot;; mounted piezoelectric crystals; parts thereof "/>
    <n v="2.93"/>
    <n v="2.08"/>
    <n v="1.96"/>
    <n v="0.2"/>
    <n v="0.42"/>
    <n v="0.19"/>
    <n v="0.92"/>
    <n v="0.73"/>
    <n v="0.68"/>
    <n v="1.1100000000000001"/>
    <x v="0"/>
  </r>
  <r>
    <n v="8523"/>
    <s v="Discs, tapes, solid-state non-volatile storage devices, &quot;smart cards&quot; and other media for the recording of sound or of other phenomena, whether or not recorded, incl. matrices and masters for the production of discs (excl. products of chapter 37) "/>
    <n v="0.92"/>
    <n v="0.5"/>
    <n v="0.34"/>
    <n v="0.35"/>
    <n v="2.0699999999999998"/>
    <n v="0.42"/>
    <n v="0.42"/>
    <n v="0.48"/>
    <n v="0.94"/>
    <n v="0.95"/>
    <x v="0"/>
  </r>
  <r>
    <n v="8543"/>
    <s v="Electrical machines and apparatus, having individual functions, n.e.s. in chapter 85 and parts thereof "/>
    <n v="0.63"/>
    <n v="0.67"/>
    <n v="0.24"/>
    <n v="0.4"/>
    <n v="0.18"/>
    <n v="0.38"/>
    <n v="1.18"/>
    <n v="0.56000000000000005"/>
    <n v="0.49"/>
    <n v="0.72"/>
    <x v="0"/>
  </r>
  <r>
    <n v="8533"/>
    <s v="Electrical resistors, incl. rheostats and potentiometers (excl. heating resistors); parts thereof "/>
    <n v="0.02"/>
    <n v="0.19"/>
    <n v="0.21"/>
    <n v="0.16"/>
    <n v="0.35"/>
    <n v="0.47"/>
    <n v="0.52"/>
    <n v="0.65"/>
    <n v="0.71"/>
    <n v="0.7"/>
    <x v="0"/>
  </r>
  <r>
    <n v="8505"/>
    <s v="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 "/>
    <n v="0.19"/>
    <n v="0.22"/>
    <n v="0.22"/>
    <n v="0.31"/>
    <n v="0.27"/>
    <n v="0.48"/>
    <n v="0.6"/>
    <n v="0.7"/>
    <n v="1.1499999999999999"/>
    <n v="0.62"/>
    <x v="0"/>
  </r>
  <r>
    <n v="8518"/>
    <s v="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 "/>
    <n v="0.09"/>
    <n v="0.03"/>
    <n v="0.05"/>
    <n v="0.27"/>
    <n v="0.09"/>
    <n v="0.54"/>
    <n v="0.6"/>
    <n v="0.49"/>
    <n v="0.98"/>
    <n v="0.48"/>
    <x v="0"/>
  </r>
  <r>
    <n v="8528"/>
    <s v="Monitors and projectors, not incorporating television reception apparatus; reception apparatus for television, whether or not incorporating radio-broadcast receivers or sound or video recording or reproducing apparatus "/>
    <n v="0.19"/>
    <n v="0.21"/>
    <n v="0.09"/>
    <n v="0.17"/>
    <n v="7.0000000000000007E-2"/>
    <n v="0.11"/>
    <n v="0.13"/>
    <n v="0.1"/>
    <n v="0.28999999999999998"/>
    <n v="0.42"/>
    <x v="0"/>
  </r>
  <r>
    <n v="8516"/>
    <s v="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 "/>
    <n v="0.04"/>
    <n v="0.21"/>
    <n v="1.43"/>
    <n v="1.1599999999999999"/>
    <n v="1.7"/>
    <n v="1.92"/>
    <n v="1.39"/>
    <n v="1.18"/>
    <n v="0.49"/>
    <n v="0.3"/>
    <x v="0"/>
  </r>
  <r>
    <n v="8514"/>
    <s v="Industrial or laboratory electric furnaces and ovens, incl. those functioning by induction or dielectric loss; other industrial or laboratory equipment for the heat treatment of materials by induction or dielectric loss; parts thereof "/>
    <n v="0.23"/>
    <n v="0.45"/>
    <n v="0.52"/>
    <n v="0.47"/>
    <n v="0.2"/>
    <n v="0.21"/>
    <n v="0.45"/>
    <n v="0.1"/>
    <n v="0.27"/>
    <n v="0.3"/>
    <x v="0"/>
  </r>
  <r>
    <n v="8534"/>
    <s v="Printed circuits "/>
    <n v="0.23"/>
    <n v="0.38"/>
    <n v="0.47"/>
    <n v="0.12"/>
    <n v="0.13"/>
    <n v="0.26"/>
    <n v="0.17"/>
    <n v="0.26"/>
    <n v="0.38"/>
    <n v="0.27"/>
    <x v="0"/>
  </r>
  <r>
    <n v="8532"/>
    <s v="Electrical capacitors, fixed, variable or adjustable &quot;pre-set&quot;; parts thereof "/>
    <n v="0.14000000000000001"/>
    <n v="0.15"/>
    <n v="0.16"/>
    <n v="0.42"/>
    <n v="0.3"/>
    <n v="0.33"/>
    <n v="0.44"/>
    <n v="0.66"/>
    <n v="0.46"/>
    <n v="0.22"/>
    <x v="0"/>
  </r>
  <r>
    <n v="8540"/>
    <s v="Thermionic, cold cathode or photo-cathode valves and tubes, e.g. vacuum or vapour or gas filled valves and tubes, mercury arc rectifying valves and tubes, cathode ray tubes and television camera tubes; parts thereof "/>
    <n v="0.01"/>
    <n v="0.04"/>
    <n v="0.01"/>
    <n v="0.03"/>
    <n v="0.09"/>
    <n v="0.04"/>
    <n v="0.2"/>
    <n v="0.1"/>
    <n v="7.0000000000000007E-2"/>
    <n v="0.2"/>
    <x v="0"/>
  </r>
  <r>
    <n v="8531"/>
    <s v="Electric sound or visual signalling apparatus, e.g. bells, sirens, indicator panels, burglar or fire alarms (excl. those for cycles, motor vehicles and traffic signalling); parts thereof "/>
    <n v="0.01"/>
    <n v="0.04"/>
    <n v="0.15"/>
    <n v="0.04"/>
    <n v="0.01"/>
    <n v="0.01"/>
    <n v="0.01"/>
    <n v="0.05"/>
    <n v="0.02"/>
    <n v="0.18"/>
    <x v="0"/>
  </r>
  <r>
    <n v="8515"/>
    <s v="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 "/>
    <n v="0.11"/>
    <n v="0.15"/>
    <n v="0.34"/>
    <n v="0.4"/>
    <n v="0.33"/>
    <n v="0.7"/>
    <n v="0.35"/>
    <n v="0.24"/>
    <n v="0.41"/>
    <n v="0.18"/>
    <x v="0"/>
  </r>
  <r>
    <n v="8530"/>
    <s v="Electrical signalling, safety or traffic control equipment for railways, tramways, roads, inland waterways, parking facilities, port installations or airfields (excl. mechanical or electromechanical equipment of heading 8608); parts thereof "/>
    <n v="0.11"/>
    <n v="0.1"/>
    <n v="0.17"/>
    <n v="0.34"/>
    <n v="0.18"/>
    <n v="0.47"/>
    <n v="0.39"/>
    <n v="0.49"/>
    <n v="0.03"/>
    <n v="0.14000000000000001"/>
    <x v="0"/>
  </r>
  <r>
    <n v="8535"/>
    <s v="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 "/>
    <n v="0.34"/>
    <n v="0.39"/>
    <n v="0.56999999999999995"/>
    <n v="3.64"/>
    <n v="0.48"/>
    <n v="3.52"/>
    <n v="1.51"/>
    <n v="0.04"/>
    <n v="0.02"/>
    <n v="0.05"/>
    <x v="0"/>
  </r>
  <r>
    <n v="8526"/>
    <s v="Radar apparatus, radio navigational aid apparatus and radio remote control apparatus "/>
    <n v="0.01"/>
    <n v="0"/>
    <n v="0.01"/>
    <n v="0.11"/>
    <n v="0.01"/>
    <n v="7.0000000000000007E-2"/>
    <n v="0.08"/>
    <n v="0.01"/>
    <n v="0.03"/>
    <n v="0.04"/>
    <x v="0"/>
  </r>
  <r>
    <n v="8539"/>
    <s v="Electric filament or discharge lamps, incl. sealed beam lamp units and ultraviolet or infra-red lamps; arc lamps; light-emitting diode &quot;LED&quot; light sources; parts thereof "/>
    <n v="0.05"/>
    <n v="0.06"/>
    <n v="0.12"/>
    <n v="0.14000000000000001"/>
    <n v="0.11"/>
    <n v="0.06"/>
    <n v="0.1"/>
    <n v="0.14000000000000001"/>
    <n v="0.03"/>
    <n v="0.04"/>
    <x v="0"/>
  </r>
  <r>
    <n v="8547"/>
    <s v="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
    <n v="0.04"/>
    <n v="0.13"/>
    <n v="0.04"/>
    <n v="0.09"/>
    <n v="0.02"/>
    <n v="0.02"/>
    <n v="0.03"/>
    <n v="0.04"/>
    <n v="0.02"/>
    <n v="0.04"/>
    <x v="0"/>
  </r>
  <r>
    <n v="8521"/>
    <s v="Video recording or reproducing apparatus, whether or not incorporating a video tuner (excl. video camera recorders) "/>
    <n v="0.01"/>
    <n v="0.02"/>
    <n v="0.02"/>
    <n v="0"/>
    <n v="0.02"/>
    <n v="0.02"/>
    <n v="0.02"/>
    <n v="0"/>
    <s v="≈ 0"/>
    <n v="0.02"/>
    <x v="0"/>
  </r>
  <r>
    <n v="8524"/>
    <s v="Flat panel display modules, whether or not incorporating touch-sensitive screens "/>
    <n v="0"/>
    <n v="0"/>
    <n v="0"/>
    <n v="0"/>
    <n v="0"/>
    <n v="0"/>
    <n v="0.01"/>
    <n v="0.04"/>
    <n v="0.04"/>
    <n v="0.02"/>
    <x v="0"/>
  </r>
  <r>
    <n v="8508"/>
    <s v="Vacuum cleaners, incl. dry cleaners and wet vacuum cleaners "/>
    <n v="0.09"/>
    <n v="0.08"/>
    <n v="0.06"/>
    <n v="7.0000000000000007E-2"/>
    <n v="7.0000000000000007E-2"/>
    <n v="0.05"/>
    <n v="7.0000000000000007E-2"/>
    <n v="0.12"/>
    <n v="0.03"/>
    <n v="0.02"/>
    <x v="0"/>
  </r>
  <r>
    <n v="8548"/>
    <s v="Waste and scrap of primary cells, primary batteries and electric accumulators; spent primary cells, spent primary batteries and spent electric accumulators; electrical parts of machinery or apparatus, not specified or included elsewhere in chapter 85 "/>
    <s v="≈ 0"/>
    <n v="0"/>
    <n v="0"/>
    <n v="0.15"/>
    <n v="0.06"/>
    <n v="0.02"/>
    <n v="0.02"/>
    <n v="0.02"/>
    <n v="0.01"/>
    <n v="0.01"/>
    <x v="0"/>
  </r>
  <r>
    <n v="8509"/>
    <s v="Electromechanical domestic appliances, with self-contained electric motor; parts thereof (excl. vacuum cleaners, dry and wet vacuum cleaners) "/>
    <n v="0"/>
    <n v="0.01"/>
    <n v="0"/>
    <n v="0"/>
    <n v="0"/>
    <n v="0"/>
    <n v="0.02"/>
    <n v="0"/>
    <n v="0"/>
    <n v="0.01"/>
    <x v="0"/>
  </r>
  <r>
    <n v="8522"/>
    <s v="Parts and accessories suitable for use solely or principally with sound reproducing and recording apparatus and with video equipment for recording and reproducing pictures and sound "/>
    <n v="0.01"/>
    <n v="0.03"/>
    <n v="0.01"/>
    <n v="0.01"/>
    <n v="0"/>
    <n v="0"/>
    <n v="0"/>
    <n v="0"/>
    <n v="0.02"/>
    <n v="0"/>
    <x v="0"/>
  </r>
  <r>
    <n v="8510"/>
    <s v="Electric shavers, hair clippers and hair-removing appliances, with self-contained electric motor; parts thereof "/>
    <n v="0"/>
    <n v="0"/>
    <n v="0"/>
    <n v="0"/>
    <n v="0"/>
    <n v="0"/>
    <s v="≈ 0"/>
    <n v="0"/>
    <n v="0"/>
    <n v="0"/>
    <x v="0"/>
  </r>
  <r>
    <n v="8519"/>
    <s v="Sound recording or sound reproducing apparatus "/>
    <n v="0.03"/>
    <n v="0.03"/>
    <n v="0.03"/>
    <n v="0.01"/>
    <n v="0.08"/>
    <n v="0.01"/>
    <n v="0.02"/>
    <n v="0"/>
    <n v="0.05"/>
    <n v="0"/>
    <x v="0"/>
  </r>
  <r>
    <n v="8506"/>
    <s v="Primary cells and primary batteries, electrical; parts thereof (excl. spent) "/>
    <n v="0.02"/>
    <n v="0.02"/>
    <n v="0.04"/>
    <n v="0.01"/>
    <n v="0"/>
    <n v="0.01"/>
    <n v="0"/>
    <n v="0.01"/>
    <n v="0.01"/>
    <n v="0"/>
    <x v="0"/>
  </r>
  <r>
    <n v="8513"/>
    <s v="Portable electric lamps designed to function by their own source of energy, e.g. dry batteries, accumulators and magnetos; parts thereof (excl. lighting equipment of heading 8512) "/>
    <n v="0"/>
    <s v="≈ 0"/>
    <s v="≈ 0"/>
    <n v="0.01"/>
    <n v="0"/>
    <s v="≈ 0"/>
    <s v="≈ 0"/>
    <n v="0.01"/>
    <n v="0"/>
    <n v="0"/>
    <x v="1"/>
  </r>
  <r>
    <n v="3926"/>
    <s v="Articles of plastics and articles of other materials of heading 3901 to 3914, n.e.s. "/>
    <n v="11.63"/>
    <n v="10.99"/>
    <n v="13.05"/>
    <n v="12.29"/>
    <n v="6.59"/>
    <n v="7.51"/>
    <n v="9.7100000000000009"/>
    <n v="19.29"/>
    <n v="20.39"/>
    <n v="22.26"/>
    <x v="1"/>
  </r>
  <r>
    <n v="3904"/>
    <s v="Polymers of vinyl chloride or of other halogenated olefins, in primary forms "/>
    <n v="0.51"/>
    <n v="1.1399999999999999"/>
    <n v="3.73"/>
    <n v="5.26"/>
    <n v="3.37"/>
    <n v="6.74"/>
    <n v="17.350000000000001"/>
    <n v="16.09"/>
    <n v="23.37"/>
    <n v="16.809999999999999"/>
    <x v="1"/>
  </r>
  <r>
    <n v="3911"/>
    <s v="Petroleum resins, coumarone-indene resins, polyterpenes, polysulphides, polysulphones and other polymers and prepolymers produced by chemical synthesis, n.e.s., in primary forms "/>
    <n v="1.27"/>
    <n v="1.84"/>
    <n v="6.28"/>
    <n v="8.68"/>
    <n v="11.47"/>
    <n v="7.17"/>
    <n v="3.44"/>
    <n v="10.64"/>
    <n v="14.17"/>
    <n v="13.11"/>
    <x v="1"/>
  </r>
  <r>
    <n v="3920"/>
    <s v="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 "/>
    <n v="1.39"/>
    <n v="1.38"/>
    <n v="2.06"/>
    <n v="2.11"/>
    <n v="2.4"/>
    <n v="4.95"/>
    <n v="4.4800000000000004"/>
    <n v="5.75"/>
    <n v="9.81"/>
    <n v="10.93"/>
    <x v="1"/>
  </r>
  <r>
    <n v="3923"/>
    <s v="Articles for the conveyance or packaging of goods, of plastics; stoppers, lids, caps and other closures, of plastics "/>
    <n v="4.76"/>
    <n v="3.38"/>
    <n v="5.13"/>
    <n v="7.62"/>
    <n v="4.5199999999999996"/>
    <n v="7.17"/>
    <n v="6.61"/>
    <n v="6.09"/>
    <n v="7.49"/>
    <n v="10.08"/>
    <x v="1"/>
  </r>
  <r>
    <n v="3907"/>
    <s v="Polyacetals, other polyethers and epoxide resins, in primary forms; polycarbonates, alkyd resins, polyallyl esters and other polyesters, in primary forms "/>
    <n v="2.06"/>
    <n v="17.05"/>
    <n v="82.22"/>
    <n v="59.8"/>
    <n v="32.380000000000003"/>
    <n v="10.35"/>
    <n v="19.25"/>
    <n v="23.59"/>
    <n v="16.100000000000001"/>
    <n v="9.58"/>
    <x v="1"/>
  </r>
  <r>
    <n v="3917"/>
    <s v="Tubes, pipes and hoses, and fittings therefor, e.g. joints, elbows, flanges, of plastics "/>
    <n v="0.03"/>
    <n v="0.13"/>
    <n v="0.28000000000000003"/>
    <n v="0.22"/>
    <n v="0.23"/>
    <n v="0.33"/>
    <n v="0.71"/>
    <n v="2.37"/>
    <n v="4.34"/>
    <n v="5.45"/>
    <x v="1"/>
  </r>
  <r>
    <n v="3908"/>
    <s v="Polyamides, in primary forms "/>
    <n v="6.65"/>
    <n v="8.69"/>
    <n v="9.8699999999999992"/>
    <n v="8.4600000000000009"/>
    <n v="4.8099999999999996"/>
    <n v="6.13"/>
    <n v="5.26"/>
    <n v="7.61"/>
    <n v="5.92"/>
    <n v="3.33"/>
    <x v="1"/>
  </r>
  <r>
    <n v="3914"/>
    <s v="Ion-exchangers based on polymers of heading 3901 to 3913, in primary forms "/>
    <n v="0.86"/>
    <n v="1.04"/>
    <n v="1.53"/>
    <n v="1.81"/>
    <n v="1.86"/>
    <n v="2.56"/>
    <n v="2.42"/>
    <n v="2.0499999999999998"/>
    <n v="1.94"/>
    <n v="1.86"/>
    <x v="1"/>
  </r>
  <r>
    <n v="3903"/>
    <s v="Polymers of styrene, in primary forms "/>
    <n v="0.31"/>
    <n v="0.19"/>
    <n v="0.11"/>
    <n v="0.15"/>
    <n v="0.24"/>
    <n v="7.0000000000000007E-2"/>
    <n v="0.05"/>
    <n v="0.98"/>
    <n v="2.2200000000000002"/>
    <n v="1.78"/>
    <x v="1"/>
  </r>
  <r>
    <n v="3921"/>
    <s v="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 "/>
    <n v="0.03"/>
    <n v="0.01"/>
    <n v="0.03"/>
    <n v="0.03"/>
    <n v="0.09"/>
    <n v="0.11"/>
    <n v="0.53"/>
    <n v="0.36"/>
    <n v="0.25"/>
    <n v="0.74"/>
    <x v="1"/>
  </r>
  <r>
    <n v="3913"/>
    <s v="Natural polymers, e.g. alginic acid, and modified natural polymers, e.g. hardened proteins, chemical derivatives of natural rubber, n.e.s., in primary forms "/>
    <n v="0.11"/>
    <n v="0.18"/>
    <n v="0.23"/>
    <n v="0.17"/>
    <n v="0.15"/>
    <n v="0.22"/>
    <n v="0.28999999999999998"/>
    <n v="0.34"/>
    <n v="0.56999999999999995"/>
    <n v="0.73"/>
    <x v="1"/>
  </r>
  <r>
    <n v="3910"/>
    <s v="Silicones in primary forms "/>
    <n v="1.21"/>
    <n v="0.94"/>
    <n v="0.81"/>
    <n v="0.8"/>
    <n v="0.85"/>
    <n v="1.2"/>
    <n v="1.42"/>
    <n v="0.22"/>
    <n v="0.51"/>
    <n v="0.64"/>
    <x v="1"/>
  </r>
  <r>
    <n v="3924"/>
    <s v="Tableware, kitchenware, other household articles and toilet articles, of plastics (excl. baths, shower-baths, washbasins, bidets, lavatory pans, seats and covers, flushing cisterns and similar sanitary ware) "/>
    <n v="1.2"/>
    <n v="1.25"/>
    <n v="1.4"/>
    <n v="1.03"/>
    <n v="0.96"/>
    <n v="1.28"/>
    <n v="1.07"/>
    <n v="0.98"/>
    <n v="0.7"/>
    <n v="0.53"/>
    <x v="1"/>
  </r>
  <r>
    <n v="3912"/>
    <s v="Cellulose and its chemical derivatives, n.e.s., in primary forms "/>
    <n v="0.21"/>
    <n v="0.31"/>
    <n v="0.24"/>
    <n v="0.25"/>
    <n v="0.19"/>
    <n v="0.54"/>
    <n v="0.46"/>
    <n v="0.41"/>
    <n v="0.48"/>
    <n v="0.5"/>
    <x v="1"/>
  </r>
  <r>
    <n v="3902"/>
    <s v="Polymers of propylene or of other olefins, in primary forms "/>
    <n v="0.43"/>
    <n v="0.86"/>
    <n v="3.02"/>
    <n v="0.35"/>
    <n v="0.24"/>
    <n v="0.18"/>
    <n v="0.28999999999999998"/>
    <n v="0.18"/>
    <n v="0.09"/>
    <n v="0.41"/>
    <x v="1"/>
  </r>
  <r>
    <n v="3909"/>
    <s v="Amino-resins, phenolic resins and polyurethanes, in primary forms "/>
    <n v="7.0000000000000007E-2"/>
    <n v="0.44"/>
    <n v="0.47"/>
    <n v="0.81"/>
    <n v="0.49"/>
    <n v="0.76"/>
    <n v="0.76"/>
    <n v="0.48"/>
    <n v="0.36"/>
    <n v="0.34"/>
    <x v="1"/>
  </r>
  <r>
    <n v="3905"/>
    <s v="Polymers of vinyl acetate or of other vinyl esters, in primary forms; other vinyl polymers, in primary forms "/>
    <n v="0.12"/>
    <n v="0.14000000000000001"/>
    <n v="0.17"/>
    <n v="0.13"/>
    <n v="0.08"/>
    <n v="0.18"/>
    <n v="0.22"/>
    <n v="0.17"/>
    <n v="0.28000000000000003"/>
    <n v="0.28999999999999998"/>
    <x v="1"/>
  </r>
  <r>
    <n v="3919"/>
    <s v="Self-adhesive plates, sheets, film, foil, tape, strip and other flat shapes, of plastics, whether or not in rolls (excl. floor, wall and ceiling coverings of heading 3918) "/>
    <n v="2.06"/>
    <n v="1.47"/>
    <n v="2.04"/>
    <n v="2.19"/>
    <n v="1.44"/>
    <n v="1.94"/>
    <n v="1.49"/>
    <n v="0.64"/>
    <n v="0.92"/>
    <n v="0.27"/>
    <x v="1"/>
  </r>
  <r>
    <n v="3906"/>
    <s v="Acrylic polymers, in primary forms "/>
    <n v="0"/>
    <n v="0.01"/>
    <n v="0.1"/>
    <n v="0.01"/>
    <n v="0.01"/>
    <n v="0.05"/>
    <n v="0.42"/>
    <n v="0.15"/>
    <n v="7.0000000000000007E-2"/>
    <n v="0.24"/>
    <x v="1"/>
  </r>
  <r>
    <n v="3916"/>
    <s v="Monofilament of which any cross-sectional dimension &gt; 1 mm, rods, sticks and profile shapes, of plastics, whether or not surface-worked but not further worked "/>
    <n v="0.32"/>
    <n v="0.02"/>
    <n v="0.02"/>
    <n v="0.01"/>
    <n v="0.01"/>
    <n v="0.01"/>
    <n v="0.01"/>
    <n v="0.83"/>
    <n v="0.52"/>
    <n v="0.13"/>
    <x v="1"/>
  </r>
  <r>
    <n v="3901"/>
    <s v="Polymers of ethylene, in primary forms "/>
    <n v="0.02"/>
    <n v="0.22"/>
    <n v="0.2"/>
    <n v="0.53"/>
    <n v="0.03"/>
    <n v="0"/>
    <n v="0.18"/>
    <n v="0.22"/>
    <n v="0"/>
    <n v="0.08"/>
    <x v="1"/>
  </r>
  <r>
    <n v="3918"/>
    <s v="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 "/>
    <n v="0.1"/>
    <n v="0.14000000000000001"/>
    <n v="0.04"/>
    <n v="0.21"/>
    <n v="0.05"/>
    <n v="0"/>
    <s v="≈ 0"/>
    <n v="0"/>
    <n v="0"/>
    <n v="0.01"/>
    <x v="1"/>
  </r>
  <r>
    <n v="3922"/>
    <s v="Baths, shower-baths, sinks, washbasins, bidets, lavatory pans, seats and covers, flushing cisterns and similar sanitary ware, of plastics "/>
    <s v="≈ 0"/>
    <s v="≈ 0"/>
    <n v="0"/>
    <n v="0"/>
    <s v="≈ 0"/>
    <s v="≈ 0"/>
    <s v="≈ 0"/>
    <s v="≈ 0"/>
    <n v="0"/>
    <n v="0"/>
    <x v="1"/>
  </r>
  <r>
    <n v="3925"/>
    <s v="Builders' ware of plastics, n.e.s. "/>
    <n v="0.01"/>
    <n v="0.18"/>
    <n v="0.19"/>
    <n v="0.09"/>
    <s v="≈ 0"/>
    <s v="≈ 0"/>
    <n v="0"/>
    <n v="0.03"/>
    <n v="0"/>
    <n v="0"/>
    <x v="1"/>
  </r>
  <r>
    <n v="3915"/>
    <s v="Waste, parings and scrap, of plastics "/>
    <s v="≈ 0"/>
    <n v="0.01"/>
    <n v="0"/>
    <s v="≈ 0"/>
    <n v="0"/>
    <n v="0.03"/>
    <n v="0"/>
    <n v="0"/>
    <n v="0"/>
    <n v="0"/>
    <x v="2"/>
  </r>
  <r>
    <n v="6802"/>
    <s v="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 "/>
    <n v="7.53"/>
    <n v="5.25"/>
    <n v="4.6100000000000003"/>
    <n v="4.17"/>
    <n v="2.99"/>
    <n v="3.43"/>
    <n v="3.68"/>
    <n v="3.65"/>
    <n v="3.26"/>
    <n v="2.93"/>
    <x v="2"/>
  </r>
  <r>
    <n v="6814"/>
    <s v="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 "/>
    <n v="1.58"/>
    <n v="1.32"/>
    <n v="1.24"/>
    <n v="1.38"/>
    <n v="1.37"/>
    <n v="1.66"/>
    <n v="1.54"/>
    <n v="1.3"/>
    <n v="1.33"/>
    <n v="1.36"/>
    <x v="2"/>
  </r>
  <r>
    <n v="6806"/>
    <s v="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 "/>
    <n v="0.02"/>
    <n v="0.04"/>
    <n v="0.12"/>
    <n v="1.22"/>
    <n v="0.75"/>
    <n v="1.1399999999999999"/>
    <n v="1.39"/>
    <n v="1.64"/>
    <n v="1.7"/>
    <n v="1.31"/>
    <x v="2"/>
  </r>
  <r>
    <n v="6815"/>
    <s v="Articles of stone or of other mineral substances, incl. carbon fibres, articles of carbon fibres and articles of peat, n.e.s. "/>
    <n v="0.78"/>
    <n v="0.7"/>
    <n v="0.88"/>
    <n v="0.76"/>
    <n v="3.32"/>
    <n v="2.78"/>
    <n v="7.97"/>
    <n v="1.53"/>
    <n v="1.32"/>
    <n v="0.82"/>
    <x v="2"/>
  </r>
  <r>
    <n v="6813"/>
    <s v="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 "/>
    <n v="0.28999999999999998"/>
    <n v="0.25"/>
    <n v="0.22"/>
    <n v="0.25"/>
    <n v="0.31"/>
    <n v="0.96"/>
    <n v="1"/>
    <n v="0.76"/>
    <n v="0.61"/>
    <n v="0.73"/>
    <x v="2"/>
  </r>
  <r>
    <n v="6804"/>
    <s v="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 "/>
    <n v="0.45"/>
    <n v="0.43"/>
    <n v="0.48"/>
    <n v="0.53"/>
    <n v="0.37"/>
    <n v="0.47"/>
    <n v="0.43"/>
    <n v="0.49"/>
    <n v="0.37"/>
    <n v="0.39"/>
    <x v="2"/>
  </r>
  <r>
    <n v="6803"/>
    <s v="Worked slate and articles of slate or of agglomerated slate (excluding slate granules, chippings and powder, mosaic cubes and the like, slate pencils, and ready-to-use slates or boards with writing or drawing surfaces) "/>
    <n v="0.1"/>
    <n v="0.14000000000000001"/>
    <n v="0.31"/>
    <n v="0.6"/>
    <n v="0.43"/>
    <n v="0.43"/>
    <n v="0.35"/>
    <n v="0.42"/>
    <n v="0.32"/>
    <n v="0.28999999999999998"/>
    <x v="2"/>
  </r>
  <r>
    <n v="6801"/>
    <s v="Setts, curbstones and flagstones, of natural stone (excluding slate) "/>
    <n v="0.01"/>
    <n v="0.01"/>
    <n v="0.13"/>
    <n v="0.09"/>
    <n v="0.12"/>
    <n v="0.24"/>
    <n v="0.22"/>
    <n v="0.22"/>
    <n v="0.24"/>
    <n v="0.19"/>
    <x v="2"/>
  </r>
  <r>
    <n v="6805"/>
    <s v="Natural or artificial abrasive powder or grain, on a base of textile material, paper, paperboard or other materials, whether or not cut to shape or sewn or otherwise made up "/>
    <s v="≈ 0"/>
    <s v="≈ 0"/>
    <n v="0.11"/>
    <n v="0.04"/>
    <n v="0.01"/>
    <n v="0"/>
    <n v="0"/>
    <s v="≈ 0"/>
    <n v="0.01"/>
    <n v="0.01"/>
    <x v="2"/>
  </r>
  <r>
    <n v="6808"/>
    <s v="Panels, boards, tiles, blocks and similar articles of vegetable fibre, of straw or of shavings, chips, particles, sawdust or other waste of wood, agglomerated with cement, plaster or other mineral binders (excluding articles of asbestos-cement, cellulose fibre-cement or the like) "/>
    <n v="0"/>
    <n v="0"/>
    <n v="0"/>
    <n v="0.06"/>
    <n v="0.03"/>
    <n v="0.06"/>
    <n v="0.05"/>
    <n v="0"/>
    <n v="0"/>
    <n v="0"/>
    <x v="2"/>
  </r>
  <r>
    <n v="6809"/>
    <s v="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 "/>
    <n v="0"/>
    <n v="0"/>
    <n v="0"/>
    <n v="0"/>
    <n v="0"/>
    <n v="0"/>
    <n v="0"/>
    <n v="0"/>
    <n v="0"/>
    <n v="0"/>
    <x v="2"/>
  </r>
  <r>
    <n v="6807"/>
    <s v="Articles of asphalt or of similar materials, e.g. petroleum bitumen or coal tar pitch "/>
    <n v="0"/>
    <n v="0"/>
    <n v="0"/>
    <n v="0"/>
    <n v="0"/>
    <n v="0"/>
    <n v="0"/>
    <s v="≈ 0"/>
    <n v="0"/>
    <n v="0"/>
    <x v="2"/>
  </r>
  <r>
    <n v="6810"/>
    <s v="Articles of cement, concrete or artificial stone, whether or not reinforced "/>
    <n v="0.01"/>
    <s v="≈ 0"/>
    <n v="0"/>
    <n v="0.01"/>
    <n v="0.02"/>
    <n v="0.04"/>
    <n v="0.04"/>
    <n v="0.01"/>
    <n v="0.02"/>
    <n v="0"/>
    <x v="2"/>
  </r>
  <r>
    <n v="6811"/>
    <s v="Articles of asbestos-cement, cellulose fibre-cement or the like "/>
    <n v="0"/>
    <s v="≈ 0"/>
    <n v="0"/>
    <n v="0"/>
    <s v="≈ 0"/>
    <n v="0"/>
    <n v="0"/>
    <n v="0"/>
    <n v="0"/>
    <n v="0"/>
    <x v="3"/>
  </r>
  <r>
    <n v="6812"/>
    <s v="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 "/>
    <n v="0"/>
    <s v="≈ 0"/>
    <s v="≈ 0"/>
    <s v="≈ 0"/>
    <n v="0"/>
    <s v="≈ 0"/>
    <s v="≈ 0"/>
    <n v="0"/>
    <n v="0"/>
    <n v="0"/>
    <x v="3"/>
  </r>
  <r>
    <n v="6910"/>
    <s v="Ceramic sinks, washbasins, washbasin pedestals, baths, bidets, water closet pans, flushing cisterns, urinals and similar sanitary fixtures (excl. soap dishes, sponge holders, tooth-brush holders, towel hooks and toilet paper holders) "/>
    <n v="0.02"/>
    <n v="5.39"/>
    <n v="8.18"/>
    <n v="13.63"/>
    <n v="6.42"/>
    <n v="6.17"/>
    <n v="9.0500000000000007"/>
    <n v="8.19"/>
    <n v="4.01"/>
    <n v="9.58"/>
    <x v="3"/>
  </r>
  <r>
    <n v="6902"/>
    <s v="Refractory bricks, blocks, tiles and similar refractory ceramic constructional goods (excl. those of siliceous fossil meals or similar siliceous earths) "/>
    <n v="0.32"/>
    <n v="1.06"/>
    <n v="4.0999999999999996"/>
    <n v="4.42"/>
    <n v="2.31"/>
    <n v="5.47"/>
    <n v="2.63"/>
    <n v="3.51"/>
    <n v="4.82"/>
    <n v="4.03"/>
    <x v="3"/>
  </r>
  <r>
    <n v="6907"/>
    <s v="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 "/>
    <n v="0"/>
    <n v="0"/>
    <n v="0.01"/>
    <n v="0.02"/>
    <n v="0.1"/>
    <n v="0.19"/>
    <n v="0.16"/>
    <n v="0.26"/>
    <n v="0.31"/>
    <n v="0.47"/>
    <x v="3"/>
  </r>
  <r>
    <n v="6903"/>
    <s v="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 "/>
    <n v="0.16"/>
    <n v="0.16"/>
    <n v="0.16"/>
    <n v="0.22"/>
    <n v="0.16"/>
    <n v="0.62"/>
    <n v="0.69"/>
    <n v="0.97"/>
    <n v="0.26"/>
    <n v="0.4"/>
    <x v="3"/>
  </r>
  <r>
    <n v="6912"/>
    <s v="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 "/>
    <n v="0.02"/>
    <n v="0.02"/>
    <n v="0.08"/>
    <n v="0.09"/>
    <n v="0.1"/>
    <n v="0.1"/>
    <n v="0.08"/>
    <n v="0.15"/>
    <n v="0.11"/>
    <n v="7.0000000000000007E-2"/>
    <x v="3"/>
  </r>
  <r>
    <n v="6909"/>
    <s v="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 "/>
    <n v="0.14000000000000001"/>
    <n v="0.06"/>
    <n v="0"/>
    <n v="0.02"/>
    <n v="0.01"/>
    <n v="0.01"/>
    <n v="0.05"/>
    <n v="0.04"/>
    <n v="0.04"/>
    <n v="0.04"/>
    <x v="3"/>
  </r>
  <r>
    <n v="6913"/>
    <s v="Statuettes and other ornamental ceramic articles, n.e.s. "/>
    <n v="0.01"/>
    <n v="0.02"/>
    <n v="0.03"/>
    <n v="0.01"/>
    <n v="0.01"/>
    <n v="0.03"/>
    <n v="0.04"/>
    <n v="0.03"/>
    <n v="0.04"/>
    <n v="0.03"/>
    <x v="3"/>
  </r>
  <r>
    <n v="6914"/>
    <s v="Ceramic articles, n.e.s. "/>
    <n v="0.1"/>
    <n v="0.11"/>
    <n v="0.11"/>
    <n v="0.84"/>
    <n v="0.09"/>
    <n v="0.09"/>
    <n v="0.05"/>
    <n v="0.04"/>
    <n v="0.03"/>
    <n v="0.02"/>
    <x v="3"/>
  </r>
  <r>
    <n v="6911"/>
    <s v="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 "/>
    <n v="0"/>
    <n v="0"/>
    <n v="0.04"/>
    <n v="0"/>
    <n v="0"/>
    <n v="0"/>
    <n v="0"/>
    <n v="0"/>
    <n v="0.01"/>
    <n v="0.01"/>
    <x v="3"/>
  </r>
  <r>
    <n v="6901"/>
    <s v="Bricks, blocks, tiles and other ceramic goods of siliceous fossil meals, e.g. kieselguhr, tripolite or diatomite, or of similar siliceous earths "/>
    <n v="0.01"/>
    <n v="0.01"/>
    <n v="0"/>
    <n v="0.01"/>
    <n v="0.01"/>
    <n v="0.02"/>
    <n v="0.02"/>
    <n v="0"/>
    <n v="0"/>
    <n v="0"/>
    <x v="3"/>
  </r>
  <r>
    <n v="6904"/>
    <s v="Ceramic building bricks, flooring blocks, support or filler tiles and the like (excl. those of siliceous fossil meals or similar siliceous earths, refractory bricks of heading 6902, and flags and pavings, hearth and wall tiles of heading 6907 and 6908) "/>
    <n v="0"/>
    <n v="0"/>
    <n v="0"/>
    <n v="0"/>
    <s v="≈ 0"/>
    <n v="0"/>
    <n v="0"/>
    <n v="0.03"/>
    <n v="0.02"/>
    <n v="0"/>
    <x v="3"/>
  </r>
  <r>
    <n v="6905"/>
    <s v="Roofing tiles, chimney pots, cowls, chimney liners, architectural ornaments and other ceramic constructional goods (excl. of siliceous fossil meals or similar siliceous earths, refractory ceramic constructional components, pipes and other components for drainage and similar purposes) "/>
    <n v="0"/>
    <n v="0"/>
    <n v="0"/>
    <n v="0"/>
    <n v="0"/>
    <n v="0"/>
    <n v="0"/>
    <n v="0"/>
    <n v="0"/>
    <n v="0"/>
    <x v="3"/>
  </r>
  <r>
    <n v="6906"/>
    <s v="Ceramic pipes, conduits, guttering and pipe fittings (excluding of siliceous fossil meals or similar siliceous earths, refractory ceramic goods, chimney liners, pipes specifically manufactured for laboratories, insulating tubing and fittings and other piping for electrotechnical purposes) "/>
    <n v="0"/>
    <n v="0"/>
    <n v="0"/>
    <s v="≈ 0"/>
    <n v="0"/>
    <n v="0"/>
    <n v="0"/>
    <n v="0"/>
    <n v="0"/>
    <n v="0"/>
    <x v="4"/>
  </r>
  <r>
    <n v="6908"/>
    <s v="Glazed ceramic flags and paving, hearth or wall tiles; glazed ceramic mosaic cubes and the like, whether or not on a backing (excluding of siliceous fossil meals or similar siliceous earths, refractory ceramic goods, tiles specially adapted as table mats, ornamental articles and tiles specifically manufactured for stoves) "/>
    <s v="≈ 0"/>
    <n v="0"/>
    <n v="0"/>
    <n v="0"/>
    <n v="0"/>
    <n v="0"/>
    <n v="0"/>
    <n v="0"/>
    <n v="0"/>
    <n v="0"/>
    <x v="4"/>
  </r>
  <r>
    <n v="7326"/>
    <s v="Articles of iron or steel, n.e.s. (excl. cast articles) "/>
    <n v="22.71"/>
    <n v="20.25"/>
    <n v="24.93"/>
    <n v="23.61"/>
    <n v="20.45"/>
    <n v="32.5"/>
    <n v="31.13"/>
    <n v="41.31"/>
    <n v="37.44"/>
    <n v="44.98"/>
    <x v="4"/>
  </r>
  <r>
    <n v="7308"/>
    <s v="Structures and parts of structures &quot;e.g., bridges and bridge-sections, lock-gates, towers, lattice masts, roofs, roofing frameworks, doors and windows and their frames and thresholds for doors, shutters, balustrades, pillars and columns&quot;, of iron or steel; plates, rods, angles, shapes, sections, tubes and the like, prepared for use in structures, of iron or steel (excl. prefabricated buildings of heading 9406) "/>
    <n v="3.75"/>
    <n v="4.82"/>
    <n v="5.31"/>
    <n v="4.7699999999999996"/>
    <n v="2.79"/>
    <n v="16.46"/>
    <n v="12.35"/>
    <n v="5.0599999999999996"/>
    <n v="6.26"/>
    <n v="7.32"/>
    <x v="4"/>
  </r>
  <r>
    <n v="7325"/>
    <s v="Articles of iron or steel, cast, n.e.s. "/>
    <n v="4.51"/>
    <n v="4.5599999999999996"/>
    <n v="3.92"/>
    <n v="3.24"/>
    <n v="4.22"/>
    <n v="6.28"/>
    <n v="5.07"/>
    <n v="5.04"/>
    <n v="5.7"/>
    <n v="5.13"/>
    <x v="4"/>
  </r>
  <r>
    <n v="7323"/>
    <s v="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
    <n v="3.85"/>
    <n v="3.79"/>
    <n v="3.59"/>
    <n v="3.12"/>
    <n v="3.5"/>
    <n v="3.46"/>
    <n v="3.12"/>
    <n v="2.33"/>
    <n v="2.62"/>
    <n v="2.3199999999999998"/>
    <x v="4"/>
  </r>
  <r>
    <n v="7310"/>
    <s v="Tanks, casks, drums, cans, boxes and similar containers, of iron or steel, for any material &quot;other than compressed or liquefied gas&quot;, of a capacity of &lt;= 300 l, not fitted with mechanical or thermal equipment, whether or not lined or heat-insulated, n.e.s. "/>
    <n v="2.69"/>
    <n v="3.63"/>
    <n v="2.33"/>
    <n v="2.08"/>
    <n v="2.31"/>
    <n v="1.99"/>
    <n v="2.44"/>
    <n v="6.51"/>
    <n v="2.37"/>
    <n v="2.14"/>
    <x v="4"/>
  </r>
  <r>
    <n v="7307"/>
    <s v="Tube or pipe fittings &quot;e.g. couplings, elbows, sleeves&quot;, of iron or steel "/>
    <n v="2.34"/>
    <n v="2.2799999999999998"/>
    <n v="2.48"/>
    <n v="1.28"/>
    <n v="0.82"/>
    <n v="1.85"/>
    <n v="1.38"/>
    <n v="1.55"/>
    <n v="1.1399999999999999"/>
    <n v="2.08"/>
    <x v="4"/>
  </r>
  <r>
    <n v="7320"/>
    <s v="Springs and leaves for springs, of iron or steel (excl. clock and watch springs, springs for sticks and handles of umbrellas or parasols, shock absorbers and torque rod or torsion bar springs of Section 17) "/>
    <n v="2.31"/>
    <n v="2.2999999999999998"/>
    <n v="2.64"/>
    <n v="2.6"/>
    <n v="1.63"/>
    <n v="2.67"/>
    <n v="2.4700000000000002"/>
    <n v="2.23"/>
    <n v="1.65"/>
    <n v="1.83"/>
    <x v="4"/>
  </r>
  <r>
    <n v="7318"/>
    <s v="Screws, bolts, nuts, coach screws, screw hooks, rivets, cotters, cotter pins, washers, incl. spring washers, and similar articles, of iron or steel (excl. lag screws, stoppers, plugs and the like, threaded) "/>
    <n v="0.71"/>
    <n v="1.4"/>
    <n v="2.4700000000000002"/>
    <n v="2.35"/>
    <n v="1.07"/>
    <n v="1.2"/>
    <n v="1.88"/>
    <n v="1.72"/>
    <n v="1.0900000000000001"/>
    <n v="1.22"/>
    <x v="4"/>
  </r>
  <r>
    <n v="7301"/>
    <s v="Sheet piling of iron or steel, whether or not drilled, punched or made from assembled elements; welded angles, shapes and sections, of iron or steel "/>
    <n v="0"/>
    <n v="0.02"/>
    <n v="0"/>
    <n v="0"/>
    <n v="0.18"/>
    <n v="0.05"/>
    <n v="0.18"/>
    <n v="0.06"/>
    <n v="0.15"/>
    <n v="0.69"/>
    <x v="4"/>
  </r>
  <r>
    <n v="7315"/>
    <s v="Chain and parts thereof, or iron or steel (excl. watch chains, necklace chains and the like, cutting and saw chain, skid chain, scraper chain for conveyors, toothed chain for textile machinery and the like, safety devices with chains for securing doors, measuring chains) "/>
    <n v="0.85"/>
    <n v="0.28000000000000003"/>
    <n v="0.38"/>
    <n v="0.32"/>
    <n v="0.39"/>
    <n v="0.68"/>
    <n v="0.75"/>
    <n v="0.64"/>
    <n v="0.71"/>
    <n v="0.56000000000000005"/>
    <x v="4"/>
  </r>
  <r>
    <n v="7304"/>
    <s v="Tubes, pipes and hollow profiles, seamless, of iron or steel (excl. products of cast iron) "/>
    <n v="0.32"/>
    <n v="1.51"/>
    <n v="1.1599999999999999"/>
    <n v="0.56000000000000005"/>
    <n v="4.63"/>
    <n v="1.29"/>
    <n v="0.08"/>
    <n v="0.41"/>
    <n v="0.11"/>
    <n v="0.39"/>
    <x v="4"/>
  </r>
  <r>
    <n v="7321"/>
    <s v="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
    <n v="0.2"/>
    <n v="0.21"/>
    <n v="0.1"/>
    <n v="0.14000000000000001"/>
    <n v="0.17"/>
    <n v="0.28999999999999998"/>
    <n v="0.18"/>
    <n v="0.13"/>
    <n v="0.23"/>
    <n v="0.35"/>
    <x v="4"/>
  </r>
  <r>
    <n v="7306"/>
    <s v="Tubes, pipes and hollow profiles &quot;e.g., open seam or welded, riveted or similarly closed&quot;, of iron or steel (excl. of cast iron, seamless tubes and pipes and tubes having internal and external circular cross-sections and an external diameter of &gt; 406,4 mm) "/>
    <n v="1"/>
    <n v="1.65"/>
    <n v="2.2999999999999998"/>
    <n v="1.41"/>
    <n v="1.1200000000000001"/>
    <n v="1.28"/>
    <n v="0.7"/>
    <n v="0.32"/>
    <n v="0.38"/>
    <n v="0.28999999999999998"/>
    <x v="4"/>
  </r>
  <r>
    <n v="7319"/>
    <s v="Sewing needles, knitting needles, bodkins, crochet hoods, embroidery stilettos and similar articles, for use in the hand, of iron or steel; safety pins and other pins of iron or steel, n.e.s. "/>
    <n v="0.04"/>
    <n v="0.06"/>
    <n v="0.05"/>
    <n v="0.09"/>
    <n v="0.14000000000000001"/>
    <n v="0.23"/>
    <n v="0.16"/>
    <n v="0.1"/>
    <n v="0.15"/>
    <n v="0.23"/>
    <x v="4"/>
  </r>
  <r>
    <n v="7309"/>
    <s v="Reservoirs, tanks, vats and similar containers, of iron or steel, for any material &quot;other than compressed or liquefied gas&quot;, of a capacity of &gt; 300 l, not fitted with mechanical or thermal equipment, whether or not lined or heat-insulated (excluding containers specifically constructed or equipped for one or more types of transport) "/>
    <n v="0.28999999999999998"/>
    <n v="0.08"/>
    <n v="0.01"/>
    <n v="0.08"/>
    <n v="0.01"/>
    <n v="0.03"/>
    <n v="0"/>
    <n v="0.01"/>
    <n v="0"/>
    <n v="0.22"/>
    <x v="4"/>
  </r>
  <r>
    <n v="7302"/>
    <s v="Railway or tramway track construction material of iron or steel, the following : rails, check-rails and rack rails, switch blades, crossing frogs, point rods and other crossing pieces, sleepers &quot;cross-ties&quot;, fish-plates, chairs, chair wedges, sole plates &quot;base plates&quot;, rail clips, bedplates, ties and other material specialised for jointing or fixing rails "/>
    <n v="0"/>
    <n v="0"/>
    <s v="≈ 0"/>
    <s v="≈ 0"/>
    <s v="≈ 0"/>
    <n v="0"/>
    <s v="≈ 0"/>
    <s v="≈ 0"/>
    <n v="0.11"/>
    <n v="0.12"/>
    <x v="4"/>
  </r>
  <r>
    <n v="7312"/>
    <s v="Stranded wire, ropes, cables, plaited bands, slings and the like, of iron or steel (excl. electrically insulated products and twisted fencing wire and barbed wire) "/>
    <s v="≈ 0"/>
    <n v="0"/>
    <s v="≈ 0"/>
    <n v="0.01"/>
    <n v="0"/>
    <n v="0.01"/>
    <n v="0.01"/>
    <n v="0.02"/>
    <n v="0"/>
    <n v="0.03"/>
    <x v="4"/>
  </r>
  <r>
    <n v="7311"/>
    <s v="Containers of iron or steel, for compressed or liquefied gas (excluding containers specifically constructed or equipped for one or more types of transport) "/>
    <n v="0.67"/>
    <n v="1.33"/>
    <n v="0.18"/>
    <n v="0.04"/>
    <n v="0.04"/>
    <n v="0.03"/>
    <n v="1.05"/>
    <n v="4.09"/>
    <n v="0"/>
    <n v="0.01"/>
    <x v="4"/>
  </r>
  <r>
    <n v="7317"/>
    <s v="Nails, tacks, drawing pins, corrugated nails, staples and similar articles of iron or steel, whether or not with heads of other material (excluding such articles with heads of copper and staples in strips) "/>
    <n v="0.01"/>
    <n v="0.02"/>
    <n v="0"/>
    <n v="0"/>
    <n v="0"/>
    <n v="0"/>
    <n v="0"/>
    <n v="0"/>
    <n v="0"/>
    <n v="0.01"/>
    <x v="4"/>
  </r>
  <r>
    <n v="7324"/>
    <s v="Sanitary ware, and parts thereof, of iron or steel (excl. cans, boxes and similar containers of heading 7310, small wall cabinets for medical supplies or toiletries and other furniture of chapter 94, and fittings) "/>
    <n v="0"/>
    <s v="≈ 0"/>
    <n v="0"/>
    <s v="≈ 0"/>
    <n v="0"/>
    <n v="0"/>
    <s v="≈ 0"/>
    <n v="0"/>
    <n v="0"/>
    <n v="0.01"/>
    <x v="4"/>
  </r>
  <r>
    <n v="7316"/>
    <s v="Anchors, grapnels and parts thereof, of iron or steel "/>
    <n v="0.11"/>
    <n v="0.11"/>
    <n v="0.09"/>
    <n v="0.09"/>
    <n v="0"/>
    <s v="≈ 0"/>
    <n v="0.11"/>
    <n v="0.03"/>
    <n v="0.04"/>
    <n v="0"/>
    <x v="4"/>
  </r>
  <r>
    <n v="7303"/>
    <s v="Tubes, pipes and hollow profiles, of cast iron "/>
    <n v="0"/>
    <n v="0"/>
    <n v="0"/>
    <n v="0"/>
    <n v="0"/>
    <n v="0"/>
    <n v="0"/>
    <n v="0"/>
    <n v="0"/>
    <n v="0"/>
    <x v="4"/>
  </r>
  <r>
    <n v="7305"/>
    <s v="Tubes and pipes, having circular cross-sections and an external diameter of &gt; 406,4 mm, of flat-rolled products of iron or steel &quot;e.g., welded, riveted or similarly closed&quot; "/>
    <s v="≈ 0"/>
    <s v="≈ 0"/>
    <n v="0"/>
    <s v="≈ 0"/>
    <n v="0"/>
    <n v="0"/>
    <s v="≈ 0"/>
    <n v="0"/>
    <n v="0"/>
    <n v="0"/>
    <x v="4"/>
  </r>
  <r>
    <n v="7314"/>
    <s v="Cloth, incl. endless bands, grill, netting and fencing, of iron or steel wire, expanded metal of iron or steel (excl. woven products of metal fibres of a kind used for cladding, lining or similar purposes) "/>
    <s v="≈ 0"/>
    <n v="0.01"/>
    <n v="0.03"/>
    <s v="≈ 0"/>
    <s v="≈ 0"/>
    <s v="≈ 0"/>
    <n v="0.01"/>
    <s v="≈ 0"/>
    <n v="0"/>
    <n v="0"/>
    <x v="4"/>
  </r>
  <r>
    <n v="7322"/>
    <s v="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
    <n v="0"/>
    <n v="0"/>
    <n v="0"/>
    <s v="≈ 0"/>
    <n v="0"/>
    <n v="0"/>
    <n v="0.01"/>
    <n v="0"/>
    <n v="0"/>
    <n v="0"/>
    <x v="0"/>
  </r>
  <r>
    <n v="7404"/>
    <s v="Waste and scrap, of copper (excluding ingots or other similar unwrought shapes, of remelted copper waste and scrap, ashes and residues containing copper, and waste and scrap of primary cells, primary batteries and electric accumulators) "/>
    <n v="4.54"/>
    <n v="4.18"/>
    <n v="3.42"/>
    <n v="4.26"/>
    <n v="3.43"/>
    <n v="6.41"/>
    <n v="8.4600000000000009"/>
    <n v="7.11"/>
    <n v="7.84"/>
    <n v="14.03"/>
    <x v="0"/>
  </r>
  <r>
    <n v="7419"/>
    <s v="Other articles of copper, n.e.s. "/>
    <n v="0.84"/>
    <n v="0.84"/>
    <n v="0.91"/>
    <n v="0.98"/>
    <n v="0.87"/>
    <n v="1.17"/>
    <n v="1.26"/>
    <n v="0.97"/>
    <n v="0.75"/>
    <n v="0.78"/>
    <x v="0"/>
  </r>
  <r>
    <n v="7403"/>
    <s v="Copper, refined, and copper alloys, unwrought (excl. copper alloys of heading 7405) "/>
    <n v="0"/>
    <n v="0.02"/>
    <n v="0.03"/>
    <n v="0.02"/>
    <n v="0.12"/>
    <n v="0.33"/>
    <n v="0.69"/>
    <n v="1.2"/>
    <n v="1.07"/>
    <n v="0.63"/>
    <x v="0"/>
  </r>
  <r>
    <n v="7408"/>
    <s v="Copper wire (excl. surgical sutures, stranded wire, cables, plaited bands and the like and other articles of heading 7413, electrically insulated wires and strings for musical instruments) "/>
    <n v="0.17"/>
    <n v="0.25"/>
    <n v="0.26"/>
    <n v="0.1"/>
    <n v="0.09"/>
    <n v="0.21"/>
    <n v="0.54"/>
    <n v="0.15"/>
    <n v="0.24"/>
    <n v="0.24"/>
    <x v="0"/>
  </r>
  <r>
    <n v="7406"/>
    <s v="Powders and flakes, of copper (excl. grains of copper and spangles of heading 8308) "/>
    <n v="0.04"/>
    <n v="0.05"/>
    <n v="0.03"/>
    <n v="0.03"/>
    <n v="0.01"/>
    <n v="0.01"/>
    <n v="0.01"/>
    <n v="0"/>
    <n v="0.02"/>
    <n v="0.23"/>
    <x v="0"/>
  </r>
  <r>
    <n v="7412"/>
    <s v="Copper tube or pipe fittings &quot;e.g., couplings, elbows, sleeves&quot; "/>
    <s v="≈ 0"/>
    <n v="0"/>
    <n v="0"/>
    <s v="≈ 0"/>
    <n v="0.01"/>
    <n v="0.01"/>
    <s v="≈ 0"/>
    <n v="0.03"/>
    <n v="0.06"/>
    <n v="7.0000000000000007E-2"/>
    <x v="0"/>
  </r>
  <r>
    <n v="7402"/>
    <s v="Copper, unrefined; copper anodes for electrolytic refining "/>
    <n v="0"/>
    <n v="0"/>
    <n v="0"/>
    <n v="0"/>
    <n v="0"/>
    <s v="≈ 0"/>
    <n v="0"/>
    <n v="0"/>
    <n v="0.01"/>
    <n v="7.0000000000000007E-2"/>
    <x v="0"/>
  </r>
  <r>
    <n v="7418"/>
    <s v="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 "/>
    <n v="0.02"/>
    <n v="0.01"/>
    <n v="0.03"/>
    <n v="0.03"/>
    <n v="0.05"/>
    <n v="7.0000000000000007E-2"/>
    <n v="0.03"/>
    <n v="0.04"/>
    <n v="0.05"/>
    <n v="0.06"/>
    <x v="0"/>
  </r>
  <r>
    <n v="7407"/>
    <s v="Bars, rods and profiles, of copper, n.e.s. "/>
    <n v="0"/>
    <s v="≈ 0"/>
    <s v="≈ 0"/>
    <s v="≈ 0"/>
    <n v="0.01"/>
    <s v="≈ 0"/>
    <n v="0"/>
    <n v="0"/>
    <n v="0.04"/>
    <n v="0.06"/>
    <x v="0"/>
  </r>
  <r>
    <n v="7409"/>
    <s v="Plates, sheets and strip, of copper, of a thickness of &gt; 0,15 mm (excl. expanded sheet and strip copper and electrically insulated strip) "/>
    <n v="0.11"/>
    <n v="0.16"/>
    <n v="0.3"/>
    <n v="0.04"/>
    <n v="0.02"/>
    <n v="0.01"/>
    <n v="7.0000000000000007E-2"/>
    <n v="0.1"/>
    <n v="0.01"/>
    <n v="0.01"/>
    <x v="0"/>
  </r>
  <r>
    <n v="7411"/>
    <s v="Copper tubes and pipes "/>
    <n v="0"/>
    <n v="0"/>
    <n v="0"/>
    <n v="0.01"/>
    <n v="0"/>
    <s v="≈ 0"/>
    <n v="0.01"/>
    <n v="0"/>
    <n v="0.02"/>
    <n v="0.01"/>
    <x v="0"/>
  </r>
  <r>
    <n v="7415"/>
    <s v="Nails, tacks, drawing pins, staples and similar articles, of copper or with shafts of iron or steel and heads of copper, screws, bolts, nuts, screw hooks, rivets, cotters, cotter pins, washers &quot;incl. spring washers&quot; and similar articles, of copper (excl. staples in strips, and lag screws, plugs, bungs and the like, threaded) "/>
    <n v="0.02"/>
    <n v="0.01"/>
    <n v="0.01"/>
    <n v="0"/>
    <n v="0"/>
    <n v="0"/>
    <n v="0.01"/>
    <n v="0"/>
    <n v="0.06"/>
    <n v="0.01"/>
    <x v="0"/>
  </r>
  <r>
    <n v="7410"/>
    <s v="Copper foil &quot;whether or not printed or backed with paper, paperboard, plastics or similar backing materials&quot;, of a thickness &quot;excl. any backing&quot; of &lt;= 0,15 mm (excl. stamping foils of heading 3212, metal yarns and metallised yarns and foil made up as christmas tree decorating material) "/>
    <n v="0"/>
    <n v="0"/>
    <n v="0"/>
    <s v="≈ 0"/>
    <n v="0"/>
    <n v="0.01"/>
    <s v="≈ 0"/>
    <n v="0"/>
    <n v="0"/>
    <n v="0"/>
    <x v="0"/>
  </r>
  <r>
    <n v="7413"/>
    <s v="Stranded wire, cables, plaited bands and the like, of copper (excluding electrically insulated products) "/>
    <s v="≈ 0"/>
    <n v="0"/>
    <n v="0"/>
    <n v="0"/>
    <n v="0"/>
    <s v="≈ 0"/>
    <s v="≈ 0"/>
    <n v="0"/>
    <n v="0.06"/>
    <n v="0"/>
    <x v="0"/>
  </r>
  <r>
    <n v="7405"/>
    <s v="Master alloys of copper (excluding phosphorus-copper compounds &quot;copper phosphide&quot; containing by weight &gt; 15% phosphorus) "/>
    <s v="≈ 0"/>
    <n v="0"/>
    <n v="0"/>
    <n v="0"/>
    <n v="0"/>
    <n v="0"/>
    <n v="0"/>
    <n v="0"/>
    <n v="0"/>
    <n v="0"/>
    <x v="0"/>
  </r>
  <r>
    <n v="7601"/>
    <s v="Unwrought aluminium "/>
    <n v="51.52"/>
    <n v="114.14"/>
    <n v="168.12"/>
    <n v="147.86000000000001"/>
    <n v="99.18"/>
    <n v="270.66000000000003"/>
    <n v="292.92"/>
    <n v="398.71"/>
    <n v="331.88"/>
    <n v="327.37"/>
    <x v="4"/>
  </r>
  <r>
    <n v="7616"/>
    <s v="Articles of aluminium, n.e.s. "/>
    <n v="0.85"/>
    <n v="1"/>
    <n v="0.85"/>
    <n v="0.84"/>
    <n v="0.69"/>
    <n v="1.73"/>
    <n v="3.03"/>
    <n v="3.06"/>
    <n v="3.07"/>
    <n v="3"/>
    <x v="4"/>
  </r>
  <r>
    <n v="7607"/>
    <s v="Aluminium foil, &quot;whether or not printed or backed with paper, paperboard, plastics or similar backing materials&quot;, of a thickness &quot;excl. any backing&quot; of &lt;= 0,2 mm (excl. stamping foils of heading 3212, christmas tree decorating material) "/>
    <n v="0.76"/>
    <n v="1.1000000000000001"/>
    <n v="1.73"/>
    <n v="1.64"/>
    <n v="1.0900000000000001"/>
    <n v="1.61"/>
    <n v="2.81"/>
    <n v="2.56"/>
    <n v="2.63"/>
    <n v="2.29"/>
    <x v="4"/>
  </r>
  <r>
    <n v="7602"/>
    <s v="Waste and scrap, of aluminium (excluding slags, scale and the like from iron and steel production, containing recoverable aluminium in the form of silicates, ingots or other similar unwrought shapes, of remelted waste and scrap, of aluminium, ashes and residues from aluminium production) "/>
    <n v="0.01"/>
    <n v="0"/>
    <n v="0"/>
    <n v="0"/>
    <s v="≈ 0"/>
    <n v="0.02"/>
    <n v="0"/>
    <n v="0.19"/>
    <n v="3.08"/>
    <n v="2.04"/>
    <x v="4"/>
  </r>
  <r>
    <n v="7606"/>
    <s v="Plates, sheets and strip, of aluminium, of a thickness of &gt; 0,2 mm (excl. expanded plates, sheets and strip) "/>
    <n v="0.04"/>
    <n v="0.11"/>
    <n v="0.01"/>
    <n v="0"/>
    <n v="0.02"/>
    <n v="0.14000000000000001"/>
    <n v="0.49"/>
    <n v="0.19"/>
    <n v="0.37"/>
    <n v="1.64"/>
    <x v="4"/>
  </r>
  <r>
    <n v="7603"/>
    <s v="Powder and flakes, of aluminium (excl. pellets of aluminium, and spangles) "/>
    <n v="0.5"/>
    <n v="0.2"/>
    <n v="0.31"/>
    <n v="0.26"/>
    <n v="0.18"/>
    <n v="0.32"/>
    <n v="0.34"/>
    <n v="0.34"/>
    <n v="0.42"/>
    <n v="0.44"/>
    <x v="4"/>
  </r>
  <r>
    <n v="7615"/>
    <s v="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
    <n v="0.02"/>
    <n v="0.25"/>
    <n v="0.04"/>
    <n v="0.03"/>
    <n v="0.08"/>
    <n v="0.09"/>
    <n v="7.0000000000000007E-2"/>
    <n v="0.06"/>
    <n v="0.09"/>
    <n v="0.17"/>
    <x v="4"/>
  </r>
  <r>
    <n v="7612"/>
    <s v="Casks, drums, cans, boxes and similar containers, incl. rigid or collapsible tubular containers, of aluminium, for any material (other than compressed or liquefied gas), of a capacity of &lt;= 300 l, not fitted with mechanical or thermal equipment, whether or not lined or heat-insulated, n.e.s. "/>
    <s v="≈ 0"/>
    <s v="≈ 0"/>
    <n v="0"/>
    <n v="0.01"/>
    <n v="0.01"/>
    <n v="0.02"/>
    <n v="0.01"/>
    <n v="0.06"/>
    <n v="0.06"/>
    <n v="0.11"/>
    <x v="4"/>
  </r>
  <r>
    <n v="7604"/>
    <s v="Bars, rods and profiles, of aluminium, n.e.s. "/>
    <n v="0.01"/>
    <n v="0.02"/>
    <n v="0.01"/>
    <n v="0.01"/>
    <n v="0.01"/>
    <n v="0.01"/>
    <n v="0.01"/>
    <n v="0.03"/>
    <n v="0.01"/>
    <n v="0.04"/>
    <x v="4"/>
  </r>
  <r>
    <n v="7605"/>
    <s v="Aluminium wire (excl. stranded wire, cables, plaited bands and the like and other articles of heading 7614, electrically insulated wires, and strings for musical instruments) "/>
    <n v="0"/>
    <n v="0"/>
    <s v="≈ 0"/>
    <n v="0"/>
    <s v="≈ 0"/>
    <n v="0"/>
    <n v="0"/>
    <n v="0"/>
    <n v="1.3"/>
    <n v="0.03"/>
    <x v="4"/>
  </r>
  <r>
    <n v="7610"/>
    <s v="Structures and parts of structures &quot;e.g., bridges and bridge-sections, towers, lattice masts, pillars and columns, roofs, roofing frameworks, doors and windows and their frames and thresholds for doors, shutters, balustrades&quot;, of aluminium (excl. prefabricated buildings of heading 9406); plates, rods, profiles, tubes and the like, prepared for use in structures, of aluminium "/>
    <n v="0.55000000000000004"/>
    <n v="0.23"/>
    <n v="0.05"/>
    <n v="0.04"/>
    <n v="0"/>
    <n v="0"/>
    <n v="0.14000000000000001"/>
    <n v="0.37"/>
    <n v="0.71"/>
    <n v="0.02"/>
    <x v="4"/>
  </r>
  <r>
    <n v="7608"/>
    <s v="Aluminium tubes and pipes (excl. hollow profiles) "/>
    <n v="0"/>
    <n v="0.01"/>
    <n v="0"/>
    <n v="0.04"/>
    <n v="0"/>
    <n v="0"/>
    <n v="0"/>
    <s v="≈ 0"/>
    <n v="0.01"/>
    <n v="0"/>
    <x v="4"/>
  </r>
  <r>
    <n v="7613"/>
    <s v="Aluminium containers for compressed or liquefied gas "/>
    <n v="0"/>
    <n v="0"/>
    <n v="0"/>
    <n v="0"/>
    <n v="0"/>
    <n v="0"/>
    <n v="0"/>
    <n v="0"/>
    <n v="0"/>
    <n v="0"/>
    <x v="4"/>
  </r>
  <r>
    <n v="7614"/>
    <s v="Stranded wire, cables, plaited bands and the like, of aluminium (excl. such products electrically insulated) "/>
    <n v="0"/>
    <n v="0"/>
    <n v="0"/>
    <s v="≈ 0"/>
    <n v="0"/>
    <n v="0"/>
    <s v="≈ 0"/>
    <n v="0"/>
    <n v="0"/>
    <n v="0"/>
    <x v="4"/>
  </r>
  <r>
    <n v="7609"/>
    <s v="Aluminium tube or pipe fittings &quot;e.g., couplings, elbows, sleeves&quot; "/>
    <n v="0.02"/>
    <n v="0"/>
    <n v="0"/>
    <n v="0"/>
    <n v="0"/>
    <n v="0"/>
    <n v="0"/>
    <s v="≈ 0"/>
    <n v="0"/>
    <n v="0"/>
    <x v="4"/>
  </r>
  <r>
    <n v="8301"/>
    <s v="Padlocks and locks &quot;key, combination or electrically operated&quot;, of base metal; clasps and frames with clasps, incorporating locks, of base metal; keys for any of the foregoing articles, of base metal "/>
    <n v="0.26"/>
    <n v="0.74"/>
    <n v="1.03"/>
    <n v="1.1000000000000001"/>
    <n v="0.59"/>
    <n v="3.76"/>
    <n v="3.02"/>
    <n v="3.62"/>
    <n v="4.42"/>
    <n v="4.2699999999999996"/>
    <x v="4"/>
  </r>
  <r>
    <n v="8302"/>
    <s v="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
    <n v="1.1000000000000001"/>
    <n v="0.97"/>
    <n v="0.68"/>
    <n v="1.18"/>
    <n v="1.61"/>
    <n v="0.56999999999999995"/>
    <n v="0.49"/>
    <n v="0.6"/>
    <n v="0.67"/>
    <n v="0.84"/>
    <x v="4"/>
  </r>
  <r>
    <n v="8306"/>
    <s v="Bells, gongs and the like, non-electric, of base metal (excl. musical instruments); statuettes and other ornaments, of base metal (excl. works of art, collectors' pieces and antiques); photograph, picture or similar frames, of base metal; mirrors of base metal (excl. optical elements) "/>
    <n v="0.08"/>
    <n v="0.05"/>
    <n v="0.16"/>
    <n v="0.15"/>
    <n v="0.16"/>
    <n v="0.24"/>
    <n v="0.23"/>
    <n v="0.36"/>
    <n v="0.28000000000000003"/>
    <n v="0.35"/>
    <x v="4"/>
  </r>
  <r>
    <n v="8307"/>
    <s v="Flexible tubing of base metal, with or without fittings "/>
    <n v="0.08"/>
    <n v="0.32"/>
    <n v="0.28000000000000003"/>
    <n v="0.4"/>
    <n v="0.28999999999999998"/>
    <n v="0.35"/>
    <n v="0.37"/>
    <n v="0.32"/>
    <n v="0.3"/>
    <n v="0.22"/>
    <x v="4"/>
  </r>
  <r>
    <n v="8311"/>
    <s v="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
    <n v="0.2"/>
    <n v="0.21"/>
    <n v="0.13"/>
    <n v="0.12"/>
    <n v="0.16"/>
    <n v="0.17"/>
    <n v="0.16"/>
    <n v="0.14000000000000001"/>
    <n v="0.19"/>
    <n v="0.19"/>
    <x v="4"/>
  </r>
  <r>
    <n v="8305"/>
    <s v="Fittings for loose-leaf binders or files, letter clips, letter corners, paper clips, indexing tags and similar office articles, of base metal (excl. drawing pins and clasps for books or registers); staples in strips, e.g. for use in offices, upholstery and packaging, of base metal "/>
    <n v="0.05"/>
    <n v="0"/>
    <n v="0"/>
    <n v="0.1"/>
    <n v="0.11"/>
    <n v="0.1"/>
    <n v="0.06"/>
    <n v="0.01"/>
    <n v="0.11"/>
    <n v="0.09"/>
    <x v="4"/>
  </r>
  <r>
    <n v="8309"/>
    <s v="Stoppers, caps and lids, incl. crown corks, screw caps and pouring stoppers, capsules for bottles, threaded bungs, bung covers, seals and other packing accessories, of base metal "/>
    <n v="0.01"/>
    <n v="0.03"/>
    <n v="0.04"/>
    <n v="0.02"/>
    <n v="0.02"/>
    <n v="0.04"/>
    <n v="0.05"/>
    <n v="0.06"/>
    <n v="0.09"/>
    <n v="0.05"/>
    <x v="4"/>
  </r>
  <r>
    <n v="8310"/>
    <s v="Sign-plates, nameplates, address-plates and similar plates, numbers, letters and other symbols, of base metal, incl. traffic signs (excluding those of heading 9405, type and the like, and signal boards, signal discs and signal arms for traffic of heading 8608) "/>
    <n v="0.02"/>
    <n v="0.02"/>
    <n v="0.01"/>
    <n v="0"/>
    <n v="0.01"/>
    <n v="0.01"/>
    <n v="0.04"/>
    <n v="0.01"/>
    <n v="0.01"/>
    <n v="0.01"/>
    <x v="4"/>
  </r>
  <r>
    <n v="8308"/>
    <s v="Clasps, frames with clasps, buckles, buckle-clasps, hooks, eyes, eyelets and the like, of base metal, of a kind used for clothing, footwear, awnings, handbags, travel goods or other made-up articles, tubular or bifurcated rivets, of base metal; beads and spangles of base metal "/>
    <n v="0.01"/>
    <n v="0.01"/>
    <n v="0.02"/>
    <n v="0.02"/>
    <n v="0.04"/>
    <n v="0.02"/>
    <n v="0.04"/>
    <n v="0.05"/>
    <n v="0.01"/>
    <n v="0.01"/>
    <x v="4"/>
  </r>
  <r>
    <n v="8303"/>
    <s v="Armoured or reinforced safes, strongboxes and doors and safe deposit lockers for strongrooms, cash or deed boxes and the like, of base metal "/>
    <n v="0"/>
    <n v="0"/>
    <n v="0"/>
    <n v="0"/>
    <n v="0"/>
    <n v="0"/>
    <n v="0.01"/>
    <n v="0"/>
    <n v="0"/>
    <n v="0"/>
    <x v="4"/>
  </r>
  <r>
    <n v="8304"/>
    <s v="Filing cabinets, card-index cabinets, paper trays, paper rests, pen trays, office-stamp stands and similar office or desk equipment, of base metal (excluding office furniture of heading 9403 and waste paper bins) "/>
    <n v="0"/>
    <n v="0"/>
    <n v="0"/>
    <s v="≈ 0"/>
    <n v="0"/>
    <n v="0"/>
    <n v="0.01"/>
    <n v="0.01"/>
    <n v="0"/>
    <n v="0"/>
    <x v="4"/>
  </r>
  <r>
    <n v="8411"/>
    <s v="Turbojets, turbopropellers and other gas turbines "/>
    <n v="64.22"/>
    <n v="72.27"/>
    <n v="154.91"/>
    <n v="45.04"/>
    <n v="31.57"/>
    <n v="151.13"/>
    <n v="98.27"/>
    <n v="145.52000000000001"/>
    <n v="249.63"/>
    <n v="326.3"/>
    <x v="4"/>
  </r>
  <r>
    <n v="8409"/>
    <s v="Parts suitable for use solely or principally with internal combustion piston engine of heading 8407 or 8408 "/>
    <n v="18.18"/>
    <n v="16.350000000000001"/>
    <n v="19.329999999999998"/>
    <n v="18.45"/>
    <n v="14.56"/>
    <n v="21.82"/>
    <n v="33.06"/>
    <n v="34.31"/>
    <n v="34.35"/>
    <n v="40.340000000000003"/>
    <x v="5"/>
  </r>
  <r>
    <n v="8413"/>
    <s v="Pumps for liquids, whether or not fitted with a measuring device (excl. ceramic pumps and secretion aspirating pumps for medical use and medical pumps carried on or implanted in the body); liquid elevators (excl. pumps); parts thereof "/>
    <n v="6.5"/>
    <n v="7.17"/>
    <n v="6.14"/>
    <n v="10.4"/>
    <n v="7.51"/>
    <n v="10.27"/>
    <n v="14.4"/>
    <n v="12.97"/>
    <n v="12.78"/>
    <n v="22.46"/>
    <x v="5"/>
  </r>
  <r>
    <n v="8481"/>
    <s v="Taps, cocks, valves and similar appliances for pipes, boiler shells, tanks, vats or the like, incl. pressure-reducing valves and thermostatically controlled valves; parts thereof "/>
    <n v="24.09"/>
    <n v="24.01"/>
    <n v="26.77"/>
    <n v="28.54"/>
    <n v="20.85"/>
    <n v="26.87"/>
    <n v="33.880000000000003"/>
    <n v="31.5"/>
    <n v="23.47"/>
    <n v="19.600000000000001"/>
    <x v="5"/>
  </r>
  <r>
    <n v="8477"/>
    <s v="Machinery for working rubber or plastics or for the manufacture of products from these materials, not specified or included elsewhere in this chapter, parts thereof "/>
    <n v="12.75"/>
    <n v="12.29"/>
    <n v="13.49"/>
    <n v="13.07"/>
    <n v="16.100000000000001"/>
    <n v="21.35"/>
    <n v="16.559999999999999"/>
    <n v="12.01"/>
    <n v="16.940000000000001"/>
    <n v="19.43"/>
    <x v="5"/>
  </r>
  <r>
    <n v="8408"/>
    <s v="Compression-ignition internal combustion piston engine &quot;diesel or semi-diesel engine&quot; "/>
    <n v="5.5"/>
    <n v="10.9"/>
    <n v="13.58"/>
    <n v="17.850000000000001"/>
    <n v="9.1199999999999992"/>
    <n v="17.91"/>
    <n v="17.440000000000001"/>
    <n v="17.53"/>
    <n v="12.47"/>
    <n v="18.53"/>
    <x v="5"/>
  </r>
  <r>
    <n v="8431"/>
    <s v="Parts suitable for use solely or principally with the machinery of heading 8425 to 8430, n.e.s. "/>
    <n v="12.05"/>
    <n v="13.29"/>
    <n v="14.49"/>
    <n v="15.52"/>
    <n v="10.49"/>
    <n v="15.93"/>
    <n v="16.41"/>
    <n v="16.43"/>
    <n v="17.45"/>
    <n v="17.100000000000001"/>
    <x v="5"/>
  </r>
  <r>
    <n v="8406"/>
    <s v="Steam turbines and other vapour turbines; parts thereof "/>
    <n v="6.26"/>
    <n v="5.81"/>
    <n v="51.58"/>
    <n v="31.49"/>
    <n v="67.69"/>
    <n v="103.07"/>
    <n v="24.8"/>
    <n v="24.91"/>
    <n v="10.94"/>
    <n v="16.91"/>
    <x v="5"/>
  </r>
  <r>
    <n v="8482"/>
    <s v="Ball or roller bearings (excl. steel balls of heading 7326); parts thereof "/>
    <n v="11.45"/>
    <n v="11.31"/>
    <n v="17.97"/>
    <n v="12.94"/>
    <n v="5.99"/>
    <n v="12.36"/>
    <n v="14.33"/>
    <n v="13.07"/>
    <n v="8.6"/>
    <n v="13.41"/>
    <x v="5"/>
  </r>
  <r>
    <n v="8483"/>
    <s v="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 "/>
    <n v="11.8"/>
    <n v="11.04"/>
    <n v="12.03"/>
    <n v="10.31"/>
    <n v="7.33"/>
    <n v="12.41"/>
    <n v="11.51"/>
    <n v="14.28"/>
    <n v="13.32"/>
    <n v="12.99"/>
    <x v="5"/>
  </r>
  <r>
    <n v="8414"/>
    <s v="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 "/>
    <n v="8.6300000000000008"/>
    <n v="10.79"/>
    <n v="15.26"/>
    <n v="11.33"/>
    <n v="8.4600000000000009"/>
    <n v="14.47"/>
    <n v="13.9"/>
    <n v="14.25"/>
    <n v="12.5"/>
    <n v="12.16"/>
    <x v="5"/>
  </r>
  <r>
    <n v="8421"/>
    <s v="Centrifuges, incl. centrifugal dryers (excl. those for isotope separation); filtering or purifying machinery and apparatus, for liquids or gases; parts thereof (excl. artificial kidneys) "/>
    <n v="3.52"/>
    <n v="3.7"/>
    <n v="4.7699999999999996"/>
    <n v="5.81"/>
    <n v="5.1100000000000003"/>
    <n v="24.02"/>
    <n v="20.41"/>
    <n v="10.71"/>
    <n v="9.32"/>
    <n v="11.25"/>
    <x v="5"/>
  </r>
  <r>
    <n v="8480"/>
    <s v="Moulding boxes for metal foundry; mould bases; moulding patterns; moulds for metal (other than ingot moulds), metal carbides, glass, mineral materials, rubber or plastics (excl. moulds of graphite or other carbons, ceramic or glass moulds and linotype moulds or matrices) "/>
    <n v="5.34"/>
    <n v="6.46"/>
    <n v="6.87"/>
    <n v="6.61"/>
    <n v="5.84"/>
    <n v="9.51"/>
    <n v="7.9"/>
    <n v="6.85"/>
    <n v="9.6999999999999993"/>
    <n v="9.6"/>
    <x v="5"/>
  </r>
  <r>
    <n v="8486"/>
    <s v="Machines and apparatus of a kind used solely or principally for the manufacture of semiconductor boules or wafers, semiconductor devices, electronic integrated circuits or flat panel displays; machines and apparatus specified in note 11 C to chapter 84; parts and accessories, n.e.s. "/>
    <n v="1.01"/>
    <n v="1.4"/>
    <n v="1.79"/>
    <n v="2.2999999999999998"/>
    <n v="3.96"/>
    <n v="5.76"/>
    <n v="8.89"/>
    <n v="5.94"/>
    <n v="7.08"/>
    <n v="8.7200000000000006"/>
    <x v="5"/>
  </r>
  <r>
    <n v="8479"/>
    <s v="Machines and mechanical appliances having individual functions, not specified or included elsewhere in this chapter; parts thereof "/>
    <n v="4.3499999999999996"/>
    <n v="4.04"/>
    <n v="8.26"/>
    <n v="6.39"/>
    <n v="5.74"/>
    <n v="3.19"/>
    <n v="6.05"/>
    <n v="3.56"/>
    <n v="4.83"/>
    <n v="7.58"/>
    <x v="5"/>
  </r>
  <r>
    <n v="8473"/>
    <s v="Parts and accessories (other than covers, carrying cases and the like) suitable for use solely or principally with machines of heading 8469 to 8472, n.e.s. "/>
    <n v="2.15"/>
    <n v="1.66"/>
    <n v="1.5"/>
    <n v="1.83"/>
    <n v="1.48"/>
    <n v="0.68"/>
    <n v="1.71"/>
    <n v="2.25"/>
    <n v="3"/>
    <n v="7.18"/>
    <x v="5"/>
  </r>
  <r>
    <n v="8474"/>
    <s v="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 "/>
    <n v="1.53"/>
    <n v="1.7"/>
    <n v="2.96"/>
    <n v="5.66"/>
    <n v="3.27"/>
    <n v="3.21"/>
    <n v="4.6900000000000004"/>
    <n v="6.19"/>
    <n v="3.06"/>
    <n v="6.44"/>
    <x v="5"/>
  </r>
  <r>
    <n v="8443"/>
    <s v="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 "/>
    <n v="8.3800000000000008"/>
    <n v="7.37"/>
    <n v="9.25"/>
    <n v="8.6199999999999992"/>
    <n v="6.1"/>
    <n v="7.33"/>
    <n v="9.64"/>
    <n v="9.57"/>
    <n v="9.8000000000000007"/>
    <n v="4.71"/>
    <x v="5"/>
  </r>
  <r>
    <n v="8412"/>
    <s v="Engines and motors (excl. steam turbines, internal combustion piston engine, hydraulic turbines, water wheels, gas turbines and electric motors); parts thereof "/>
    <n v="3.84"/>
    <n v="4.49"/>
    <n v="5.15"/>
    <n v="6.94"/>
    <n v="5.33"/>
    <n v="8.3000000000000007"/>
    <n v="7.99"/>
    <n v="5.86"/>
    <n v="14.85"/>
    <n v="4.3499999999999996"/>
    <x v="5"/>
  </r>
  <r>
    <n v="8410"/>
    <s v="Hydraulic turbines, water wheels, and regulators therefor (excl. hydraulic power engines and motors of heading 8412) "/>
    <n v="0.42"/>
    <n v="0.13"/>
    <n v="0.01"/>
    <n v="0"/>
    <n v="0"/>
    <n v="0"/>
    <n v="0.35"/>
    <n v="0.42"/>
    <n v="1.72"/>
    <n v="4.08"/>
    <x v="5"/>
  </r>
  <r>
    <n v="8466"/>
    <s v="Parts and accessories suitable for use solely or principally with the machines of headings 8456 to 8465, incl. work or tool holders, self-opening dieheads, dividing heads and other special attachments for the machines, n.e.s.; tool holders for any type of tool for working in the hand "/>
    <n v="1.48"/>
    <n v="3.62"/>
    <n v="3.4"/>
    <n v="3.48"/>
    <n v="2.15"/>
    <n v="2.4300000000000002"/>
    <n v="3.79"/>
    <n v="3.67"/>
    <n v="2.65"/>
    <n v="3.69"/>
    <x v="5"/>
  </r>
  <r>
    <n v="8419"/>
    <s v="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
    <n v="5.8"/>
    <n v="1.87"/>
    <n v="1.93"/>
    <n v="4.0599999999999996"/>
    <n v="2.71"/>
    <n v="2.37"/>
    <n v="2.46"/>
    <n v="2.76"/>
    <n v="3.65"/>
    <n v="3.18"/>
    <x v="5"/>
  </r>
  <r>
    <n v="8415"/>
    <s v="Air conditioning machines comprising a motor-driven fan and elements for changing the temperature and humidity, incl. those machines in which the humidity cannot be separately regulated; parts thereof "/>
    <n v="0.44"/>
    <n v="0.34"/>
    <n v="0.28999999999999998"/>
    <n v="0.79"/>
    <n v="0.81"/>
    <n v="0.67"/>
    <n v="1"/>
    <n v="1.34"/>
    <n v="3.18"/>
    <n v="3.05"/>
    <x v="5"/>
  </r>
  <r>
    <n v="8428"/>
    <s v="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 "/>
    <n v="0.35"/>
    <n v="2.94"/>
    <n v="1.04"/>
    <n v="3.77"/>
    <n v="0.49"/>
    <n v="1.81"/>
    <n v="4.34"/>
    <n v="5.45"/>
    <n v="2.78"/>
    <n v="2.84"/>
    <x v="5"/>
  </r>
  <r>
    <n v="8475"/>
    <s v="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 "/>
    <n v="0.01"/>
    <n v="0"/>
    <s v="≈ 0"/>
    <n v="0"/>
    <n v="1.1399999999999999"/>
    <n v="3.72"/>
    <n v="6.13"/>
    <n v="20.059999999999999"/>
    <n v="2.62"/>
    <n v="2.77"/>
    <x v="5"/>
  </r>
  <r>
    <n v="8484"/>
    <s v="Gaskets and similar joints of metal sheeting combined with other material or of two or more layers of metal; sets or assortments of gaskets and similar joints, dissimilar in composition, put up in pouches, envelopes or similar packings; mechanical seals "/>
    <n v="0.35"/>
    <n v="0.84"/>
    <n v="1.5"/>
    <n v="0.93"/>
    <n v="1.56"/>
    <n v="1.74"/>
    <n v="2.4700000000000002"/>
    <n v="2.78"/>
    <n v="1.75"/>
    <n v="1.48"/>
    <x v="5"/>
  </r>
  <r>
    <n v="8487"/>
    <s v="Machinery parts, n.e.s. in chapter 84 (excl. parts containing electrical connectors, insulators, coils, contacts or other electrical features) "/>
    <n v="0.09"/>
    <n v="0.12"/>
    <n v="0.34"/>
    <n v="0.34"/>
    <n v="1.45"/>
    <n v="0.56000000000000005"/>
    <n v="0.64"/>
    <n v="1.06"/>
    <n v="3.22"/>
    <n v="1.43"/>
    <x v="5"/>
  </r>
  <r>
    <n v="8448"/>
    <s v="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 "/>
    <n v="1.55"/>
    <n v="1.49"/>
    <n v="1.56"/>
    <n v="1.06"/>
    <n v="6.64"/>
    <n v="19.87"/>
    <n v="24.99"/>
    <n v="5.37"/>
    <n v="5.62"/>
    <n v="1.32"/>
    <x v="5"/>
  </r>
  <r>
    <n v="8438"/>
    <s v="Machinery, not specified or included elsewhere in this chapter, for the industrial preparation or manufacture of food or drink (other than machinery for the extraction or preparation of animal or fixed vegetable fats or oils); parts thereof "/>
    <n v="0.1"/>
    <n v="0.11"/>
    <n v="0.83"/>
    <n v="0.31"/>
    <n v="0.17"/>
    <n v="0.12"/>
    <n v="0.06"/>
    <n v="1"/>
    <n v="0.35"/>
    <n v="1.28"/>
    <x v="5"/>
  </r>
  <r>
    <n v="8445"/>
    <s v="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 "/>
    <n v="1.03"/>
    <n v="0.18"/>
    <n v="0.24"/>
    <n v="0.2"/>
    <n v="0.89"/>
    <n v="0"/>
    <n v="0.1"/>
    <n v="0.49"/>
    <n v="0"/>
    <n v="1.24"/>
    <x v="5"/>
  </r>
  <r>
    <n v="8422"/>
    <s v="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 "/>
    <n v="0.43"/>
    <n v="1.0900000000000001"/>
    <n v="1.07"/>
    <n v="0.62"/>
    <n v="0.47"/>
    <n v="0.33"/>
    <n v="0.42"/>
    <n v="1.1599999999999999"/>
    <n v="1"/>
    <n v="1.23"/>
    <x v="5"/>
  </r>
  <r>
    <n v="8465"/>
    <s v="Machine tools, incl. machines for nailing, stapling, glueing or otherwise assembling, for working wood, cork, bone, hard rubber, hard plastics or similar hard materials (excl. machines for working in the hand and machines for additive manufacturing) "/>
    <n v="0.18"/>
    <n v="0.16"/>
    <n v="0.31"/>
    <n v="0.51"/>
    <n v="7.0000000000000007E-2"/>
    <n v="0.23"/>
    <n v="0.06"/>
    <n v="0.26"/>
    <n v="0.64"/>
    <n v="1.2"/>
    <x v="5"/>
  </r>
  <r>
    <n v="8456"/>
    <s v="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 "/>
    <n v="0.16"/>
    <n v="0.08"/>
    <n v="0.28000000000000003"/>
    <n v="0.54"/>
    <n v="0.39"/>
    <n v="0.82"/>
    <n v="0.53"/>
    <n v="0.57999999999999996"/>
    <n v="0.56000000000000005"/>
    <n v="1.17"/>
    <x v="5"/>
  </r>
  <r>
    <n v="8471"/>
    <s v="Automatic data-processing machines and units thereof; magnetic or optical readers, machines for transcribing data onto data media in coded form and machines for processing such data, n.e.s. "/>
    <n v="0.74"/>
    <n v="1.44"/>
    <n v="0.53"/>
    <n v="1.07"/>
    <n v="0.74"/>
    <n v="0.98"/>
    <n v="3.53"/>
    <n v="1.39"/>
    <n v="1.7"/>
    <n v="1.17"/>
    <x v="5"/>
  </r>
  <r>
    <n v="8418"/>
    <s v="Refrigerators, freezers and other refrigerating or freezing equipment, electric or other; heat pumps; parts thereof (excl. air conditioning machines of heading 8415) "/>
    <n v="0.23"/>
    <n v="0.66"/>
    <n v="0.13"/>
    <n v="0.51"/>
    <n v="0.96"/>
    <n v="0.8"/>
    <n v="1.1100000000000001"/>
    <n v="1.26"/>
    <n v="1.31"/>
    <n v="1.07"/>
    <x v="5"/>
  </r>
  <r>
    <n v="8455"/>
    <s v="Metal-rolling mills and rolls therefor; parts of metal-rolling mills "/>
    <n v="0.61"/>
    <n v="0.42"/>
    <n v="1.25"/>
    <n v="0.48"/>
    <n v="0.13"/>
    <n v="0.31"/>
    <n v="0.02"/>
    <n v="0.11"/>
    <n v="0.28999999999999998"/>
    <n v="0.89"/>
    <x v="5"/>
  </r>
  <r>
    <n v="8420"/>
    <s v="Calendering or other rolling machines (other than for metals or glass) and cylinders therefor; parts thereof "/>
    <n v="0.86"/>
    <n v="0.72"/>
    <n v="0.78"/>
    <n v="0.63"/>
    <n v="0.49"/>
    <n v="0.84"/>
    <n v="1.1200000000000001"/>
    <n v="0.9"/>
    <n v="1.07"/>
    <n v="0.77"/>
    <x v="5"/>
  </r>
  <r>
    <n v="8429"/>
    <s v="Self-propelled bulldozers, angledozers, graders, levellers, scrapers, mechanical shovels, excavators, shovel loaders, tamping machines and roadrollers "/>
    <n v="0.05"/>
    <n v="0.12"/>
    <n v="0.11"/>
    <n v="0.44"/>
    <n v="1.67"/>
    <n v="0.14000000000000001"/>
    <n v="0.64"/>
    <n v="0.61"/>
    <n v="0.71"/>
    <n v="0.55000000000000004"/>
    <x v="5"/>
  </r>
  <r>
    <n v="8454"/>
    <s v="Converters, ladles, ingot moulds and casting machines of a kind used in metallurgy or in metal foundries (excl. metal powder presses); parts thereof "/>
    <n v="0.14000000000000001"/>
    <n v="0.3"/>
    <n v="0.22"/>
    <n v="1"/>
    <n v="7.0000000000000007E-2"/>
    <n v="0.04"/>
    <n v="0.15"/>
    <n v="0.2"/>
    <n v="0.23"/>
    <n v="0.45"/>
    <x v="5"/>
  </r>
  <r>
    <n v="8472"/>
    <s v="Office machines, e.g. hectograph or stencil duplicating machines, addressing machines, automatic banknote dispensers, coin-sorting machines, coin-counting or coin-wrapping machines, pencil-sharpening machines, perforating or stapling machines, n.e.s. "/>
    <n v="0.25"/>
    <n v="0.53"/>
    <n v="0.9"/>
    <n v="0.44"/>
    <n v="0.64"/>
    <n v="0.56999999999999995"/>
    <n v="0.45"/>
    <n v="0.28000000000000003"/>
    <n v="0.4"/>
    <n v="0.41"/>
    <x v="5"/>
  </r>
  <r>
    <n v="8441"/>
    <s v="Machinery for making up paper pulp, paper or paperboard, incl. cutting machines of all kinds, n.e.s.; parts thereof "/>
    <n v="2.08"/>
    <n v="3.68"/>
    <n v="3.17"/>
    <n v="2.3199999999999998"/>
    <n v="2.34"/>
    <n v="2.0099999999999998"/>
    <n v="7.0000000000000007E-2"/>
    <n v="0.12"/>
    <n v="0.38"/>
    <n v="0.39"/>
    <x v="5"/>
  </r>
  <r>
    <n v="8467"/>
    <s v="Tools for working in the hand, pneumatic, hydraulic or with self-contained electric or non-electric motor; parts thereof "/>
    <n v="7.0000000000000007E-2"/>
    <n v="0.23"/>
    <n v="0.21"/>
    <n v="0.21"/>
    <n v="0.23"/>
    <n v="0.2"/>
    <n v="0.25"/>
    <n v="0.28999999999999998"/>
    <n v="0.28000000000000003"/>
    <n v="0.33"/>
    <x v="5"/>
  </r>
  <r>
    <n v="8407"/>
    <s v="Spark-ignition reciprocating or rotary internal combustion piston engine "/>
    <n v="6.34"/>
    <n v="0.16"/>
    <n v="0.14000000000000001"/>
    <n v="7.0000000000000007E-2"/>
    <n v="0.13"/>
    <n v="0.21"/>
    <n v="0.22"/>
    <n v="0.09"/>
    <n v="0.12"/>
    <n v="0.27"/>
    <x v="5"/>
  </r>
  <r>
    <n v="8417"/>
    <s v="Industrial or laboratory furnaces and ovens, non-electric, incl. incinerators (excl. drying ovens and ovens for cracking operations) "/>
    <n v="0.01"/>
    <n v="0.24"/>
    <n v="0.22"/>
    <n v="0.56000000000000005"/>
    <n v="1.08"/>
    <n v="0.26"/>
    <n v="0.69"/>
    <n v="0.5"/>
    <n v="0"/>
    <n v="0.19"/>
    <x v="5"/>
  </r>
  <r>
    <n v="8424"/>
    <s v="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
    <n v="0.14000000000000001"/>
    <n v="0.16"/>
    <n v="0.35"/>
    <n v="0.37"/>
    <n v="0.18"/>
    <n v="0.17"/>
    <n v="0.27"/>
    <n v="0.15"/>
    <n v="0.21"/>
    <n v="0.17"/>
    <x v="5"/>
  </r>
  <r>
    <n v="8425"/>
    <s v="Pulley tackle and hoists (other than skip hoists); winches and capstans; jacks "/>
    <n v="1.49"/>
    <n v="0.06"/>
    <n v="0.01"/>
    <n v="0.06"/>
    <n v="0.53"/>
    <n v="0.01"/>
    <n v="0.04"/>
    <n v="0.25"/>
    <n v="0.1"/>
    <n v="0.16"/>
    <x v="5"/>
  </r>
  <r>
    <n v="8423"/>
    <s v="Weighing machinery, incl. weight-operated counting or checking machines (excl. balances of a sensitivity of 5 cg or better); weighing machine weights of all kinds; parts thereof "/>
    <n v="0.11"/>
    <n v="0.51"/>
    <n v="0.02"/>
    <n v="0.15"/>
    <n v="0.08"/>
    <n v="0.01"/>
    <n v="0.21"/>
    <n v="0.21"/>
    <n v="0.18"/>
    <n v="0.16"/>
    <x v="5"/>
  </r>
  <r>
    <n v="8416"/>
    <s v="Furnace burners for liquid fuel, for pulverised solid fuel or for gas; mechanical stokers, incl. their mechanical grates, mechanical ash dischargers and similar appliances; parts thereof "/>
    <n v="0.02"/>
    <n v="0.28999999999999998"/>
    <n v="0.1"/>
    <n v="0.02"/>
    <n v="0.02"/>
    <n v="0.01"/>
    <n v="7.0000000000000007E-2"/>
    <n v="0.14000000000000001"/>
    <n v="0.05"/>
    <n v="0.16"/>
    <x v="5"/>
  </r>
  <r>
    <n v="8462"/>
    <s v="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 "/>
    <n v="0.21"/>
    <n v="0.35"/>
    <n v="0.09"/>
    <n v="0.04"/>
    <n v="0.11"/>
    <n v="0.03"/>
    <n v="0.84"/>
    <n v="7.0000000000000007E-2"/>
    <n v="1.94"/>
    <n v="0.15"/>
    <x v="5"/>
  </r>
  <r>
    <n v="8468"/>
    <s v="Machinery and apparatus for soldering, brazing or welding, whether or not capable of cutting (other than those of heading 8515); gas-operated surface tempering machines and appliances; parts thereof "/>
    <n v="0.01"/>
    <n v="0.05"/>
    <n v="0.01"/>
    <n v="0.05"/>
    <n v="7.0000000000000007E-2"/>
    <n v="0.08"/>
    <n v="0.13"/>
    <n v="0.05"/>
    <n v="0.1"/>
    <n v="0.15"/>
    <x v="5"/>
  </r>
  <r>
    <n v="8437"/>
    <s v="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 "/>
    <n v="0"/>
    <s v="≈ 0"/>
    <n v="0.01"/>
    <n v="0.03"/>
    <n v="0.02"/>
    <n v="0.2"/>
    <n v="0.06"/>
    <n v="0.05"/>
    <n v="0.11"/>
    <n v="0.12"/>
    <x v="5"/>
  </r>
  <r>
    <n v="8405"/>
    <s v="Producer gas or water gas generators, with or without their purifiers; acetylene gas generators and similar water process gas generators, with or without their purifiers; parts thereof (excl. coke ovens, electrolytic process gas generators and carbide lamps) "/>
    <n v="0"/>
    <n v="1.0900000000000001"/>
    <n v="0"/>
    <n v="0.01"/>
    <n v="0.23"/>
    <n v="0.05"/>
    <n v="0"/>
    <n v="0.24"/>
    <n v="0.05"/>
    <n v="0.12"/>
    <x v="5"/>
  </r>
  <r>
    <n v="8461"/>
    <s v="Machine tools for planing, shaping, slotting, broaching, gear cutting, gear grinding or gear finishing, sawing, cutting-off and other machine tools working by removing metal, sintered metal carbides or cermets, n.e.s. "/>
    <n v="0.11"/>
    <n v="0"/>
    <n v="0.02"/>
    <n v="0"/>
    <n v="0.13"/>
    <n v="0.01"/>
    <n v="0.02"/>
    <n v="0.01"/>
    <n v="0.1"/>
    <n v="0.11"/>
    <x v="5"/>
  </r>
  <r>
    <n v="8457"/>
    <s v="Machining centres, unit construction machines &quot;single station&quot; and multi-station transfer machines for working metal "/>
    <n v="0.11"/>
    <n v="0.24"/>
    <n v="0.01"/>
    <n v="0.56999999999999995"/>
    <n v="0.33"/>
    <n v="0.27"/>
    <n v="0.04"/>
    <n v="0.01"/>
    <n v="0.1"/>
    <n v="0.11"/>
    <x v="5"/>
  </r>
  <r>
    <n v="8439"/>
    <s v="Machinery for making pulp of fibrous cellulosic material or for making or finishing paper or paperboard (excl. autoclaves, boilers, dryers, other heating appliances and calenders); parts thereof "/>
    <n v="0.01"/>
    <n v="0.1"/>
    <n v="0.13"/>
    <n v="0.36"/>
    <n v="0.14000000000000001"/>
    <n v="0.26"/>
    <n v="0.02"/>
    <n v="0.14000000000000001"/>
    <n v="0.05"/>
    <n v="0.1"/>
    <x v="5"/>
  </r>
  <r>
    <n v="8426"/>
    <s v="Ships' derricks; cranes, incl. cable cranes (excl. wheel-mounted cranes and vehicle cranes for railways); mobile lifting frames, straddle carriers and works trucks fitted with a crane "/>
    <n v="0"/>
    <n v="0"/>
    <n v="0"/>
    <n v="0"/>
    <n v="0.66"/>
    <n v="0.25"/>
    <n v="0.03"/>
    <n v="0"/>
    <n v="0"/>
    <n v="7.0000000000000007E-2"/>
    <x v="5"/>
  </r>
  <r>
    <n v="8433"/>
    <s v="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 "/>
    <n v="0.01"/>
    <n v="0.02"/>
    <n v="0.01"/>
    <n v="0.01"/>
    <n v="0.02"/>
    <n v="0"/>
    <n v="0.01"/>
    <n v="0.01"/>
    <n v="0.02"/>
    <n v="0.06"/>
    <x v="5"/>
  </r>
  <r>
    <n v="8434"/>
    <s v="Milking machines and dairy machinery (excl. refrigerating or heat treatment equipment, cream separators, clarifying centrifuges, filter presses and other filtering equipment); parts thereof "/>
    <n v="0"/>
    <n v="0"/>
    <n v="0"/>
    <s v="≈ 0"/>
    <n v="0"/>
    <n v="0"/>
    <n v="0"/>
    <n v="0"/>
    <n v="0.11"/>
    <n v="0.06"/>
    <x v="5"/>
  </r>
  <r>
    <n v="8430"/>
    <s v="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 "/>
    <n v="0"/>
    <n v="0.17"/>
    <n v="0.08"/>
    <n v="0.03"/>
    <n v="0"/>
    <n v="0.28000000000000003"/>
    <n v="0.09"/>
    <n v="0.32"/>
    <n v="0.01"/>
    <n v="0.04"/>
    <x v="5"/>
  </r>
  <r>
    <n v="8432"/>
    <s v="Agricultural, horticultural or forestry machinery for soil preparation or cultivation (excl. sprayers and dusters); lawn or sports-ground rollers; parts thereof "/>
    <n v="0.09"/>
    <n v="0.1"/>
    <n v="0.02"/>
    <n v="0.02"/>
    <n v="0.01"/>
    <n v="0.02"/>
    <n v="0.2"/>
    <n v="0.03"/>
    <n v="0.03"/>
    <n v="0.03"/>
    <x v="5"/>
  </r>
  <r>
    <n v="8404"/>
    <s v="Auxiliary plant for use with boilers of heading 8402 or 8403, e.g. economizers, superheaters, soot removers and gas recoverers; condensers for steam or other vapour power units; parts thereof "/>
    <n v="0.3"/>
    <n v="0.04"/>
    <n v="0.01"/>
    <n v="0.56000000000000005"/>
    <n v="0.06"/>
    <n v="0"/>
    <n v="0.06"/>
    <n v="0.37"/>
    <n v="0.12"/>
    <n v="0.03"/>
    <x v="5"/>
  </r>
  <r>
    <n v="8460"/>
    <s v="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 "/>
    <n v="0.24"/>
    <n v="0.35"/>
    <n v="0.13"/>
    <n v="1.17"/>
    <n v="0.53"/>
    <n v="0.68"/>
    <n v="0.19"/>
    <n v="0.03"/>
    <n v="0.21"/>
    <n v="0.03"/>
    <x v="5"/>
  </r>
  <r>
    <n v="8458"/>
    <s v="Lathes, incl. turning centres, for removing metal "/>
    <n v="0.38"/>
    <n v="0"/>
    <n v="0.09"/>
    <n v="0.21"/>
    <n v="0.03"/>
    <n v="0.02"/>
    <n v="0"/>
    <n v="0"/>
    <n v="0.01"/>
    <n v="0.03"/>
    <x v="5"/>
  </r>
  <r>
    <n v="8451"/>
    <s v="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 "/>
    <n v="0"/>
    <s v="≈ 0"/>
    <n v="0.01"/>
    <n v="0.04"/>
    <n v="0"/>
    <n v="0.03"/>
    <n v="0.01"/>
    <n v="0"/>
    <n v="0"/>
    <n v="0.03"/>
    <x v="5"/>
  </r>
  <r>
    <n v="8442"/>
    <s v="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 "/>
    <n v="0"/>
    <s v="≈ 0"/>
    <s v="≈ 0"/>
    <s v="≈ 0"/>
    <n v="0"/>
    <s v="≈ 0"/>
    <s v="≈ 0"/>
    <n v="0"/>
    <n v="0.01"/>
    <n v="0.03"/>
    <x v="5"/>
  </r>
  <r>
    <n v="8402"/>
    <s v="Steam or other vapour generating boilers (excl. central heating hot water boilers capable also of producing low pressure steam); superheated water boilers; parts thereof "/>
    <n v="6.37"/>
    <n v="13.43"/>
    <n v="16.760000000000002"/>
    <n v="14.77"/>
    <n v="15.76"/>
    <n v="21.65"/>
    <n v="4.47"/>
    <n v="22.79"/>
    <n v="0.4"/>
    <n v="0.03"/>
    <x v="5"/>
  </r>
  <r>
    <n v="8459"/>
    <s v="Machine tools, incl. way-type unit head machines, for drilling, boring, milling, threading or tapping (excl. lathes and turning centres of heading 8458, gear cutting machines of heading 8461 and hand-operated machines) "/>
    <n v="0.01"/>
    <n v="0.25"/>
    <n v="0.19"/>
    <n v="0.32"/>
    <n v="0.16"/>
    <n v="0.1"/>
    <n v="0.19"/>
    <n v="0"/>
    <n v="0.01"/>
    <n v="0.02"/>
    <x v="5"/>
  </r>
  <r>
    <n v="8464"/>
    <s v="Machine tools for working stone, ceramics, concrete, asbestos-cement or like mineral materials or for cold-working glass (excl. machines for working in the hand) "/>
    <n v="0.02"/>
    <n v="0.01"/>
    <n v="0"/>
    <n v="0.02"/>
    <n v="0"/>
    <n v="0.01"/>
    <n v="0"/>
    <n v="0.2"/>
    <n v="0.01"/>
    <n v="0.01"/>
    <x v="5"/>
  </r>
  <r>
    <n v="8452"/>
    <s v="Sewing machines (other than book-sewing machines of heading 8440); furniture, bases and covers specially designed for sewing machines; sewing machine needles; parts thereof "/>
    <n v="0.04"/>
    <n v="0.16"/>
    <n v="0.01"/>
    <n v="0.02"/>
    <n v="0"/>
    <n v="0.03"/>
    <n v="0"/>
    <n v="0.01"/>
    <n v="0.14000000000000001"/>
    <n v="0.01"/>
    <x v="5"/>
  </r>
  <r>
    <n v="8436"/>
    <s v="Agricultural, horticultural, forestry, poultry-keeping or bee-keeping machinery, incl. germination plant fitted with mechanical or thermal equipment; poultry incubators and brooders; parts thereof "/>
    <n v="0"/>
    <n v="0"/>
    <n v="0"/>
    <n v="0"/>
    <n v="0"/>
    <n v="0"/>
    <n v="0"/>
    <n v="0"/>
    <n v="0.02"/>
    <n v="0.01"/>
    <x v="5"/>
  </r>
  <r>
    <n v="8446"/>
    <s v="Weaving machines &quot;looms&quot; "/>
    <n v="0.19"/>
    <n v="0.01"/>
    <n v="0"/>
    <n v="0"/>
    <n v="0"/>
    <n v="0.03"/>
    <n v="0.12"/>
    <n v="0.03"/>
    <n v="0.01"/>
    <n v="0.01"/>
    <x v="5"/>
  </r>
  <r>
    <n v="8427"/>
    <s v="Fork-lift trucks; other works trucks fitted with lifting or handling equipment (excl. straddle carriers and works trucks fitted with a crane) "/>
    <n v="0.35"/>
    <n v="0.13"/>
    <n v="0.11"/>
    <n v="0"/>
    <n v="0.11"/>
    <n v="0.01"/>
    <n v="0.44"/>
    <n v="0"/>
    <n v="0.08"/>
    <n v="0"/>
    <x v="5"/>
  </r>
  <r>
    <n v="8476"/>
    <s v="Automatic goods-vending machines, e.g. postage stamp, cigarette, food or beverage machines, incl. money-changing machines; parts thereof "/>
    <n v="0"/>
    <n v="0.03"/>
    <n v="0"/>
    <n v="0"/>
    <n v="0"/>
    <n v="0"/>
    <n v="0"/>
    <n v="0"/>
    <n v="0"/>
    <n v="0"/>
    <x v="5"/>
  </r>
  <r>
    <n v="8450"/>
    <s v="Household or laundry-type washing machines, incl. machines which both wash and dry; parts thereof "/>
    <n v="0.22"/>
    <n v="0.39"/>
    <n v="0.4"/>
    <n v="0.36"/>
    <n v="0.32"/>
    <n v="0.27"/>
    <s v="≈ 0"/>
    <n v="0"/>
    <n v="0"/>
    <n v="0"/>
    <x v="5"/>
  </r>
  <r>
    <n v="8470"/>
    <s v="Calculating machines and pocket-size &quot;dimensions &lt;= 170 mm x 100 mm x 45 mm&quot;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 "/>
    <n v="0.04"/>
    <n v="0"/>
    <s v="≈ 0"/>
    <s v="≈ 0"/>
    <n v="0.09"/>
    <s v="≈ 0"/>
    <s v="≈ 0"/>
    <n v="0.01"/>
    <n v="0"/>
    <n v="0"/>
    <x v="5"/>
  </r>
  <r>
    <n v="8485"/>
    <s v="Machines for additive manufacturing "/>
    <n v="0"/>
    <n v="0"/>
    <n v="0"/>
    <n v="0"/>
    <n v="0"/>
    <n v="0"/>
    <n v="0"/>
    <n v="0"/>
    <n v="0"/>
    <n v="0"/>
    <x v="5"/>
  </r>
  <r>
    <n v="8403"/>
    <s v="Central heating boilers, non-electric; parts thereof (excl. vapour generating boilers and superheated water boilers of heading 8402) "/>
    <n v="0"/>
    <n v="0"/>
    <n v="0.02"/>
    <n v="0"/>
    <n v="0"/>
    <n v="0"/>
    <n v="0"/>
    <n v="0"/>
    <n v="0"/>
    <n v="0"/>
    <x v="5"/>
  </r>
  <r>
    <n v="8435"/>
    <s v="Presses, crushers and similar machinery used in the manufacture of wine, cider, fruit juices or similar beverages (excl. machinery for the treatment of these beverages, incl. centrifuges, filter presses, other filtering equipment and domestic appliances); parts thereof "/>
    <n v="0"/>
    <s v="≈ 0"/>
    <n v="0"/>
    <n v="0"/>
    <n v="0"/>
    <n v="0"/>
    <n v="0"/>
    <n v="0"/>
    <n v="0"/>
    <n v="0"/>
    <x v="5"/>
  </r>
  <r>
    <n v="8440"/>
    <s v="Bookbinding machinery, incl. book-sewing machines (excl. machinery of heading 8441, general-purpose presses, printing machinery of heading 8443 and machines of uses ancillary to printing); parts thereof "/>
    <n v="0"/>
    <n v="0.01"/>
    <n v="0"/>
    <n v="0"/>
    <n v="0"/>
    <n v="0"/>
    <n v="0"/>
    <n v="0"/>
    <n v="0.01"/>
    <n v="0"/>
    <x v="5"/>
  </r>
  <r>
    <n v="8444"/>
    <s v="Machines for extruding, drawing, texturing or cutting man-made textile materials "/>
    <n v="0"/>
    <n v="0"/>
    <n v="0"/>
    <n v="0"/>
    <n v="0"/>
    <n v="0"/>
    <n v="0"/>
    <n v="0"/>
    <n v="0"/>
    <n v="0"/>
    <x v="5"/>
  </r>
  <r>
    <n v="8447"/>
    <s v="Knitting machines, stitch-bonding machines and machines for making gimped yarn, tulle, lace, embroidery, trimmings, braid or net and machines for tufting (excl. hem-stitching machines) "/>
    <s v="≈ 0"/>
    <n v="0"/>
    <n v="0"/>
    <n v="0.45"/>
    <n v="0.15"/>
    <n v="0.16"/>
    <n v="0"/>
    <n v="0"/>
    <n v="0"/>
    <n v="0"/>
    <x v="5"/>
  </r>
  <r>
    <n v="8449"/>
    <s v="Machinery for the manufacture or finishing of felt or nonwovens in the piece or in shapes, incl. machinery for making felt hats; blocks for making hats; parts thereof (excluding machinery for preparing fibres for felt and calenders) "/>
    <n v="0"/>
    <n v="0"/>
    <n v="0"/>
    <n v="0.01"/>
    <n v="0"/>
    <n v="0"/>
    <n v="0.02"/>
    <n v="0.01"/>
    <n v="0"/>
    <n v="0"/>
    <x v="5"/>
  </r>
  <r>
    <n v="8453"/>
    <s v="Machinery for preparing, tanning or working hides, skins or leather or for making or repairing footwear or other articles of hides, skins or leather (excl. drying machines, spray guns, machines for the dehairing of pigs, sewing machines and general purpose presses); parts thereof "/>
    <n v="0.11"/>
    <n v="0.01"/>
    <n v="0"/>
    <s v="≈ 0"/>
    <s v="≈ 0"/>
    <n v="0"/>
    <n v="0"/>
    <n v="0"/>
    <n v="0"/>
    <n v="0"/>
    <x v="5"/>
  </r>
  <r>
    <n v="8463"/>
    <s v="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 "/>
    <n v="0.16"/>
    <s v="≈ 0"/>
    <n v="0"/>
    <n v="0"/>
    <n v="0.01"/>
    <n v="0"/>
    <n v="0"/>
    <n v="0.01"/>
    <n v="0.02"/>
    <n v="0"/>
    <x v="5"/>
  </r>
</pivotCacheRecords>
</file>

<file path=xl/pivotCache/pivotCacheRecords5.xml><?xml version="1.0" encoding="utf-8"?>
<pivotCacheRecords xmlns="http://schemas.openxmlformats.org/spreadsheetml/2006/main" xmlns:r="http://schemas.openxmlformats.org/officeDocument/2006/relationships" count="239">
  <r>
    <x v="0"/>
    <x v="0"/>
    <n v="445839"/>
    <n v="645673690"/>
    <s v="Units"/>
    <s v="0.69"/>
    <s v=" Units"/>
    <n v="1.56"/>
    <n v="33"/>
    <s v="n/a"/>
  </r>
  <r>
    <x v="1"/>
    <x v="1"/>
    <n v="247932"/>
    <n v="6522195392"/>
    <s v="Units"/>
    <s v="0.04"/>
    <s v=" Units"/>
    <n v="7.25"/>
    <n v="10"/>
    <s v="n/a"/>
  </r>
  <r>
    <x v="2"/>
    <x v="2"/>
    <n v="219166"/>
    <n v="1712779972"/>
    <s v="Units"/>
    <s v="0.13"/>
    <s v=" Units"/>
    <n v="3.62"/>
    <n v="17"/>
    <s v="n/a"/>
  </r>
  <r>
    <x v="3"/>
    <x v="3"/>
    <n v="161210"/>
    <n v="0"/>
    <s v="Mixed"/>
    <s v="n/a"/>
    <s v="n/a"/>
    <n v="3.76"/>
    <n v="14"/>
    <s v="n/a"/>
  </r>
  <r>
    <x v="4"/>
    <x v="4"/>
    <n v="132106"/>
    <n v="3324"/>
    <s v="Tons"/>
    <s v="39,743.08"/>
    <s v=" Tons"/>
    <n v="9.33"/>
    <n v="2"/>
    <n v="44"/>
  </r>
  <r>
    <x v="5"/>
    <x v="5"/>
    <n v="115284"/>
    <n v="0"/>
    <s v="Mixed"/>
    <s v="n/a"/>
    <s v="n/a"/>
    <n v="21.57"/>
    <n v="20"/>
    <s v="n/a"/>
  </r>
  <r>
    <x v="6"/>
    <x v="6"/>
    <n v="115102"/>
    <n v="42430156939"/>
    <s v="Units"/>
    <s v="0"/>
    <s v=" Units"/>
    <n v="9.2799999999999994"/>
    <n v="37"/>
    <s v="n/a"/>
  </r>
  <r>
    <x v="7"/>
    <x v="7"/>
    <n v="107023"/>
    <n v="0"/>
    <s v="Mixed"/>
    <s v="n/a"/>
    <s v="n/a"/>
    <n v="28.84"/>
    <n v="25"/>
    <s v="n/a"/>
  </r>
  <r>
    <x v="8"/>
    <x v="8"/>
    <n v="105776"/>
    <n v="0"/>
    <s v="Mixed"/>
    <s v="n/a"/>
    <s v="n/a"/>
    <n v="2.13"/>
    <n v="10"/>
    <s v="n/a"/>
  </r>
  <r>
    <x v="9"/>
    <x v="9"/>
    <n v="79776"/>
    <n v="7419809"/>
    <s v="Units"/>
    <s v="10.75"/>
    <s v=" Units"/>
    <n v="4.4800000000000004"/>
    <n v="5"/>
    <s v="n/a"/>
  </r>
  <r>
    <x v="10"/>
    <x v="10"/>
    <n v="76798"/>
    <n v="857591"/>
    <s v="Units"/>
    <s v="89.55"/>
    <s v=" Units"/>
    <n v="3.64"/>
    <n v="0"/>
    <s v="n/a"/>
  </r>
  <r>
    <x v="11"/>
    <x v="11"/>
    <n v="74464"/>
    <n v="0"/>
    <s v="No"/>
    <s v="n/a"/>
    <s v="n/a"/>
    <n v="4.71"/>
    <n v="6"/>
    <s v="n/a"/>
  </r>
  <r>
    <x v="12"/>
    <x v="12"/>
    <n v="72371"/>
    <n v="2506501000"/>
    <s v="Meters"/>
    <s v="288.73"/>
    <s v=" 1000 meters"/>
    <n v="4.26"/>
    <n v="20"/>
    <s v="n/a"/>
  </r>
  <r>
    <x v="13"/>
    <x v="13"/>
    <n v="71474"/>
    <n v="191096444"/>
    <s v="Units"/>
    <s v="0.37"/>
    <s v=" Units"/>
    <n v="0.31"/>
    <n v="10"/>
    <s v="n/a"/>
  </r>
  <r>
    <x v="14"/>
    <x v="14"/>
    <n v="59854"/>
    <n v="0"/>
    <s v="Mixed"/>
    <s v="n/a"/>
    <s v="n/a"/>
    <n v="5.19"/>
    <n v="10"/>
    <s v="n/a"/>
  </r>
  <r>
    <x v="15"/>
    <x v="15"/>
    <n v="56868"/>
    <n v="1922"/>
    <s v="Tons"/>
    <s v="29,587.93"/>
    <s v=" Tons"/>
    <n v="19.82"/>
    <n v="8"/>
    <n v="-19"/>
  </r>
  <r>
    <x v="16"/>
    <x v="16"/>
    <n v="36678"/>
    <n v="4802087742"/>
    <s v="Units"/>
    <s v="0.01"/>
    <s v=" Units"/>
    <n v="7.61"/>
    <n v="21"/>
    <s v="n/a"/>
  </r>
  <r>
    <x v="17"/>
    <x v="17"/>
    <n v="34344"/>
    <n v="0"/>
    <s v="Mixed"/>
    <s v="n/a"/>
    <s v="n/a"/>
    <n v="5.82"/>
    <n v="17"/>
    <s v="n/a"/>
  </r>
  <r>
    <x v="18"/>
    <x v="18"/>
    <n v="33255"/>
    <n v="1283038"/>
    <s v="Units"/>
    <s v="25.92"/>
    <s v=" Units"/>
    <n v="2.35"/>
    <n v="17"/>
    <s v="n/a"/>
  </r>
  <r>
    <x v="19"/>
    <x v="19"/>
    <n v="29591"/>
    <n v="59891730"/>
    <s v="Units"/>
    <s v="0.49"/>
    <s v=" Units"/>
    <n v="2.38"/>
    <n v="-5"/>
    <s v="n/a"/>
  </r>
  <r>
    <x v="20"/>
    <x v="20"/>
    <n v="26216"/>
    <n v="954"/>
    <s v="Tons"/>
    <s v="27,480.08"/>
    <s v=" Tons"/>
    <n v="5.9"/>
    <n v="16"/>
    <n v="-20"/>
  </r>
  <r>
    <x v="21"/>
    <x v="21"/>
    <n v="12117"/>
    <n v="5636050"/>
    <s v="Units"/>
    <s v="2.15"/>
    <s v=" Units"/>
    <n v="0.75"/>
    <n v="11"/>
    <s v="n/a"/>
  </r>
  <r>
    <x v="22"/>
    <x v="22"/>
    <n v="11440"/>
    <n v="0"/>
    <s v="Mixed"/>
    <s v="n/a"/>
    <s v="n/a"/>
    <n v="3.91"/>
    <n v="21"/>
    <s v="n/a"/>
  </r>
  <r>
    <x v="23"/>
    <x v="23"/>
    <n v="10107"/>
    <n v="0"/>
    <s v="No"/>
    <s v="n/a"/>
    <s v="n/a"/>
    <n v="1.41"/>
    <n v="11"/>
    <s v="n/a"/>
  </r>
  <r>
    <x v="24"/>
    <x v="24"/>
    <n v="9365"/>
    <n v="3644"/>
    <s v="Units"/>
    <s v="2,569.98"/>
    <s v=" Units"/>
    <n v="21.56"/>
    <n v="21"/>
    <s v="n/a"/>
  </r>
  <r>
    <x v="25"/>
    <x v="25"/>
    <n v="8380"/>
    <n v="1632"/>
    <s v="Tons"/>
    <s v="5,134.8"/>
    <s v=" Tons"/>
    <n v="2.7"/>
    <n v="-9"/>
    <n v="-5"/>
  </r>
  <r>
    <x v="26"/>
    <x v="26"/>
    <n v="8188"/>
    <n v="18783"/>
    <s v="Units"/>
    <s v="435.93"/>
    <s v=" Units"/>
    <n v="0.78"/>
    <n v="5"/>
    <s v="n/a"/>
  </r>
  <r>
    <x v="27"/>
    <x v="27"/>
    <n v="8012"/>
    <n v="0"/>
    <s v="Mixed"/>
    <s v="n/a"/>
    <s v="n/a"/>
    <n v="7.55"/>
    <n v="2"/>
    <s v="n/a"/>
  </r>
  <r>
    <x v="28"/>
    <x v="28"/>
    <n v="7806"/>
    <n v="0"/>
    <s v="No"/>
    <s v="n/a"/>
    <s v="n/a"/>
    <n v="0.4"/>
    <n v="18"/>
    <s v="n/a"/>
  </r>
  <r>
    <x v="29"/>
    <x v="29"/>
    <n v="7029"/>
    <n v="0"/>
    <s v="No"/>
    <s v="n/a"/>
    <s v="n/a"/>
    <n v="5.59"/>
    <n v="-8"/>
    <s v="n/a"/>
  </r>
  <r>
    <x v="30"/>
    <x v="30"/>
    <n v="6550"/>
    <n v="28652225"/>
    <s v="Units"/>
    <s v="0.23"/>
    <s v=" Units"/>
    <n v="5.68"/>
    <n v="21"/>
    <s v="n/a"/>
  </r>
  <r>
    <x v="31"/>
    <x v="31"/>
    <n v="2966"/>
    <n v="0"/>
    <s v="No"/>
    <s v="n/a"/>
    <s v="n/a"/>
    <n v="0.9"/>
    <n v="2"/>
    <s v="n/a"/>
  </r>
  <r>
    <x v="32"/>
    <x v="32"/>
    <n v="2286"/>
    <n v="119"/>
    <s v="Tons"/>
    <s v="19,210.08"/>
    <s v=" Tons"/>
    <n v="1.46"/>
    <n v="22"/>
    <n v="61"/>
  </r>
  <r>
    <x v="33"/>
    <x v="33"/>
    <n v="2109"/>
    <n v="722026"/>
    <s v="Units"/>
    <s v="2.92"/>
    <s v=" Units"/>
    <n v="0.82"/>
    <n v="-41"/>
    <s v="n/a"/>
  </r>
  <r>
    <x v="34"/>
    <x v="34"/>
    <n v="1463"/>
    <n v="6695052"/>
    <s v="Units"/>
    <s v="0.22"/>
    <s v=" Units"/>
    <n v="0.4"/>
    <n v="1"/>
    <s v="n/a"/>
  </r>
  <r>
    <x v="35"/>
    <x v="35"/>
    <n v="1398"/>
    <n v="3373"/>
    <s v="Units"/>
    <s v="414.47"/>
    <s v=" Units"/>
    <n v="0.47"/>
    <n v="47"/>
    <s v="n/a"/>
  </r>
  <r>
    <x v="36"/>
    <x v="36"/>
    <n v="653"/>
    <n v="2273"/>
    <s v="Units"/>
    <s v="287.29"/>
    <s v=" Units"/>
    <n v="0.33"/>
    <n v="48"/>
    <s v="n/a"/>
  </r>
  <r>
    <x v="37"/>
    <x v="37"/>
    <n v="607"/>
    <n v="496"/>
    <s v="Units"/>
    <s v="1,223.79"/>
    <s v=" Units"/>
    <n v="1.55"/>
    <n v="12"/>
    <n v="-80"/>
  </r>
  <r>
    <x v="38"/>
    <x v="38"/>
    <n v="469"/>
    <n v="0"/>
    <s v="No"/>
    <s v="n/a"/>
    <s v="n/a"/>
    <n v="0.26"/>
    <n v="60"/>
    <s v="n/a"/>
  </r>
  <r>
    <x v="39"/>
    <x v="39"/>
    <n v="360"/>
    <n v="0"/>
    <s v="No"/>
    <s v="n/a"/>
    <s v="n/a"/>
    <n v="0.37"/>
    <n v="37"/>
    <s v="n/a"/>
  </r>
  <r>
    <x v="40"/>
    <x v="40"/>
    <n v="182"/>
    <n v="42833"/>
    <s v="Units"/>
    <s v="4.25"/>
    <s v=" Units"/>
    <n v="0.03"/>
    <n v="234"/>
    <s v="n/a"/>
  </r>
  <r>
    <x v="41"/>
    <x v="41"/>
    <n v="119"/>
    <n v="0"/>
    <s v="No"/>
    <s v="n/a"/>
    <s v="n/a"/>
    <n v="0.19"/>
    <n v="84"/>
    <s v="n/a"/>
  </r>
  <r>
    <x v="42"/>
    <x v="42"/>
    <n v="118"/>
    <n v="4"/>
    <s v="Units"/>
    <s v="29,500"/>
    <s v=" Units"/>
    <n v="0.05"/>
    <n v="-14"/>
    <s v="n/a"/>
  </r>
  <r>
    <x v="43"/>
    <x v="43"/>
    <n v="117"/>
    <n v="0"/>
    <s v="No"/>
    <s v="n/a"/>
    <s v="n/a"/>
    <n v="0.13"/>
    <n v="219"/>
    <s v="n/a"/>
  </r>
  <r>
    <x v="44"/>
    <x v="44"/>
    <n v="47"/>
    <n v="0"/>
    <s v="Mixed"/>
    <s v="n/a"/>
    <s v="n/a"/>
    <n v="0.17"/>
    <n v="15"/>
    <s v="n/a"/>
  </r>
  <r>
    <x v="45"/>
    <x v="45"/>
    <n v="42"/>
    <n v="409"/>
    <s v="Units"/>
    <s v="102.69"/>
    <s v=" Units"/>
    <n v="0.23"/>
    <n v="-28"/>
    <s v="n/a"/>
  </r>
  <r>
    <x v="46"/>
    <x v="46"/>
    <n v="456607"/>
    <n v="485840"/>
    <s v="Tons"/>
    <s v="939.83"/>
    <s v=" Tons"/>
    <n v="16.329999999999998"/>
    <n v="-9"/>
    <n v="5"/>
  </r>
  <r>
    <x v="47"/>
    <x v="47"/>
    <n v="123426"/>
    <n v="63003"/>
    <s v="Tons"/>
    <s v="1,959.05"/>
    <s v=" Tons"/>
    <n v="15.49"/>
    <n v="3"/>
    <n v="7"/>
  </r>
  <r>
    <x v="48"/>
    <x v="48"/>
    <n v="82059"/>
    <n v="7203"/>
    <s v="Tons"/>
    <s v="11,392.34"/>
    <s v=" Tons"/>
    <n v="5.73"/>
    <n v="9"/>
    <n v="10"/>
  </r>
  <r>
    <x v="49"/>
    <x v="49"/>
    <n v="80258"/>
    <n v="36678"/>
    <s v="Tons"/>
    <s v="2,188.18"/>
    <s v=" Tons"/>
    <n v="8.65"/>
    <n v="13"/>
    <n v="20"/>
  </r>
  <r>
    <x v="50"/>
    <x v="50"/>
    <n v="67337"/>
    <n v="37170"/>
    <s v="Tons"/>
    <s v="1,811.6"/>
    <s v=" Tons"/>
    <n v="1.96"/>
    <n v="4"/>
    <n v="9"/>
  </r>
  <r>
    <x v="51"/>
    <x v="51"/>
    <n v="62320"/>
    <n v="3565"/>
    <s v="Tons"/>
    <s v="17,481.07"/>
    <s v=" Tons"/>
    <n v="9.7100000000000009"/>
    <n v="5"/>
    <n v="6"/>
  </r>
  <r>
    <x v="52"/>
    <x v="52"/>
    <n v="61001"/>
    <n v="14420"/>
    <s v="Tons"/>
    <s v="4,230.31"/>
    <s v=" Tons"/>
    <n v="2.2599999999999998"/>
    <n v="5"/>
    <n v="6"/>
  </r>
  <r>
    <x v="53"/>
    <x v="53"/>
    <n v="45103"/>
    <n v="32307"/>
    <s v="Tons"/>
    <s v="1,396.08"/>
    <s v=" Tons"/>
    <n v="2.17"/>
    <n v="16"/>
    <n v="28"/>
  </r>
  <r>
    <x v="54"/>
    <x v="54"/>
    <n v="36089"/>
    <n v="2538"/>
    <s v="Tons"/>
    <s v="14,219.46"/>
    <s v=" Tons"/>
    <n v="4.58"/>
    <n v="7"/>
    <n v="5"/>
  </r>
  <r>
    <x v="55"/>
    <x v="55"/>
    <n v="35979"/>
    <n v="7058"/>
    <s v="Tons"/>
    <s v="5,097.62"/>
    <s v=" Tons"/>
    <n v="1.78"/>
    <n v="5"/>
    <n v="1"/>
  </r>
  <r>
    <x v="56"/>
    <x v="56"/>
    <n v="21650"/>
    <n v="6298"/>
    <s v="Tons"/>
    <s v="3,437.6"/>
    <s v=" Tons"/>
    <n v="4.8600000000000003"/>
    <n v="-8"/>
    <n v="-8"/>
  </r>
  <r>
    <x v="57"/>
    <x v="57"/>
    <n v="20285"/>
    <n v="5817"/>
    <s v="Tons"/>
    <s v="3,487.19"/>
    <s v=" Tons"/>
    <n v="7.89"/>
    <n v="-5"/>
    <n v="-6"/>
  </r>
  <r>
    <x v="58"/>
    <x v="58"/>
    <n v="19911"/>
    <n v="13083"/>
    <s v="Tons"/>
    <s v="1,521.9"/>
    <s v=" Tons"/>
    <n v="3.59"/>
    <n v="-4"/>
    <n v="3"/>
  </r>
  <r>
    <x v="59"/>
    <x v="59"/>
    <n v="15432"/>
    <n v="2124"/>
    <s v="Tons"/>
    <s v="7,265.54"/>
    <s v=" Tons"/>
    <n v="2.14"/>
    <n v="-6"/>
    <n v="-10"/>
  </r>
  <r>
    <x v="60"/>
    <x v="60"/>
    <n v="14811"/>
    <n v="2122"/>
    <s v="Tons"/>
    <s v="6,979.74"/>
    <s v=" Tons"/>
    <n v="3.47"/>
    <n v="13"/>
    <n v="10"/>
  </r>
  <r>
    <x v="61"/>
    <x v="61"/>
    <n v="14394"/>
    <n v="1403"/>
    <s v="Tons"/>
    <s v="10,259.44"/>
    <s v=" Tons"/>
    <n v="3.85"/>
    <n v="3"/>
    <n v="-2"/>
  </r>
  <r>
    <x v="62"/>
    <x v="62"/>
    <n v="11174"/>
    <n v="380"/>
    <s v="Tons"/>
    <s v="29,405.26"/>
    <s v=" Tons"/>
    <n v="3.26"/>
    <n v="-4"/>
    <n v="-11"/>
  </r>
  <r>
    <x v="63"/>
    <x v="63"/>
    <n v="10241"/>
    <n v="763"/>
    <s v="Tons"/>
    <s v="13,422.02"/>
    <s v=" Tons"/>
    <n v="1.95"/>
    <n v="10"/>
    <n v="6"/>
  </r>
  <r>
    <x v="64"/>
    <x v="64"/>
    <n v="2967"/>
    <n v="26"/>
    <s v="Tons"/>
    <s v="114,115.38"/>
    <s v=" Tons"/>
    <n v="4.08"/>
    <n v="10"/>
    <n v="-6"/>
  </r>
  <r>
    <x v="65"/>
    <x v="65"/>
    <n v="2178"/>
    <n v="83"/>
    <s v="Tons"/>
    <s v="26,240.96"/>
    <s v=" Tons"/>
    <n v="2.1800000000000002"/>
    <n v="36"/>
    <n v="45"/>
  </r>
  <r>
    <x v="66"/>
    <x v="66"/>
    <n v="840"/>
    <n v="147"/>
    <s v="Tons"/>
    <s v="5,714.29"/>
    <s v=" Tons"/>
    <n v="0.56999999999999995"/>
    <n v="45"/>
    <n v="66"/>
  </r>
  <r>
    <x v="67"/>
    <x v="67"/>
    <n v="434"/>
    <n v="123"/>
    <s v="Tons"/>
    <s v="3,528.46"/>
    <s v=" Tons"/>
    <n v="0.51"/>
    <n v="57"/>
    <n v="103"/>
  </r>
  <r>
    <x v="68"/>
    <x v="68"/>
    <n v="227"/>
    <n v="7"/>
    <s v="Tons"/>
    <s v="32,428.57"/>
    <s v=" Tons"/>
    <n v="0.19"/>
    <n v="10"/>
    <n v="18"/>
  </r>
  <r>
    <x v="69"/>
    <x v="69"/>
    <n v="57"/>
    <n v="2"/>
    <s v="Tons"/>
    <s v="28,500"/>
    <s v=" Tons"/>
    <n v="0.05"/>
    <n v="-44"/>
    <n v="-40"/>
  </r>
  <r>
    <x v="70"/>
    <x v="70"/>
    <n v="49"/>
    <n v="4"/>
    <s v="Tons"/>
    <s v="12,250"/>
    <s v=" Tons"/>
    <n v="0.06"/>
    <n v="66"/>
    <n v="18"/>
  </r>
  <r>
    <x v="71"/>
    <x v="71"/>
    <n v="22"/>
    <n v="45"/>
    <s v="Tons"/>
    <s v="488.89"/>
    <s v=" Tons"/>
    <n v="0.09"/>
    <s v="n/a"/>
    <s v="n/a"/>
  </r>
  <r>
    <x v="72"/>
    <x v="72"/>
    <n v="22837"/>
    <n v="519"/>
    <s v="Tons"/>
    <s v="44,001.93"/>
    <s v=" Tons"/>
    <n v="31.34"/>
    <n v="4"/>
    <n v="-1"/>
  </r>
  <r>
    <x v="73"/>
    <x v="73"/>
    <n v="18353"/>
    <n v="667"/>
    <s v="Tons"/>
    <s v="27,515.74"/>
    <s v=" Tons"/>
    <n v="6.42"/>
    <n v="1"/>
    <n v="7"/>
  </r>
  <r>
    <x v="74"/>
    <x v="74"/>
    <n v="11090"/>
    <n v="336"/>
    <s v="Tons"/>
    <s v="33,005.95"/>
    <s v=" Tons"/>
    <n v="3.1"/>
    <n v="4"/>
    <n v="-19"/>
  </r>
  <r>
    <x v="75"/>
    <x v="75"/>
    <n v="8757"/>
    <n v="557"/>
    <s v="Tons"/>
    <s v="15,721.72"/>
    <s v=" Tons"/>
    <n v="9.9499999999999993"/>
    <n v="25"/>
    <n v="2"/>
  </r>
  <r>
    <x v="76"/>
    <x v="76"/>
    <n v="4277"/>
    <n v="254"/>
    <s v="Tons"/>
    <s v="16,838.58"/>
    <s v=" Tons"/>
    <n v="2.94"/>
    <n v="6"/>
    <n v="6"/>
  </r>
  <r>
    <x v="77"/>
    <x v="77"/>
    <n v="1717"/>
    <n v="82"/>
    <s v="Tons"/>
    <s v="20,939.02"/>
    <s v=" Tons"/>
    <n v="6.01"/>
    <n v="-4"/>
    <n v="3"/>
  </r>
  <r>
    <x v="78"/>
    <x v="78"/>
    <n v="148"/>
    <n v="5"/>
    <s v="Tons"/>
    <s v="29,600"/>
    <s v=" Tons"/>
    <n v="8.66"/>
    <n v="-12"/>
    <n v="-4"/>
  </r>
  <r>
    <x v="79"/>
    <x v="79"/>
    <n v="112"/>
    <n v="88"/>
    <s v="Tons"/>
    <s v="1,272.73"/>
    <s v=" Tons"/>
    <n v="1.44"/>
    <n v="-4"/>
    <n v="47"/>
  </r>
  <r>
    <x v="80"/>
    <x v="80"/>
    <n v="98"/>
    <n v="63"/>
    <s v="Tons"/>
    <s v="1,555.56"/>
    <s v=" Tons"/>
    <n v="0.51"/>
    <s v="n/a"/>
    <s v="n/a"/>
  </r>
  <r>
    <x v="81"/>
    <x v="81"/>
    <n v="21444"/>
    <n v="561"/>
    <s v="Tons"/>
    <s v="38,224.6"/>
    <s v=" Tons"/>
    <n v="6.26"/>
    <n v="15"/>
    <n v="7"/>
  </r>
  <r>
    <x v="82"/>
    <x v="82"/>
    <n v="11405"/>
    <n v="3714"/>
    <s v="Tons"/>
    <s v="3,070.81"/>
    <s v=" Tons"/>
    <n v="14.81"/>
    <n v="-3"/>
    <n v="-26"/>
  </r>
  <r>
    <x v="83"/>
    <x v="83"/>
    <n v="9301"/>
    <n v="4570"/>
    <s v="Tons"/>
    <s v="2,035.23"/>
    <s v=" Tons"/>
    <n v="2.84"/>
    <n v="60"/>
    <n v="55"/>
  </r>
  <r>
    <x v="84"/>
    <x v="84"/>
    <n v="2107"/>
    <n v="285"/>
    <s v="Tons"/>
    <s v="7,392.98"/>
    <s v=" Tons"/>
    <n v="4.3899999999999997"/>
    <n v="-2"/>
    <n v="-19"/>
  </r>
  <r>
    <x v="85"/>
    <x v="85"/>
    <n v="516"/>
    <n v="55"/>
    <s v="Tons"/>
    <s v="9,381.82"/>
    <s v=" Tons"/>
    <n v="0.66"/>
    <n v="10"/>
    <n v="31"/>
  </r>
  <r>
    <x v="86"/>
    <x v="86"/>
    <n v="139"/>
    <n v="17"/>
    <s v="Tons"/>
    <s v="8,176.47"/>
    <s v=" Tons"/>
    <n v="0.49"/>
    <n v="-27"/>
    <n v="-28"/>
  </r>
  <r>
    <x v="87"/>
    <x v="87"/>
    <n v="68"/>
    <n v="6"/>
    <s v="Tons"/>
    <s v="11,333.33"/>
    <s v=" Tons"/>
    <n v="0.41"/>
    <n v="-5"/>
    <n v="16"/>
  </r>
  <r>
    <x v="88"/>
    <x v="88"/>
    <n v="32"/>
    <n v="1000"/>
    <s v="square"/>
    <s v="n/a"/>
    <s v="n/a"/>
    <n v="0.09"/>
    <n v="20"/>
    <s v="n/a"/>
  </r>
  <r>
    <x v="89"/>
    <x v="89"/>
    <n v="26"/>
    <n v="92"/>
    <s v="Tons"/>
    <s v="282.61"/>
    <s v=" Tons"/>
    <n v="0.14000000000000001"/>
    <n v="-25"/>
    <n v="-34"/>
  </r>
  <r>
    <x v="90"/>
    <x v="90"/>
    <n v="10"/>
    <n v="1"/>
    <s v="Tons"/>
    <s v="10,000"/>
    <s v=" Tons"/>
    <n v="0.3"/>
    <n v="-25"/>
    <n v="-82"/>
  </r>
  <r>
    <x v="91"/>
    <x v="91"/>
    <n v="5"/>
    <n v="2"/>
    <s v="Thousands"/>
    <s v="2,500"/>
    <s v=" Thousands"/>
    <n v="0.15"/>
    <s v="n/a"/>
    <s v="n/a"/>
  </r>
  <r>
    <x v="92"/>
    <x v="92"/>
    <n v="3"/>
    <n v="0"/>
    <s v="Tons"/>
    <s v="n/a"/>
    <s v="n/a"/>
    <n v="0.03"/>
    <s v="n/a"/>
    <s v="n/a"/>
  </r>
  <r>
    <x v="93"/>
    <x v="93"/>
    <n v="149954"/>
    <n v="20560"/>
    <s v="Tons"/>
    <s v="7,293.48"/>
    <s v=" Tons"/>
    <n v="12.3"/>
    <n v="9"/>
    <n v="-19"/>
  </r>
  <r>
    <x v="94"/>
    <x v="94"/>
    <n v="91282"/>
    <n v="44144"/>
    <s v="Tons"/>
    <s v="2,067.82"/>
    <s v=" Tons"/>
    <n v="84.7"/>
    <n v="16"/>
    <n v="-4"/>
  </r>
  <r>
    <x v="95"/>
    <x v="95"/>
    <n v="79331"/>
    <n v="17365"/>
    <s v="Tons"/>
    <s v="4,568.44"/>
    <s v=" Tons"/>
    <n v="6.53"/>
    <n v="9"/>
    <n v="23"/>
  </r>
  <r>
    <x v="96"/>
    <x v="96"/>
    <n v="26710"/>
    <n v="6773"/>
    <s v="Tons"/>
    <s v="3,943.6"/>
    <s v=" Tons"/>
    <n v="2.76"/>
    <n v="10"/>
    <n v="4"/>
  </r>
  <r>
    <x v="97"/>
    <x v="97"/>
    <n v="14932"/>
    <n v="864"/>
    <s v="Tons"/>
    <s v="17,282.41"/>
    <s v=" Tons"/>
    <n v="3.5"/>
    <n v="7"/>
    <n v="13"/>
  </r>
  <r>
    <x v="98"/>
    <x v="98"/>
    <n v="14455"/>
    <n v="1010"/>
    <s v="Tons"/>
    <s v="14,311.88"/>
    <s v=" Tons"/>
    <n v="8.31"/>
    <n v="3"/>
    <n v="-2"/>
  </r>
  <r>
    <x v="99"/>
    <x v="99"/>
    <n v="12304"/>
    <n v="1201"/>
    <s v="Tons"/>
    <s v="10,244.8"/>
    <s v=" Tons"/>
    <n v="13.84"/>
    <n v="14"/>
    <n v="23"/>
  </r>
  <r>
    <x v="100"/>
    <x v="100"/>
    <n v="7342"/>
    <n v="454825"/>
    <s v="Units"/>
    <s v="16.14"/>
    <s v=" Units"/>
    <n v="1.48"/>
    <n v="-37"/>
    <s v="n/a"/>
  </r>
  <r>
    <x v="101"/>
    <x v="101"/>
    <n v="6059"/>
    <n v="1339"/>
    <s v="Tons"/>
    <s v="4,525.02"/>
    <s v=" Tons"/>
    <n v="3.07"/>
    <n v="-10"/>
    <n v="-8"/>
  </r>
  <r>
    <x v="102"/>
    <x v="102"/>
    <n v="4609"/>
    <n v="957"/>
    <s v="Tons"/>
    <s v="4,816.09"/>
    <s v=" Tons"/>
    <n v="6.12"/>
    <n v="31"/>
    <n v="60"/>
  </r>
  <r>
    <x v="103"/>
    <x v="103"/>
    <n v="4167"/>
    <n v="263"/>
    <s v="Tons"/>
    <s v="15,844.11"/>
    <s v=" Tons"/>
    <n v="17.78"/>
    <n v="2"/>
    <n v="3"/>
  </r>
  <r>
    <x v="104"/>
    <x v="104"/>
    <n v="2617"/>
    <n v="1329"/>
    <s v="Tons"/>
    <s v="1,969.15"/>
    <s v=" Tons"/>
    <n v="4.3899999999999997"/>
    <n v="4"/>
    <n v="0"/>
  </r>
  <r>
    <x v="105"/>
    <x v="105"/>
    <n v="1135"/>
    <n v="12"/>
    <s v="Tons"/>
    <s v="94,583.33"/>
    <s v=" Tons"/>
    <n v="2.02"/>
    <n v="-18"/>
    <n v="-33"/>
  </r>
  <r>
    <x v="106"/>
    <x v="106"/>
    <n v="1012"/>
    <n v="122"/>
    <s v="Tons"/>
    <s v="8,295.08"/>
    <s v=" Tons"/>
    <n v="0.33"/>
    <n v="1"/>
    <n v="-3"/>
  </r>
  <r>
    <x v="107"/>
    <x v="107"/>
    <n v="427"/>
    <n v="322"/>
    <s v="Tons"/>
    <s v="1,326.09"/>
    <s v=" Tons"/>
    <n v="1.17"/>
    <n v="17"/>
    <n v="15"/>
  </r>
  <r>
    <x v="108"/>
    <x v="108"/>
    <n v="417"/>
    <n v="43"/>
    <s v="Tons"/>
    <s v="9,697.67"/>
    <s v=" Tons"/>
    <n v="14.69"/>
    <n v="16"/>
    <n v="26"/>
  </r>
  <r>
    <x v="109"/>
    <x v="109"/>
    <n v="267"/>
    <n v="30"/>
    <s v="Tons"/>
    <s v="8,900"/>
    <s v=" Tons"/>
    <n v="0.37"/>
    <n v="-17"/>
    <n v="-5"/>
  </r>
  <r>
    <x v="110"/>
    <x v="110"/>
    <n v="158"/>
    <n v="1717"/>
    <s v="Units"/>
    <s v="92.02"/>
    <s v=" Units"/>
    <n v="0.37"/>
    <s v="n/a"/>
    <s v="n/a"/>
  </r>
  <r>
    <x v="111"/>
    <x v="111"/>
    <n v="58"/>
    <n v="0"/>
    <s v="No"/>
    <s v="n/a"/>
    <s v="n/a"/>
    <n v="0.13"/>
    <n v="-14"/>
    <s v="n/a"/>
  </r>
  <r>
    <x v="112"/>
    <x v="112"/>
    <n v="57"/>
    <n v="9409"/>
    <s v="Units"/>
    <s v="6.06"/>
    <s v=" Units"/>
    <n v="0.08"/>
    <n v="0"/>
    <s v="n/a"/>
  </r>
  <r>
    <x v="113"/>
    <x v="113"/>
    <n v="31"/>
    <n v="1860"/>
    <s v="Units"/>
    <s v="16.67"/>
    <s v=" Units"/>
    <n v="0.05"/>
    <n v="-38"/>
    <s v="n/a"/>
  </r>
  <r>
    <x v="114"/>
    <x v="114"/>
    <n v="30"/>
    <n v="0"/>
    <s v="Tons"/>
    <s v="n/a"/>
    <s v="n/a"/>
    <n v="1.54"/>
    <n v="-4"/>
    <s v="n/a"/>
  </r>
  <r>
    <x v="115"/>
    <x v="115"/>
    <n v="1"/>
    <n v="0"/>
    <s v="Tons"/>
    <s v="n/a"/>
    <s v="n/a"/>
    <n v="0.04"/>
    <n v="-19"/>
    <s v="n/a"/>
  </r>
  <r>
    <x v="116"/>
    <x v="116"/>
    <n v="1970108"/>
    <n v="202858"/>
    <s v="Tons"/>
    <s v="9,711.76"/>
    <s v=" Tons"/>
    <n v="83.45"/>
    <n v="21"/>
    <n v="14"/>
  </r>
  <r>
    <x v="117"/>
    <x v="117"/>
    <n v="108770"/>
    <n v="10296"/>
    <s v="Tons"/>
    <s v="10,564.3"/>
    <s v=" Tons"/>
    <n v="6.34"/>
    <n v="5"/>
    <n v="-10"/>
  </r>
  <r>
    <x v="118"/>
    <x v="118"/>
    <n v="25643"/>
    <n v="2032"/>
    <s v="Tons"/>
    <s v="12,619.59"/>
    <s v=" Tons"/>
    <n v="5.74"/>
    <n v="14"/>
    <n v="19"/>
  </r>
  <r>
    <x v="119"/>
    <x v="119"/>
    <n v="14465"/>
    <n v="1298"/>
    <s v="Tons"/>
    <s v="11,144.07"/>
    <s v=" Tons"/>
    <n v="15.91"/>
    <n v="-1"/>
    <n v="1"/>
  </r>
  <r>
    <x v="120"/>
    <x v="120"/>
    <n v="14079"/>
    <n v="1181"/>
    <s v="Tons"/>
    <s v="11,921.25"/>
    <s v=" Tons"/>
    <n v="8.59"/>
    <n v="-10"/>
    <n v="-13"/>
  </r>
  <r>
    <x v="121"/>
    <x v="121"/>
    <n v="5119"/>
    <n v="667"/>
    <s v="Tons"/>
    <s v="7,674.66"/>
    <s v=" Tons"/>
    <n v="0.17"/>
    <n v="11"/>
    <n v="5"/>
  </r>
  <r>
    <x v="122"/>
    <x v="122"/>
    <n v="4512"/>
    <n v="504"/>
    <s v="Tons"/>
    <s v="8,952.38"/>
    <s v=" Tons"/>
    <n v="0.17"/>
    <n v="76"/>
    <n v="150"/>
  </r>
  <r>
    <x v="123"/>
    <x v="123"/>
    <n v="3669"/>
    <n v="210"/>
    <s v="Tons"/>
    <s v="17,471.43"/>
    <s v=" Tons"/>
    <n v="3.45"/>
    <n v="34"/>
    <n v="20"/>
  </r>
  <r>
    <x v="124"/>
    <x v="124"/>
    <n v="2318"/>
    <n v="40"/>
    <s v="Tons"/>
    <s v="57,950"/>
    <s v=" Tons"/>
    <n v="6.07"/>
    <n v="6"/>
    <n v="12"/>
  </r>
  <r>
    <x v="125"/>
    <x v="125"/>
    <n v="1764"/>
    <n v="99"/>
    <s v="Tons"/>
    <s v="17,818.18"/>
    <s v=" Tons"/>
    <n v="8.57"/>
    <n v="13"/>
    <n v="12"/>
  </r>
  <r>
    <x v="126"/>
    <x v="126"/>
    <n v="1373"/>
    <n v="113"/>
    <s v="Tons"/>
    <s v="12,150.44"/>
    <s v=" Tons"/>
    <n v="0.12"/>
    <n v="9"/>
    <n v="16"/>
  </r>
  <r>
    <x v="127"/>
    <x v="127"/>
    <n v="1175"/>
    <n v="73"/>
    <s v="Tons"/>
    <s v="16,095.89"/>
    <s v=" Tons"/>
    <n v="8.3699999999999992"/>
    <n v="42"/>
    <n v="33"/>
  </r>
  <r>
    <x v="128"/>
    <x v="128"/>
    <n v="741"/>
    <n v="31"/>
    <s v="Tons"/>
    <s v="23,903.23"/>
    <s v=" Tons"/>
    <n v="1.81"/>
    <n v="64"/>
    <n v="44"/>
  </r>
  <r>
    <x v="129"/>
    <x v="129"/>
    <n v="50"/>
    <n v="1"/>
    <s v="Tons"/>
    <s v="50,000"/>
    <s v=" Tons"/>
    <n v="0.18"/>
    <n v="7"/>
    <n v="0"/>
  </r>
  <r>
    <x v="130"/>
    <x v="130"/>
    <n v="9"/>
    <n v="0"/>
    <s v="Tons"/>
    <s v="n/a"/>
    <s v="n/a"/>
    <n v="1.61"/>
    <s v="n/a"/>
    <s v="n/a"/>
  </r>
  <r>
    <x v="131"/>
    <x v="131"/>
    <n v="9"/>
    <n v="1"/>
    <s v="Tons"/>
    <s v="9,000"/>
    <s v=" Tons"/>
    <n v="0.19"/>
    <n v="5"/>
    <n v="0"/>
  </r>
  <r>
    <x v="132"/>
    <x v="132"/>
    <n v="28468"/>
    <n v="12454"/>
    <s v="Tons"/>
    <s v="2,285.85"/>
    <s v=" Tons"/>
    <n v="0.64"/>
    <n v="23"/>
    <n v="22"/>
  </r>
  <r>
    <x v="133"/>
    <x v="133"/>
    <n v="8131"/>
    <n v="1271"/>
    <s v="Tons"/>
    <s v="6,397.32"/>
    <s v=" Tons"/>
    <n v="0.91"/>
    <n v="9"/>
    <n v="10"/>
  </r>
  <r>
    <x v="134"/>
    <x v="134"/>
    <n v="7685"/>
    <n v="360"/>
    <s v="Tons"/>
    <s v="21,347.22"/>
    <s v=" Tons"/>
    <n v="1.03"/>
    <n v="-10"/>
    <n v="-9"/>
  </r>
  <r>
    <x v="135"/>
    <x v="135"/>
    <n v="1783"/>
    <n v="90"/>
    <s v="Tons"/>
    <s v="19,811.11"/>
    <s v=" Tons"/>
    <n v="0.23"/>
    <n v="15"/>
    <n v="19"/>
  </r>
  <r>
    <x v="136"/>
    <x v="136"/>
    <n v="1561"/>
    <n v="204"/>
    <s v="Tons"/>
    <s v="7,651.96"/>
    <s v=" Tons"/>
    <n v="0.77"/>
    <n v="-9"/>
    <n v="-4"/>
  </r>
  <r>
    <x v="137"/>
    <x v="137"/>
    <n v="1067"/>
    <n v="204"/>
    <s v="Tons"/>
    <s v="5,230.39"/>
    <s v=" Tons"/>
    <n v="0.36"/>
    <n v="39"/>
    <n v="94"/>
  </r>
  <r>
    <x v="138"/>
    <x v="138"/>
    <n v="874"/>
    <n v="82"/>
    <s v="Tons"/>
    <s v="10,658.54"/>
    <s v=" Tons"/>
    <n v="0.97"/>
    <n v="4"/>
    <n v="9"/>
  </r>
  <r>
    <x v="139"/>
    <x v="139"/>
    <n v="642"/>
    <n v="24"/>
    <s v="Tons"/>
    <s v="26,750"/>
    <s v=" Tons"/>
    <n v="0.09"/>
    <n v="17"/>
    <n v="12"/>
  </r>
  <r>
    <x v="140"/>
    <x v="140"/>
    <n v="607"/>
    <n v="114"/>
    <s v="Tons"/>
    <s v="5,324.56"/>
    <s v=" Tons"/>
    <n v="3.95"/>
    <n v="4"/>
    <n v="7"/>
  </r>
  <r>
    <x v="141"/>
    <x v="141"/>
    <n v="224"/>
    <n v="6"/>
    <s v="Tons"/>
    <s v="37,333.33"/>
    <s v=" Tons"/>
    <n v="1.33"/>
    <n v="-1"/>
    <n v="-7"/>
  </r>
  <r>
    <x v="142"/>
    <x v="142"/>
    <n v="86"/>
    <n v="9"/>
    <s v="Tons"/>
    <s v="9,555.56"/>
    <s v=" Tons"/>
    <n v="7.0000000000000007E-2"/>
    <n v="-18"/>
    <n v="-16"/>
  </r>
  <r>
    <x v="143"/>
    <x v="143"/>
    <n v="59"/>
    <n v="21"/>
    <s v="Tons"/>
    <s v="2,809.52"/>
    <s v=" Tons"/>
    <n v="0"/>
    <n v="-48"/>
    <n v="-48"/>
  </r>
  <r>
    <x v="144"/>
    <x v="144"/>
    <n v="9"/>
    <n v="1"/>
    <s v="Tons"/>
    <s v="9,000"/>
    <s v=" Tons"/>
    <n v="0.1"/>
    <n v="25"/>
    <n v="0"/>
  </r>
  <r>
    <x v="145"/>
    <x v="145"/>
    <n v="3"/>
    <n v="0"/>
    <s v="Tons"/>
    <s v="n/a"/>
    <s v="n/a"/>
    <n v="0"/>
    <s v="n/a"/>
    <s v="n/a"/>
  </r>
  <r>
    <x v="146"/>
    <x v="146"/>
    <n v="1"/>
    <n v="5"/>
    <s v="Tons"/>
    <s v="200"/>
    <s v=" Tons"/>
    <n v="0"/>
    <n v="-16"/>
    <s v="n/a"/>
  </r>
  <r>
    <x v="147"/>
    <x v="147"/>
    <n v="1"/>
    <n v="0"/>
    <s v="Tons"/>
    <s v="n/a"/>
    <s v="n/a"/>
    <n v="0.06"/>
    <n v="-86"/>
    <s v="n/a"/>
  </r>
  <r>
    <x v="148"/>
    <x v="148"/>
    <n v="10469"/>
    <n v="623"/>
    <s v="Tons"/>
    <s v="16,804.17"/>
    <s v=" Tons"/>
    <n v="9.4499999999999993"/>
    <n v="7"/>
    <n v="-6"/>
  </r>
  <r>
    <x v="149"/>
    <x v="149"/>
    <n v="6751"/>
    <n v="62011477"/>
    <s v="Units"/>
    <s v="0.11"/>
    <s v=" Units"/>
    <n v="3.24"/>
    <n v="-11"/>
    <s v="n/a"/>
  </r>
  <r>
    <x v="150"/>
    <x v="150"/>
    <n v="6682"/>
    <n v="404"/>
    <s v="Tons"/>
    <s v="16,539.6"/>
    <s v=" Tons"/>
    <n v="1.22"/>
    <n v="15"/>
    <n v="18"/>
  </r>
  <r>
    <x v="151"/>
    <x v="151"/>
    <n v="636"/>
    <n v="13"/>
    <s v="Tons"/>
    <s v="48,923.08"/>
    <s v=" Tons"/>
    <n v="0.89"/>
    <n v="-2"/>
    <n v="-10"/>
  </r>
  <r>
    <x v="152"/>
    <x v="152"/>
    <n v="580"/>
    <n v="13"/>
    <s v="Tons"/>
    <s v="44,615.38"/>
    <s v=" Tons"/>
    <n v="4.58"/>
    <n v="15"/>
    <n v="6"/>
  </r>
  <r>
    <x v="153"/>
    <x v="153"/>
    <n v="317"/>
    <n v="4"/>
    <s v="Tons"/>
    <s v="79,250"/>
    <s v=" Tons"/>
    <n v="0.21"/>
    <n v="-15"/>
    <n v="-52"/>
  </r>
  <r>
    <x v="154"/>
    <x v="154"/>
    <n v="176"/>
    <n v="2"/>
    <s v="Tons"/>
    <s v="88,000"/>
    <s v=" Tons"/>
    <n v="0.13"/>
    <n v="-8"/>
    <n v="-36"/>
  </r>
  <r>
    <x v="155"/>
    <x v="155"/>
    <n v="103"/>
    <n v="13"/>
    <s v="Tons"/>
    <s v="7,923.08"/>
    <s v=" Tons"/>
    <n v="1.26"/>
    <n v="18"/>
    <n v="50"/>
  </r>
  <r>
    <x v="156"/>
    <x v="156"/>
    <n v="99"/>
    <n v="7"/>
    <s v="Tons"/>
    <s v="14,142.86"/>
    <s v=" Tons"/>
    <n v="0.83"/>
    <s v="n/a"/>
    <s v="n/a"/>
  </r>
  <r>
    <x v="157"/>
    <x v="157"/>
    <n v="26"/>
    <n v="1"/>
    <s v="Tons"/>
    <s v="26,000"/>
    <s v=" Tons"/>
    <n v="0.23"/>
    <n v="31"/>
    <s v="n/a"/>
  </r>
  <r>
    <x v="158"/>
    <x v="158"/>
    <n v="394932"/>
    <n v="0"/>
    <s v="Mixed"/>
    <s v="n/a"/>
    <s v="n/a"/>
    <n v="9.81"/>
    <n v="20"/>
    <s v="n/a"/>
  </r>
  <r>
    <x v="159"/>
    <x v="159"/>
    <n v="291214"/>
    <n v="36973"/>
    <s v="Units"/>
    <s v="7,876.4"/>
    <s v=" Units"/>
    <n v="44.56"/>
    <n v="14"/>
    <s v="n/a"/>
  </r>
  <r>
    <x v="160"/>
    <x v="160"/>
    <n v="204298"/>
    <n v="0"/>
    <s v="Mixed"/>
    <s v="n/a"/>
    <s v="n/a"/>
    <n v="4.78"/>
    <n v="45"/>
    <s v="n/a"/>
  </r>
  <r>
    <x v="161"/>
    <x v="161"/>
    <n v="184925"/>
    <n v="12578682"/>
    <s v="Units"/>
    <s v="14.7"/>
    <s v=" Units"/>
    <n v="8.66"/>
    <n v="13"/>
    <s v="n/a"/>
  </r>
  <r>
    <x v="162"/>
    <x v="162"/>
    <n v="182722"/>
    <n v="15667"/>
    <s v="Tons"/>
    <s v="11,662.86"/>
    <s v=" Tons"/>
    <n v="11.02"/>
    <n v="10"/>
    <n v="2"/>
  </r>
  <r>
    <x v="163"/>
    <x v="163"/>
    <n v="170702"/>
    <n v="5416"/>
    <s v="Tons"/>
    <s v="31,518.09"/>
    <s v=" Tons"/>
    <n v="7.08"/>
    <n v="1"/>
    <n v="6"/>
  </r>
  <r>
    <x v="164"/>
    <x v="164"/>
    <n v="167165"/>
    <n v="0"/>
    <s v="Mixed"/>
    <s v="n/a"/>
    <s v="n/a"/>
    <n v="8.4"/>
    <n v="16"/>
    <s v="n/a"/>
  </r>
  <r>
    <x v="165"/>
    <x v="165"/>
    <n v="139508"/>
    <n v="0"/>
    <s v="Mixed"/>
    <s v="n/a"/>
    <s v="n/a"/>
    <n v="9.15"/>
    <n v="-1"/>
    <s v="n/a"/>
  </r>
  <r>
    <x v="166"/>
    <x v="166"/>
    <n v="138325"/>
    <n v="0"/>
    <s v="No"/>
    <s v="n/a"/>
    <s v="n/a"/>
    <n v="6.04"/>
    <n v="9"/>
    <s v="n/a"/>
  </r>
  <r>
    <x v="167"/>
    <x v="167"/>
    <n v="137964"/>
    <n v="0"/>
    <s v="No"/>
    <s v="n/a"/>
    <s v="n/a"/>
    <n v="6.68"/>
    <n v="9"/>
    <s v="n/a"/>
  </r>
  <r>
    <x v="168"/>
    <x v="168"/>
    <n v="137503"/>
    <n v="0"/>
    <s v="Mixed"/>
    <s v="n/a"/>
    <s v="n/a"/>
    <n v="8.0500000000000007"/>
    <n v="2"/>
    <s v="n/a"/>
  </r>
  <r>
    <x v="169"/>
    <x v="169"/>
    <n v="128925"/>
    <n v="12503367"/>
    <s v="Units"/>
    <s v="10.31"/>
    <s v=" Units"/>
    <n v="12.45"/>
    <n v="37"/>
    <s v="n/a"/>
  </r>
  <r>
    <x v="170"/>
    <x v="170"/>
    <n v="122548"/>
    <n v="0"/>
    <s v="Mixed"/>
    <s v="n/a"/>
    <s v="n/a"/>
    <n v="4.2300000000000004"/>
    <n v="4"/>
    <s v="n/a"/>
  </r>
  <r>
    <x v="171"/>
    <x v="171"/>
    <n v="115622"/>
    <n v="3235"/>
    <s v="Units"/>
    <s v="35,740.96"/>
    <s v=" Units"/>
    <n v="11.18"/>
    <n v="18"/>
    <s v="n/a"/>
  </r>
  <r>
    <x v="172"/>
    <x v="172"/>
    <n v="110797"/>
    <n v="7746098"/>
    <s v="Units"/>
    <s v="14.3"/>
    <s v=" Units"/>
    <n v="12.77"/>
    <n v="7"/>
    <s v="n/a"/>
  </r>
  <r>
    <x v="173"/>
    <x v="173"/>
    <n v="97221"/>
    <n v="63006798"/>
    <s v="Units"/>
    <s v="1.54"/>
    <s v=" Units"/>
    <n v="4.24"/>
    <n v="-3"/>
    <s v="n/a"/>
  </r>
  <r>
    <x v="174"/>
    <x v="174"/>
    <n v="80883"/>
    <n v="98199"/>
    <s v="Units"/>
    <s v="823.66"/>
    <s v=" Units"/>
    <n v="12.38"/>
    <n v="-2"/>
    <s v="n/a"/>
  </r>
  <r>
    <x v="175"/>
    <x v="175"/>
    <n v="79588"/>
    <n v="1713"/>
    <s v="Units"/>
    <s v="46,461.18"/>
    <s v=" Units"/>
    <n v="16.57"/>
    <n v="-3"/>
    <s v="n/a"/>
  </r>
  <r>
    <x v="176"/>
    <x v="176"/>
    <n v="60364"/>
    <n v="12697"/>
    <s v="Units"/>
    <s v="4,754.19"/>
    <s v=" Units"/>
    <n v="20.18"/>
    <n v="21"/>
    <s v="n/a"/>
  </r>
  <r>
    <x v="177"/>
    <x v="177"/>
    <n v="60017"/>
    <n v="1396"/>
    <s v="Units"/>
    <s v="42,992.12"/>
    <s v=" Units"/>
    <n v="21.2"/>
    <n v="16"/>
    <s v="n/a"/>
  </r>
  <r>
    <x v="178"/>
    <x v="178"/>
    <n v="56645"/>
    <n v="4101"/>
    <s v="Units"/>
    <s v="13,812.48"/>
    <s v=" Units"/>
    <n v="19.66"/>
    <n v="-17"/>
    <s v="n/a"/>
  </r>
  <r>
    <x v="179"/>
    <x v="179"/>
    <n v="53677"/>
    <n v="0"/>
    <s v="Mixed"/>
    <s v="n/a"/>
    <s v="n/a"/>
    <n v="7.68"/>
    <n v="-1"/>
    <s v="n/a"/>
  </r>
  <r>
    <x v="180"/>
    <x v="180"/>
    <n v="53176"/>
    <n v="0"/>
    <s v="Mixed"/>
    <s v="n/a"/>
    <s v="n/a"/>
    <n v="5.54"/>
    <n v="19"/>
    <s v="n/a"/>
  </r>
  <r>
    <x v="181"/>
    <x v="181"/>
    <n v="45998"/>
    <n v="11413"/>
    <s v="Units"/>
    <s v="4,030.32"/>
    <s v=" Units"/>
    <n v="4.0599999999999996"/>
    <n v="19"/>
    <s v="n/a"/>
  </r>
  <r>
    <x v="182"/>
    <x v="182"/>
    <n v="42958"/>
    <n v="0"/>
    <s v="Mixed"/>
    <s v="n/a"/>
    <s v="n/a"/>
    <n v="4.45"/>
    <n v="5"/>
    <s v="n/a"/>
  </r>
  <r>
    <x v="183"/>
    <x v="183"/>
    <n v="42234"/>
    <n v="4197732"/>
    <s v="Units"/>
    <s v="10.06"/>
    <s v=" Units"/>
    <n v="1.07"/>
    <n v="32"/>
    <s v="n/a"/>
  </r>
  <r>
    <x v="184"/>
    <x v="184"/>
    <n v="40493"/>
    <n v="0"/>
    <s v="Mixed"/>
    <s v="n/a"/>
    <s v="n/a"/>
    <n v="9.65"/>
    <n v="16"/>
    <s v="n/a"/>
  </r>
  <r>
    <x v="185"/>
    <x v="185"/>
    <n v="39211"/>
    <n v="0"/>
    <s v="Mixed"/>
    <s v="n/a"/>
    <s v="n/a"/>
    <n v="10.37"/>
    <n v="29"/>
    <s v="n/a"/>
  </r>
  <r>
    <x v="186"/>
    <x v="186"/>
    <n v="37805"/>
    <n v="0"/>
    <s v="No"/>
    <s v="n/a"/>
    <s v="n/a"/>
    <n v="4.0199999999999996"/>
    <n v="4"/>
    <s v="n/a"/>
  </r>
  <r>
    <x v="187"/>
    <x v="187"/>
    <n v="36274"/>
    <n v="0"/>
    <s v="Mixed"/>
    <s v="n/a"/>
    <s v="n/a"/>
    <n v="5.33"/>
    <n v="21"/>
    <s v="n/a"/>
  </r>
  <r>
    <x v="188"/>
    <x v="188"/>
    <n v="32231"/>
    <n v="261"/>
    <s v="Units"/>
    <s v="123,490.42"/>
    <s v=" Units"/>
    <n v="19.32"/>
    <n v="20"/>
    <s v="n/a"/>
  </r>
  <r>
    <x v="189"/>
    <x v="189"/>
    <n v="29526"/>
    <n v="0"/>
    <s v="No"/>
    <s v="n/a"/>
    <s v="n/a"/>
    <n v="2.2000000000000002"/>
    <n v="9"/>
    <s v="n/a"/>
  </r>
  <r>
    <x v="190"/>
    <x v="190"/>
    <n v="27926"/>
    <n v="2989"/>
    <s v="Units"/>
    <s v="9,342.92"/>
    <s v=" Units"/>
    <n v="10.53"/>
    <n v="0"/>
    <s v="n/a"/>
  </r>
  <r>
    <x v="191"/>
    <x v="191"/>
    <n v="25288"/>
    <n v="51405"/>
    <s v="Units"/>
    <s v="491.94"/>
    <s v=" Units"/>
    <n v="0.2"/>
    <n v="17"/>
    <s v="n/a"/>
  </r>
  <r>
    <x v="192"/>
    <x v="192"/>
    <n v="24967"/>
    <n v="2562"/>
    <s v="Units"/>
    <s v="9,745.12"/>
    <s v=" Units"/>
    <n v="2.84"/>
    <n v="18"/>
    <s v="n/a"/>
  </r>
  <r>
    <x v="193"/>
    <x v="193"/>
    <n v="22549"/>
    <n v="0"/>
    <s v="Mixed"/>
    <s v="n/a"/>
    <s v="n/a"/>
    <n v="20"/>
    <n v="-5"/>
    <s v="n/a"/>
  </r>
  <r>
    <x v="194"/>
    <x v="194"/>
    <n v="21381"/>
    <n v="0"/>
    <s v="No"/>
    <s v="n/a"/>
    <s v="n/a"/>
    <n v="4.29"/>
    <n v="-9"/>
    <s v="n/a"/>
  </r>
  <r>
    <x v="195"/>
    <x v="195"/>
    <n v="20946"/>
    <n v="725"/>
    <s v="Units"/>
    <s v="28,891.03"/>
    <s v=" Units"/>
    <n v="10.14"/>
    <n v="29"/>
    <s v="n/a"/>
  </r>
  <r>
    <x v="196"/>
    <x v="196"/>
    <n v="20340"/>
    <n v="1565"/>
    <s v="Units"/>
    <s v="12,996.81"/>
    <s v=" Units"/>
    <n v="8.5500000000000007"/>
    <n v="6"/>
    <s v="n/a"/>
  </r>
  <r>
    <x v="197"/>
    <x v="197"/>
    <n v="19857"/>
    <n v="0"/>
    <s v="No"/>
    <s v="n/a"/>
    <s v="n/a"/>
    <n v="1.51"/>
    <n v="60"/>
    <s v="n/a"/>
  </r>
  <r>
    <x v="198"/>
    <x v="198"/>
    <n v="19585"/>
    <n v="0"/>
    <s v="Mixed"/>
    <s v="n/a"/>
    <s v="n/a"/>
    <n v="16.809999999999999"/>
    <n v="6"/>
    <s v="n/a"/>
  </r>
  <r>
    <x v="199"/>
    <x v="199"/>
    <n v="18211"/>
    <n v="0"/>
    <s v="Mixed"/>
    <s v="n/a"/>
    <s v="n/a"/>
    <n v="3.39"/>
    <n v="33"/>
    <s v="n/a"/>
  </r>
  <r>
    <x v="200"/>
    <x v="200"/>
    <n v="16662"/>
    <n v="529"/>
    <s v="Tons"/>
    <s v="31,497.16"/>
    <s v=" Tons"/>
    <n v="1.45"/>
    <n v="-16"/>
    <n v="-9"/>
  </r>
  <r>
    <x v="201"/>
    <x v="201"/>
    <n v="15483"/>
    <n v="9807"/>
    <s v="Units"/>
    <s v="1,578.77"/>
    <s v=" Units"/>
    <n v="5.58"/>
    <n v="4"/>
    <s v="n/a"/>
  </r>
  <r>
    <x v="202"/>
    <x v="202"/>
    <n v="15133"/>
    <n v="340"/>
    <s v="Tons"/>
    <s v="44,508.82"/>
    <s v=" Tons"/>
    <n v="8.48"/>
    <n v="5"/>
    <n v="16"/>
  </r>
  <r>
    <x v="203"/>
    <x v="203"/>
    <n v="14050"/>
    <n v="0"/>
    <s v="Mixed"/>
    <s v="n/a"/>
    <s v="n/a"/>
    <n v="2.39"/>
    <n v="6"/>
    <s v="n/a"/>
  </r>
  <r>
    <x v="204"/>
    <x v="204"/>
    <n v="11829"/>
    <n v="0"/>
    <s v="No"/>
    <s v="n/a"/>
    <s v="n/a"/>
    <n v="3.39"/>
    <n v="-9"/>
    <s v="n/a"/>
  </r>
  <r>
    <x v="205"/>
    <x v="205"/>
    <n v="11073"/>
    <n v="53"/>
    <s v="Units"/>
    <s v="208,924.53"/>
    <s v=" Units"/>
    <n v="0.92"/>
    <n v="78"/>
    <s v="n/a"/>
  </r>
  <r>
    <x v="206"/>
    <x v="206"/>
    <n v="11022"/>
    <n v="0"/>
    <s v="Mixed"/>
    <s v="n/a"/>
    <s v="n/a"/>
    <n v="3.02"/>
    <n v="7"/>
    <s v="n/a"/>
  </r>
  <r>
    <x v="207"/>
    <x v="207"/>
    <n v="8154"/>
    <n v="0"/>
    <s v="Mixed"/>
    <s v="n/a"/>
    <s v="n/a"/>
    <n v="1.1299999999999999"/>
    <n v="11"/>
    <s v="n/a"/>
  </r>
  <r>
    <x v="208"/>
    <x v="208"/>
    <n v="5886"/>
    <n v="0"/>
    <s v="No"/>
    <s v="n/a"/>
    <s v="n/a"/>
    <n v="1.53"/>
    <n v="26"/>
    <s v="n/a"/>
  </r>
  <r>
    <x v="209"/>
    <x v="209"/>
    <n v="5809"/>
    <n v="0"/>
    <s v="Mixed"/>
    <s v="n/a"/>
    <s v="n/a"/>
    <n v="5.32"/>
    <n v="-13"/>
    <s v="n/a"/>
  </r>
  <r>
    <x v="210"/>
    <x v="210"/>
    <n v="5373"/>
    <n v="21572"/>
    <s v="Units"/>
    <s v="249.07"/>
    <s v=" Units"/>
    <n v="4.08"/>
    <n v="21"/>
    <s v="n/a"/>
  </r>
  <r>
    <x v="211"/>
    <x v="211"/>
    <n v="4530"/>
    <n v="0"/>
    <s v="No"/>
    <s v="n/a"/>
    <s v="n/a"/>
    <n v="0.65"/>
    <n v="20"/>
    <s v="n/a"/>
  </r>
  <r>
    <x v="212"/>
    <x v="212"/>
    <n v="3933"/>
    <n v="1701"/>
    <s v="Units"/>
    <s v="2,312.17"/>
    <s v=" Units"/>
    <n v="2.37"/>
    <n v="8"/>
    <s v="n/a"/>
  </r>
  <r>
    <x v="213"/>
    <x v="213"/>
    <n v="3850"/>
    <n v="199"/>
    <s v="Units"/>
    <s v="19,346.73"/>
    <s v=" Units"/>
    <n v="2.1"/>
    <n v="8"/>
    <s v="n/a"/>
  </r>
  <r>
    <x v="214"/>
    <x v="214"/>
    <n v="3578"/>
    <n v="12105"/>
    <s v="Units"/>
    <s v="295.58"/>
    <s v=" Units"/>
    <n v="2.88"/>
    <n v="97"/>
    <s v="n/a"/>
  </r>
  <r>
    <x v="215"/>
    <x v="215"/>
    <n v="3493"/>
    <n v="33"/>
    <s v="Tons"/>
    <s v="105,848.48"/>
    <s v=" Tons"/>
    <n v="4.97"/>
    <n v="29"/>
    <n v="20"/>
  </r>
  <r>
    <x v="216"/>
    <x v="216"/>
    <n v="2969"/>
    <n v="0"/>
    <s v="Mixed"/>
    <s v="n/a"/>
    <s v="n/a"/>
    <n v="5.85"/>
    <n v="-4"/>
    <s v="n/a"/>
  </r>
  <r>
    <x v="217"/>
    <x v="217"/>
    <n v="1804"/>
    <n v="0"/>
    <s v="No"/>
    <s v="n/a"/>
    <s v="n/a"/>
    <n v="0.52"/>
    <n v="8"/>
    <s v="n/a"/>
  </r>
  <r>
    <x v="218"/>
    <x v="218"/>
    <n v="1499"/>
    <n v="58"/>
    <s v="Units"/>
    <s v="25,844.83"/>
    <s v=" Units"/>
    <n v="0.35"/>
    <n v="-11"/>
    <s v="n/a"/>
  </r>
  <r>
    <x v="219"/>
    <x v="219"/>
    <n v="1267"/>
    <n v="0"/>
    <s v="No"/>
    <s v="n/a"/>
    <s v="n/a"/>
    <n v="7.43"/>
    <s v="n/a"/>
    <s v="n/a"/>
  </r>
  <r>
    <x v="220"/>
    <x v="220"/>
    <n v="1196"/>
    <n v="0"/>
    <s v="Mixed"/>
    <s v="n/a"/>
    <s v="n/a"/>
    <n v="1.22"/>
    <n v="-14"/>
    <s v="n/a"/>
  </r>
  <r>
    <x v="221"/>
    <x v="221"/>
    <n v="1185"/>
    <n v="0"/>
    <s v="Mixed"/>
    <s v="n/a"/>
    <s v="n/a"/>
    <n v="0.6"/>
    <n v="22"/>
    <s v="n/a"/>
  </r>
  <r>
    <x v="222"/>
    <x v="222"/>
    <n v="1141"/>
    <n v="0"/>
    <s v="Mixed"/>
    <s v="n/a"/>
    <s v="n/a"/>
    <n v="6.31"/>
    <n v="71"/>
    <s v="n/a"/>
  </r>
  <r>
    <x v="223"/>
    <x v="223"/>
    <n v="1070"/>
    <n v="1248"/>
    <s v="Units"/>
    <s v="857.37"/>
    <s v=" Units"/>
    <n v="0.62"/>
    <n v="0"/>
    <s v="n/a"/>
  </r>
  <r>
    <x v="224"/>
    <x v="224"/>
    <n v="663"/>
    <n v="16032"/>
    <s v="Units"/>
    <s v="41.35"/>
    <s v=" Units"/>
    <n v="1.1000000000000001"/>
    <n v="-4"/>
    <n v="-6"/>
  </r>
  <r>
    <x v="225"/>
    <x v="225"/>
    <n v="518"/>
    <n v="0"/>
    <s v="No"/>
    <s v="n/a"/>
    <s v="n/a"/>
    <n v="0.28000000000000003"/>
    <n v="-33"/>
    <s v="n/a"/>
  </r>
  <r>
    <x v="226"/>
    <x v="226"/>
    <n v="508"/>
    <n v="69644"/>
    <s v="Units"/>
    <s v="7.29"/>
    <s v=" Units"/>
    <n v="0.4"/>
    <n v="-33"/>
    <s v="n/a"/>
  </r>
  <r>
    <x v="227"/>
    <x v="227"/>
    <n v="397"/>
    <n v="9"/>
    <s v="Tons"/>
    <s v="44,111.11"/>
    <s v=" Tons"/>
    <n v="0.76"/>
    <n v="3"/>
    <n v="4"/>
  </r>
  <r>
    <x v="228"/>
    <x v="228"/>
    <n v="372"/>
    <n v="0"/>
    <s v="Mixed"/>
    <s v="n/a"/>
    <s v="n/a"/>
    <n v="0.49"/>
    <n v="-34"/>
    <s v="n/a"/>
  </r>
  <r>
    <x v="229"/>
    <x v="229"/>
    <n v="354"/>
    <n v="0"/>
    <s v="No"/>
    <s v="n/a"/>
    <s v="n/a"/>
    <n v="0.21"/>
    <n v="8"/>
    <s v="n/a"/>
  </r>
  <r>
    <x v="230"/>
    <x v="230"/>
    <n v="170"/>
    <n v="0"/>
    <s v="No"/>
    <s v="n/a"/>
    <s v="n/a"/>
    <n v="0.16"/>
    <n v="174"/>
    <s v="n/a"/>
  </r>
  <r>
    <x v="231"/>
    <x v="231"/>
    <n v="118"/>
    <n v="0"/>
    <s v="Mixed"/>
    <s v="n/a"/>
    <s v="n/a"/>
    <n v="0.06"/>
    <n v="-21"/>
    <s v="n/a"/>
  </r>
  <r>
    <x v="232"/>
    <x v="232"/>
    <n v="69"/>
    <n v="2"/>
    <s v="Tons"/>
    <s v="34,500"/>
    <s v=" Tons"/>
    <n v="0.33"/>
    <n v="4"/>
    <n v="0"/>
  </r>
  <r>
    <x v="233"/>
    <x v="233"/>
    <n v="41"/>
    <n v="22"/>
    <s v="Units"/>
    <s v="1,863.64"/>
    <s v=" Units"/>
    <n v="0.1"/>
    <n v="-43"/>
    <s v="n/a"/>
  </r>
  <r>
    <x v="234"/>
    <x v="234"/>
    <n v="35"/>
    <n v="0"/>
    <s v="No"/>
    <s v="n/a"/>
    <s v="n/a"/>
    <n v="0.18"/>
    <n v="26"/>
    <s v="n/a"/>
  </r>
  <r>
    <x v="235"/>
    <x v="235"/>
    <n v="15"/>
    <n v="0"/>
    <s v="Tons"/>
    <s v="n/a"/>
    <s v="n/a"/>
    <n v="0.02"/>
    <n v="-79"/>
    <s v="n/a"/>
  </r>
  <r>
    <x v="236"/>
    <x v="236"/>
    <n v="9"/>
    <n v="0"/>
    <s v="Tons"/>
    <s v="n/a"/>
    <s v="n/a"/>
    <n v="0.2"/>
    <n v="-42"/>
    <s v="n/a"/>
  </r>
  <r>
    <x v="237"/>
    <x v="237"/>
    <n v="6"/>
    <n v="0"/>
    <s v="Tons"/>
    <s v="n/a"/>
    <s v="n/a"/>
    <n v="0.01"/>
    <n v="-83"/>
    <s v="n/a"/>
  </r>
  <r>
    <x v="238"/>
    <x v="238"/>
    <n v="1"/>
    <n v="0"/>
    <s v="Tons"/>
    <s v="n/a"/>
    <s v="n/a"/>
    <n v="0"/>
    <s v="n/a"/>
    <s v="n/a"/>
  </r>
</pivotCacheRecords>
</file>

<file path=xl/pivotCache/pivotCacheRecords6.xml><?xml version="1.0" encoding="utf-8"?>
<pivotCacheRecords xmlns="http://schemas.openxmlformats.org/spreadsheetml/2006/main" xmlns:r="http://schemas.openxmlformats.org/officeDocument/2006/relationships" count="234">
  <r>
    <x v="0"/>
    <x v="0"/>
    <n v="306416"/>
    <n v="711590"/>
    <s v="Units"/>
    <s v="430.61"/>
    <s v="Units"/>
    <n v="0.91"/>
    <n v="10"/>
    <s v="n/a"/>
  </r>
  <r>
    <x v="1"/>
    <x v="1"/>
    <n v="46314"/>
    <n v="527861000"/>
    <s v="Meters"/>
    <s v="877.39"/>
    <s v="1000 meters"/>
    <n v="1.68"/>
    <n v="8"/>
    <s v="n/a"/>
  </r>
  <r>
    <x v="2"/>
    <x v="2"/>
    <n v="35036"/>
    <n v="0"/>
    <s v="Mixed"/>
    <s v=""/>
    <s v=""/>
    <n v="1.1200000000000001"/>
    <n v="33"/>
    <s v="n/a"/>
  </r>
  <r>
    <x v="3"/>
    <x v="3"/>
    <n v="34910"/>
    <n v="0"/>
    <s v="Mixed"/>
    <s v=""/>
    <s v=""/>
    <n v="7.29"/>
    <n v="32"/>
    <s v="n/a"/>
  </r>
  <r>
    <x v="4"/>
    <x v="4"/>
    <n v="26265"/>
    <n v="53033"/>
    <s v="Units"/>
    <s v="495.26"/>
    <s v="Units"/>
    <n v="3.62"/>
    <n v="40"/>
    <s v="n/a"/>
  </r>
  <r>
    <x v="5"/>
    <x v="5"/>
    <n v="21749"/>
    <n v="156753"/>
    <s v="Units"/>
    <s v="138.75"/>
    <s v="Units"/>
    <n v="72.03"/>
    <n v="343"/>
    <s v="n/a"/>
  </r>
  <r>
    <x v="6"/>
    <x v="6"/>
    <n v="20424"/>
    <n v="201240"/>
    <s v="Units"/>
    <s v="101.49"/>
    <s v="Units"/>
    <n v="10.66"/>
    <n v="148"/>
    <s v="n/a"/>
  </r>
  <r>
    <x v="7"/>
    <x v="7"/>
    <n v="18855"/>
    <n v="5648"/>
    <s v="Tons"/>
    <s v="3,338.35"/>
    <s v="Tons"/>
    <n v="7.07"/>
    <n v="34"/>
    <n v="50"/>
  </r>
  <r>
    <x v="8"/>
    <x v="8"/>
    <n v="15173"/>
    <n v="144"/>
    <s v="Tons"/>
    <s v="105,368.06"/>
    <s v="Tons"/>
    <n v="1.44"/>
    <n v="-10"/>
    <n v="-7"/>
  </r>
  <r>
    <x v="9"/>
    <x v="9"/>
    <n v="10015"/>
    <n v="0"/>
    <s v="No"/>
    <s v=""/>
    <s v=""/>
    <n v="0.68"/>
    <n v="-2"/>
    <s v="n/a"/>
  </r>
  <r>
    <x v="10"/>
    <x v="10"/>
    <n v="7953"/>
    <n v="0"/>
    <s v="No"/>
    <s v=""/>
    <s v=""/>
    <n v="0.9"/>
    <n v="5"/>
    <s v="n/a"/>
  </r>
  <r>
    <x v="11"/>
    <x v="11"/>
    <n v="7062"/>
    <n v="0"/>
    <s v="Mixed"/>
    <s v=""/>
    <s v=""/>
    <n v="2.36"/>
    <n v="-4"/>
    <s v="n/a"/>
  </r>
  <r>
    <x v="12"/>
    <x v="12"/>
    <n v="4471"/>
    <n v="294294"/>
    <s v="Units"/>
    <s v="15.19"/>
    <s v="Units"/>
    <n v="0.32"/>
    <n v="0"/>
    <s v="n/a"/>
  </r>
  <r>
    <x v="13"/>
    <x v="13"/>
    <n v="3791"/>
    <n v="0"/>
    <s v="No"/>
    <s v=""/>
    <s v=""/>
    <n v="0.24"/>
    <n v="-8"/>
    <s v="n/a"/>
  </r>
  <r>
    <x v="14"/>
    <x v="14"/>
    <n v="2504"/>
    <n v="0"/>
    <s v="No"/>
    <s v=""/>
    <s v=""/>
    <n v="0.32"/>
    <n v="12"/>
    <s v="n/a"/>
  </r>
  <r>
    <x v="15"/>
    <x v="15"/>
    <n v="2410"/>
    <n v="0"/>
    <s v="No"/>
    <s v=""/>
    <s v=""/>
    <n v="0.99"/>
    <n v="25"/>
    <s v="n/a"/>
  </r>
  <r>
    <x v="16"/>
    <x v="16"/>
    <n v="1743"/>
    <n v="65"/>
    <s v="Tons"/>
    <s v="26,815.38"/>
    <s v="Tons"/>
    <n v="0.91"/>
    <n v="0"/>
    <n v="1"/>
  </r>
  <r>
    <x v="17"/>
    <x v="17"/>
    <n v="1227"/>
    <n v="0"/>
    <s v="No"/>
    <s v=""/>
    <s v=""/>
    <n v="0.09"/>
    <n v="44"/>
    <s v="n/a"/>
  </r>
  <r>
    <x v="18"/>
    <x v="18"/>
    <n v="1007"/>
    <n v="0"/>
    <s v="No"/>
    <s v=""/>
    <s v=""/>
    <n v="0.56000000000000005"/>
    <n v="29"/>
    <s v="n/a"/>
  </r>
  <r>
    <x v="19"/>
    <x v="19"/>
    <n v="802"/>
    <n v="0"/>
    <s v="No"/>
    <s v=""/>
    <s v=""/>
    <n v="0.3"/>
    <n v="7"/>
    <s v="n/a"/>
  </r>
  <r>
    <x v="20"/>
    <x v="20"/>
    <n v="713"/>
    <n v="0"/>
    <s v="No"/>
    <s v=""/>
    <s v=""/>
    <n v="1.23"/>
    <n v="12"/>
    <s v="n/a"/>
  </r>
  <r>
    <x v="21"/>
    <x v="21"/>
    <n v="628"/>
    <n v="24"/>
    <s v="Tons"/>
    <s v="26,166.67"/>
    <s v="Tons"/>
    <n v="1.04"/>
    <n v="13"/>
    <n v="14"/>
  </r>
  <r>
    <x v="22"/>
    <x v="22"/>
    <n v="539"/>
    <n v="0"/>
    <s v="No"/>
    <s v=""/>
    <s v=""/>
    <n v="0.24"/>
    <n v="6"/>
    <s v="n/a"/>
  </r>
  <r>
    <x v="23"/>
    <x v="23"/>
    <n v="512"/>
    <n v="0"/>
    <s v="No"/>
    <s v=""/>
    <s v=""/>
    <n v="18.329999999999998"/>
    <n v="170"/>
    <s v="n/a"/>
  </r>
  <r>
    <x v="24"/>
    <x v="24"/>
    <n v="491"/>
    <n v="0"/>
    <s v="No"/>
    <s v=""/>
    <s v=""/>
    <n v="0.27"/>
    <n v="46"/>
    <s v="n/a"/>
  </r>
  <r>
    <x v="25"/>
    <x v="25"/>
    <n v="372"/>
    <n v="0"/>
    <s v="No"/>
    <s v=""/>
    <s v=""/>
    <n v="0.24"/>
    <n v="-34"/>
    <s v="n/a"/>
  </r>
  <r>
    <x v="26"/>
    <x v="26"/>
    <n v="306"/>
    <n v="0"/>
    <s v="No"/>
    <s v=""/>
    <s v=""/>
    <n v="0.18"/>
    <n v="13"/>
    <s v="n/a"/>
  </r>
  <r>
    <x v="27"/>
    <x v="27"/>
    <n v="303"/>
    <n v="0"/>
    <s v="No"/>
    <s v=""/>
    <s v=""/>
    <n v="0.22"/>
    <n v="3"/>
    <s v="n/a"/>
  </r>
  <r>
    <x v="28"/>
    <x v="28"/>
    <n v="244"/>
    <n v="0"/>
    <s v="No"/>
    <s v=""/>
    <s v=""/>
    <n v="0.16"/>
    <n v="-5"/>
    <s v="n/a"/>
  </r>
  <r>
    <x v="29"/>
    <x v="29"/>
    <n v="208"/>
    <n v="0"/>
    <s v="No"/>
    <s v=""/>
    <s v=""/>
    <n v="0.24"/>
    <n v="106"/>
    <s v="n/a"/>
  </r>
  <r>
    <x v="30"/>
    <x v="30"/>
    <n v="199"/>
    <n v="0"/>
    <s v="Mixed"/>
    <s v=""/>
    <s v=""/>
    <n v="2.2000000000000002"/>
    <n v="22"/>
    <s v="n/a"/>
  </r>
  <r>
    <x v="31"/>
    <x v="31"/>
    <n v="193"/>
    <n v="0"/>
    <s v="No"/>
    <s v=""/>
    <s v=""/>
    <n v="0.21"/>
    <n v="-21"/>
    <s v="n/a"/>
  </r>
  <r>
    <x v="32"/>
    <x v="32"/>
    <n v="145"/>
    <n v="0"/>
    <s v="No"/>
    <s v=""/>
    <s v=""/>
    <n v="0.46"/>
    <n v="-38"/>
    <s v="n/a"/>
  </r>
  <r>
    <x v="33"/>
    <x v="33"/>
    <n v="82"/>
    <n v="0"/>
    <s v="No"/>
    <s v=""/>
    <s v=""/>
    <n v="0.24"/>
    <n v="-60"/>
    <s v="n/a"/>
  </r>
  <r>
    <x v="34"/>
    <x v="34"/>
    <n v="61"/>
    <n v="0"/>
    <s v="No"/>
    <s v=""/>
    <s v=""/>
    <n v="0.04"/>
    <n v="-9"/>
    <s v="n/a"/>
  </r>
  <r>
    <x v="35"/>
    <x v="35"/>
    <n v="53"/>
    <n v="0"/>
    <s v="No"/>
    <s v=""/>
    <s v=""/>
    <n v="0.02"/>
    <n v="-72"/>
    <s v="n/a"/>
  </r>
  <r>
    <x v="36"/>
    <x v="36"/>
    <n v="48"/>
    <n v="5"/>
    <s v="Tons"/>
    <s v="9,600"/>
    <s v="Tons"/>
    <n v="7.0000000000000007E-2"/>
    <n v="17"/>
    <n v="20"/>
  </r>
  <r>
    <x v="37"/>
    <x v="37"/>
    <n v="41"/>
    <n v="0"/>
    <s v="No"/>
    <s v=""/>
    <s v=""/>
    <n v="0.09"/>
    <n v="-20"/>
    <s v="n/a"/>
  </r>
  <r>
    <x v="38"/>
    <x v="38"/>
    <n v="37"/>
    <n v="0"/>
    <s v="No"/>
    <s v=""/>
    <s v=""/>
    <n v="0.49"/>
    <n v="-11"/>
    <s v="n/a"/>
  </r>
  <r>
    <x v="39"/>
    <x v="39"/>
    <n v="27"/>
    <n v="0"/>
    <s v="No"/>
    <s v=""/>
    <s v=""/>
    <n v="1.07"/>
    <n v="-13"/>
    <s v="n/a"/>
  </r>
  <r>
    <x v="40"/>
    <x v="40"/>
    <n v="25"/>
    <n v="0"/>
    <s v="No"/>
    <s v=""/>
    <s v=""/>
    <n v="0.03"/>
    <n v="44"/>
    <s v="n/a"/>
  </r>
  <r>
    <x v="41"/>
    <x v="41"/>
    <n v="9"/>
    <n v="0"/>
    <s v="No"/>
    <s v=""/>
    <s v=""/>
    <n v="0.14000000000000001"/>
    <s v="n/a"/>
    <s v="n/a"/>
  </r>
  <r>
    <x v="42"/>
    <x v="42"/>
    <n v="7"/>
    <n v="2"/>
    <s v="Tons"/>
    <s v="3,500"/>
    <s v="Tons"/>
    <n v="0.05"/>
    <n v="16"/>
    <s v="n/a"/>
  </r>
  <r>
    <x v="43"/>
    <x v="43"/>
    <n v="6"/>
    <n v="0"/>
    <s v="No"/>
    <s v=""/>
    <s v=""/>
    <n v="0.72"/>
    <n v="49"/>
    <s v="n/a"/>
  </r>
  <r>
    <x v="44"/>
    <x v="44"/>
    <n v="4"/>
    <n v="0"/>
    <s v="No"/>
    <s v=""/>
    <s v=""/>
    <n v="0.5"/>
    <n v="6"/>
    <s v="n/a"/>
  </r>
  <r>
    <x v="45"/>
    <x v="45"/>
    <n v="3"/>
    <n v="1"/>
    <s v="Tons"/>
    <s v="3,000"/>
    <s v="Tons"/>
    <n v="0.22"/>
    <s v="n/a"/>
    <s v="n/a"/>
  </r>
  <r>
    <x v="46"/>
    <x v="46"/>
    <n v="22264"/>
    <n v="4528"/>
    <s v="Tons"/>
    <s v="4,916.96"/>
    <s v="Tons"/>
    <n v="2.5499999999999998"/>
    <n v="34"/>
    <n v="37"/>
  </r>
  <r>
    <x v="47"/>
    <x v="47"/>
    <n v="16805"/>
    <n v="839"/>
    <s v="Tons"/>
    <s v="20,029.8"/>
    <s v="Tons"/>
    <n v="5.87"/>
    <n v="24"/>
    <n v="13"/>
  </r>
  <r>
    <x v="48"/>
    <x v="48"/>
    <n v="13107"/>
    <n v="1345"/>
    <s v="Tons"/>
    <s v="9,744.98"/>
    <s v="Tons"/>
    <n v="15"/>
    <n v="30"/>
    <n v="28"/>
  </r>
  <r>
    <x v="49"/>
    <x v="49"/>
    <n v="10931"/>
    <n v="3591"/>
    <s v="Tons"/>
    <s v="3,044"/>
    <s v="Tons"/>
    <n v="0.84"/>
    <n v="27"/>
    <n v="35"/>
  </r>
  <r>
    <x v="50"/>
    <x v="50"/>
    <n v="10076"/>
    <n v="2579"/>
    <s v="Tons"/>
    <s v="3,906.94"/>
    <s v="Tons"/>
    <n v="0.81"/>
    <n v="8"/>
    <n v="18"/>
  </r>
  <r>
    <x v="51"/>
    <x v="51"/>
    <n v="9579"/>
    <n v="9533"/>
    <s v="Tons"/>
    <s v="1,004.83"/>
    <s v="Tons"/>
    <n v="1.18"/>
    <n v="-3"/>
    <n v="-2"/>
  </r>
  <r>
    <x v="52"/>
    <x v="52"/>
    <n v="5450"/>
    <n v="176"/>
    <s v="Tons"/>
    <s v="30,965.91"/>
    <s v="Tons"/>
    <n v="1.71"/>
    <n v="110"/>
    <n v="87"/>
  </r>
  <r>
    <x v="53"/>
    <x v="53"/>
    <n v="3329"/>
    <n v="1294"/>
    <s v="Tons"/>
    <s v="2,572.64"/>
    <s v="Tons"/>
    <n v="4.83"/>
    <n v="-10"/>
    <n v="-14"/>
  </r>
  <r>
    <x v="54"/>
    <x v="54"/>
    <n v="1856"/>
    <n v="488"/>
    <s v="Tons"/>
    <s v="3,803.28"/>
    <s v="Tons"/>
    <n v="2.0099999999999998"/>
    <n v="-8"/>
    <n v="-14"/>
  </r>
  <r>
    <x v="55"/>
    <x v="55"/>
    <n v="1775"/>
    <n v="1559"/>
    <s v="Tons"/>
    <s v="1,138.55"/>
    <s v="Tons"/>
    <n v="1.87"/>
    <n v="178"/>
    <n v="280"/>
  </r>
  <r>
    <x v="56"/>
    <x v="56"/>
    <n v="737"/>
    <n v="111"/>
    <s v="Tons"/>
    <s v="6,639.64"/>
    <s v="Tons"/>
    <n v="0.18"/>
    <n v="37"/>
    <n v="16"/>
  </r>
  <r>
    <x v="57"/>
    <x v="57"/>
    <n v="734"/>
    <n v="138"/>
    <s v="Tons"/>
    <s v="5,318.84"/>
    <s v="Tons"/>
    <n v="6.69"/>
    <n v="37"/>
    <n v="78"/>
  </r>
  <r>
    <x v="58"/>
    <x v="58"/>
    <n v="642"/>
    <n v="83"/>
    <s v="Tons"/>
    <s v="7,734.94"/>
    <s v="Tons"/>
    <n v="0.94"/>
    <n v="-20"/>
    <n v="23"/>
  </r>
  <r>
    <x v="59"/>
    <x v="59"/>
    <n v="528"/>
    <n v="220"/>
    <s v="Tons"/>
    <s v="2,400"/>
    <s v="Tons"/>
    <n v="0.21"/>
    <n v="-20"/>
    <n v="-14"/>
  </r>
  <r>
    <x v="60"/>
    <x v="60"/>
    <n v="496"/>
    <n v="101"/>
    <s v="Tons"/>
    <s v="4,910.89"/>
    <s v="Tons"/>
    <n v="0.24"/>
    <n v="-1"/>
    <n v="12"/>
  </r>
  <r>
    <x v="61"/>
    <x v="61"/>
    <n v="412"/>
    <n v="37"/>
    <s v="Tons"/>
    <s v="11,135.14"/>
    <s v="Tons"/>
    <n v="0.12"/>
    <n v="5"/>
    <n v="-26"/>
  </r>
  <r>
    <x v="62"/>
    <x v="62"/>
    <n v="339"/>
    <n v="93"/>
    <s v="Tons"/>
    <s v="3,645.16"/>
    <s v="Tons"/>
    <n v="0.16"/>
    <n v="-21"/>
    <n v="-25"/>
  </r>
  <r>
    <x v="63"/>
    <x v="63"/>
    <n v="294"/>
    <n v="116"/>
    <s v="Tons"/>
    <s v="2,534.48"/>
    <s v="Tons"/>
    <n v="0.53"/>
    <n v="13"/>
    <n v="20"/>
  </r>
  <r>
    <x v="64"/>
    <x v="64"/>
    <n v="274"/>
    <n v="13"/>
    <s v="Tons"/>
    <s v="21,076.92"/>
    <s v="Tons"/>
    <n v="0.14000000000000001"/>
    <n v="-36"/>
    <n v="-47"/>
  </r>
  <r>
    <x v="65"/>
    <x v="65"/>
    <n v="239"/>
    <n v="95"/>
    <s v="Tons"/>
    <s v="2,515.79"/>
    <s v="Tons"/>
    <n v="0.1"/>
    <n v="13"/>
    <n v="61"/>
  </r>
  <r>
    <x v="66"/>
    <x v="66"/>
    <n v="125"/>
    <n v="60"/>
    <s v="Tons"/>
    <s v="2,083.33"/>
    <s v="Tons"/>
    <n v="0.28000000000000003"/>
    <n v="128"/>
    <n v="227"/>
  </r>
  <r>
    <x v="67"/>
    <x v="67"/>
    <n v="75"/>
    <n v="28"/>
    <s v="Tons"/>
    <s v="2,678.57"/>
    <s v="Tons"/>
    <n v="0.02"/>
    <n v="32"/>
    <n v="-43"/>
  </r>
  <r>
    <x v="68"/>
    <x v="68"/>
    <n v="8"/>
    <n v="1"/>
    <s v="Tons"/>
    <s v="8,000"/>
    <s v="Tons"/>
    <n v="0.01"/>
    <n v="32"/>
    <s v="n/a"/>
  </r>
  <r>
    <x v="69"/>
    <x v="69"/>
    <n v="1"/>
    <n v="0"/>
    <s v="Tons"/>
    <s v=""/>
    <s v=""/>
    <n v="0.01"/>
    <s v="n/a"/>
    <s v="n/a"/>
  </r>
  <r>
    <x v="70"/>
    <x v="70"/>
    <n v="1"/>
    <n v="0"/>
    <s v="Tons"/>
    <s v=""/>
    <s v=""/>
    <n v="0"/>
    <s v="n/a"/>
    <s v="n/a"/>
  </r>
  <r>
    <x v="71"/>
    <x v="71"/>
    <n v="2928"/>
    <n v="3253"/>
    <s v="Tons"/>
    <s v="900.09"/>
    <s v="Tons"/>
    <n v="0.25"/>
    <n v="-4"/>
    <n v="-7"/>
  </r>
  <r>
    <x v="72"/>
    <x v="72"/>
    <n v="1361"/>
    <n v="9"/>
    <s v="Tons"/>
    <s v="151,222.22"/>
    <s v="Tons"/>
    <n v="7.39"/>
    <n v="-5"/>
    <n v="-31"/>
  </r>
  <r>
    <x v="73"/>
    <x v="73"/>
    <n v="1307"/>
    <n v="1448"/>
    <s v="Tons"/>
    <s v="902.62"/>
    <s v="Tons"/>
    <n v="3.46"/>
    <n v="5"/>
    <n v="12"/>
  </r>
  <r>
    <x v="74"/>
    <x v="74"/>
    <n v="821"/>
    <n v="208"/>
    <s v="Tons"/>
    <s v="3,947.12"/>
    <s v="Tons"/>
    <n v="0.61"/>
    <n v="-35"/>
    <n v="-19"/>
  </r>
  <r>
    <x v="75"/>
    <x v="75"/>
    <n v="734"/>
    <n v="101"/>
    <s v="Tons"/>
    <s v="7,267.33"/>
    <s v="Tons"/>
    <n v="0.81"/>
    <n v="-10"/>
    <n v="-7"/>
  </r>
  <r>
    <x v="76"/>
    <x v="76"/>
    <n v="388"/>
    <n v="19"/>
    <s v="Tons"/>
    <s v="20,421.05"/>
    <s v="Tons"/>
    <n v="0.55000000000000004"/>
    <n v="-5"/>
    <n v="-23"/>
  </r>
  <r>
    <x v="77"/>
    <x v="77"/>
    <n v="290"/>
    <n v="227"/>
    <s v="Tons"/>
    <s v="1,277.53"/>
    <s v="Tons"/>
    <n v="1.37"/>
    <n v="-8"/>
    <n v="-18"/>
  </r>
  <r>
    <x v="78"/>
    <x v="78"/>
    <n v="189"/>
    <n v="544"/>
    <s v="Tons"/>
    <s v="347.43"/>
    <s v="Tons"/>
    <n v="0.66"/>
    <n v="-4"/>
    <n v="-12"/>
  </r>
  <r>
    <x v="79"/>
    <x v="79"/>
    <n v="13"/>
    <n v="0"/>
    <s v="Tons"/>
    <s v=""/>
    <s v=""/>
    <n v="0.17"/>
    <n v="76"/>
    <s v="n/a"/>
  </r>
  <r>
    <x v="80"/>
    <x v="80"/>
    <n v="3"/>
    <n v="0"/>
    <s v="Tons"/>
    <s v=""/>
    <s v=""/>
    <n v="0.57999999999999996"/>
    <n v="-62"/>
    <s v="n/a"/>
  </r>
  <r>
    <x v="81"/>
    <x v="81"/>
    <n v="1"/>
    <n v="0"/>
    <s v="Tons"/>
    <s v=""/>
    <s v=""/>
    <n v="0.01"/>
    <s v="n/a"/>
    <s v="n/a"/>
  </r>
  <r>
    <x v="82"/>
    <x v="82"/>
    <n v="9577"/>
    <n v="2030"/>
    <s v="Tons"/>
    <s v="4,717.73"/>
    <s v="Tons"/>
    <n v="5.35"/>
    <n v="1"/>
    <n v="-9"/>
  </r>
  <r>
    <x v="83"/>
    <x v="83"/>
    <n v="4031"/>
    <n v="1422"/>
    <s v="Tons"/>
    <s v="2,834.74"/>
    <s v="Tons"/>
    <n v="2.0499999999999998"/>
    <n v="0"/>
    <n v="-10"/>
  </r>
  <r>
    <x v="84"/>
    <x v="84"/>
    <n v="467"/>
    <n v="1561000"/>
    <s v="square"/>
    <s v="2,993.59"/>
    <s v="1000 square meters"/>
    <n v="0.02"/>
    <n v="28"/>
    <s v="n/a"/>
  </r>
  <r>
    <x v="85"/>
    <x v="85"/>
    <n v="402"/>
    <n v="79"/>
    <s v="Tons"/>
    <s v="5,088.61"/>
    <s v="Tons"/>
    <n v="0.37"/>
    <n v="-17"/>
    <n v="-53"/>
  </r>
  <r>
    <x v="86"/>
    <x v="86"/>
    <n v="69"/>
    <n v="11"/>
    <s v="Tons"/>
    <s v="6,272.73"/>
    <s v="Tons"/>
    <n v="0.17"/>
    <n v="-5"/>
    <n v="-11"/>
  </r>
  <r>
    <x v="87"/>
    <x v="87"/>
    <n v="44"/>
    <n v="2"/>
    <s v="Tons"/>
    <s v="22,000"/>
    <s v="Tons"/>
    <n v="0.87"/>
    <n v="24"/>
    <n v="0"/>
  </r>
  <r>
    <x v="88"/>
    <x v="88"/>
    <n v="31"/>
    <n v="6"/>
    <s v="Tons"/>
    <s v="5,166.67"/>
    <s v="Tons"/>
    <n v="1.97"/>
    <n v="3"/>
    <n v="-21"/>
  </r>
  <r>
    <x v="89"/>
    <x v="89"/>
    <n v="22"/>
    <n v="4"/>
    <s v="Tons"/>
    <s v="5,500"/>
    <s v="Tons"/>
    <n v="0.1"/>
    <n v="-30"/>
    <n v="-17"/>
  </r>
  <r>
    <x v="90"/>
    <x v="90"/>
    <n v="8"/>
    <n v="1"/>
    <s v="Tons"/>
    <s v="8,000"/>
    <s v="Tons"/>
    <n v="0.04"/>
    <n v="58"/>
    <s v="n/a"/>
  </r>
  <r>
    <x v="91"/>
    <x v="91"/>
    <n v="44983"/>
    <n v="18949"/>
    <s v="Tons"/>
    <s v="2,373.9"/>
    <s v="Tons"/>
    <n v="3.2"/>
    <n v="9"/>
    <n v="20"/>
  </r>
  <r>
    <x v="92"/>
    <x v="92"/>
    <n v="7324"/>
    <n v="82550"/>
    <s v="Units"/>
    <s v="88.72"/>
    <s v="Units"/>
    <n v="0.4"/>
    <n v="-21"/>
    <s v="n/a"/>
  </r>
  <r>
    <x v="93"/>
    <x v="93"/>
    <n v="5131"/>
    <n v="1561"/>
    <s v="Tons"/>
    <s v="3,287"/>
    <s v="Tons"/>
    <n v="0.41"/>
    <n v="-3"/>
    <n v="4"/>
  </r>
  <r>
    <x v="94"/>
    <x v="94"/>
    <n v="2323"/>
    <n v="1770255"/>
    <s v="Units"/>
    <s v="1.31"/>
    <s v="Units"/>
    <n v="0.43"/>
    <n v="-9"/>
    <s v="n/a"/>
  </r>
  <r>
    <x v="95"/>
    <x v="95"/>
    <n v="2135"/>
    <n v="1261"/>
    <s v="Tons"/>
    <s v="1,693.1"/>
    <s v="Tons"/>
    <n v="2.2200000000000002"/>
    <n v="1"/>
    <n v="5"/>
  </r>
  <r>
    <x v="96"/>
    <x v="96"/>
    <n v="2084"/>
    <n v="42"/>
    <s v="Tons"/>
    <s v="49,619.05"/>
    <s v="Tons"/>
    <n v="0.18"/>
    <n v="0"/>
    <n v="-36"/>
  </r>
  <r>
    <x v="97"/>
    <x v="97"/>
    <n v="1829"/>
    <n v="206"/>
    <s v="Tons"/>
    <s v="8,878.64"/>
    <s v="Tons"/>
    <n v="1.8"/>
    <n v="-11"/>
    <n v="-21"/>
  </r>
  <r>
    <x v="98"/>
    <x v="98"/>
    <n v="1385"/>
    <n v="0"/>
    <s v="No"/>
    <s v=""/>
    <s v=""/>
    <n v="0.14000000000000001"/>
    <n v="-1"/>
    <s v="n/a"/>
  </r>
  <r>
    <x v="99"/>
    <x v="99"/>
    <n v="686"/>
    <n v="186"/>
    <s v="Tons"/>
    <s v="3,688.17"/>
    <s v="Tons"/>
    <n v="3.1"/>
    <n v="65"/>
    <n v="78"/>
  </r>
  <r>
    <x v="100"/>
    <x v="100"/>
    <n v="561"/>
    <n v="80"/>
    <s v="Tons"/>
    <s v="7,012.5"/>
    <s v="Tons"/>
    <n v="0.76"/>
    <n v="-4"/>
    <n v="-7"/>
  </r>
  <r>
    <x v="101"/>
    <x v="101"/>
    <n v="388"/>
    <n v="18"/>
    <s v="Tons"/>
    <s v="21,555.56"/>
    <s v="Tons"/>
    <n v="7.0000000000000007E-2"/>
    <n v="-19"/>
    <n v="-31"/>
  </r>
  <r>
    <x v="102"/>
    <x v="102"/>
    <n v="345"/>
    <n v="0"/>
    <s v="Mixed"/>
    <s v=""/>
    <s v=""/>
    <n v="1.68"/>
    <n v="7"/>
    <s v="n/a"/>
  </r>
  <r>
    <x v="103"/>
    <x v="103"/>
    <n v="286"/>
    <n v="80"/>
    <s v="Tons"/>
    <s v="3,575"/>
    <s v="Tons"/>
    <n v="0.04"/>
    <n v="-30"/>
    <n v="-17"/>
  </r>
  <r>
    <x v="104"/>
    <x v="104"/>
    <n v="233"/>
    <n v="8"/>
    <s v="Tons"/>
    <s v="29,125"/>
    <s v="Tons"/>
    <n v="2.23"/>
    <n v="0"/>
    <n v="46"/>
  </r>
  <r>
    <x v="105"/>
    <x v="105"/>
    <n v="218"/>
    <n v="18"/>
    <s v="Tons"/>
    <s v="12,111.11"/>
    <s v="Tons"/>
    <n v="0.32"/>
    <n v="66"/>
    <n v="106"/>
  </r>
  <r>
    <x v="106"/>
    <x v="106"/>
    <n v="123"/>
    <n v="43"/>
    <s v="Tons"/>
    <s v="2,860.47"/>
    <s v="Tons"/>
    <n v="0.27"/>
    <s v="n/a"/>
    <s v="n/a"/>
  </r>
  <r>
    <x v="107"/>
    <x v="107"/>
    <n v="29"/>
    <n v="1"/>
    <s v="Tons"/>
    <s v="29,000"/>
    <s v="Tons"/>
    <n v="0.02"/>
    <n v="10"/>
    <n v="-24"/>
  </r>
  <r>
    <x v="108"/>
    <x v="108"/>
    <n v="22"/>
    <n v="0"/>
    <s v="No"/>
    <s v=""/>
    <s v=""/>
    <n v="0.02"/>
    <n v="121"/>
    <s v="n/a"/>
  </r>
  <r>
    <x v="109"/>
    <x v="109"/>
    <n v="14"/>
    <n v="0"/>
    <s v="Tons"/>
    <s v=""/>
    <s v=""/>
    <n v="0.01"/>
    <n v="-56"/>
    <s v="n/a"/>
  </r>
  <r>
    <x v="110"/>
    <x v="110"/>
    <n v="6"/>
    <n v="1569"/>
    <s v="Units"/>
    <s v="3.82"/>
    <s v="Units"/>
    <n v="0.03"/>
    <s v="n/a"/>
    <s v="n/a"/>
  </r>
  <r>
    <x v="111"/>
    <x v="111"/>
    <n v="2"/>
    <n v="0"/>
    <s v="Tons"/>
    <s v=""/>
    <s v=""/>
    <n v="0.03"/>
    <s v="n/a"/>
    <s v="n/a"/>
  </r>
  <r>
    <x v="112"/>
    <x v="112"/>
    <n v="14029"/>
    <n v="1982"/>
    <s v="Tons"/>
    <s v="7,078.2"/>
    <s v="Tons"/>
    <n v="4.87"/>
    <n v="16"/>
    <n v="20"/>
  </r>
  <r>
    <x v="113"/>
    <x v="113"/>
    <n v="776"/>
    <n v="31"/>
    <s v="Tons"/>
    <s v="25,032.26"/>
    <s v="Tons"/>
    <n v="0.27"/>
    <n v="-12"/>
    <n v="-13"/>
  </r>
  <r>
    <x v="114"/>
    <x v="114"/>
    <n v="632"/>
    <n v="66"/>
    <s v="Tons"/>
    <s v="9,575.76"/>
    <s v="Tons"/>
    <n v="0.08"/>
    <n v="19"/>
    <n v="15"/>
  </r>
  <r>
    <x v="115"/>
    <x v="115"/>
    <n v="239"/>
    <n v="18"/>
    <s v="Tons"/>
    <s v="13,277.78"/>
    <s v="Tons"/>
    <n v="0.03"/>
    <n v="-5"/>
    <n v="-11"/>
  </r>
  <r>
    <x v="116"/>
    <x v="116"/>
    <n v="226"/>
    <n v="30"/>
    <s v="Tons"/>
    <s v="7,533.33"/>
    <s v="Tons"/>
    <n v="5.87"/>
    <n v="133"/>
    <s v="n/a"/>
  </r>
  <r>
    <x v="117"/>
    <x v="117"/>
    <n v="70"/>
    <n v="2"/>
    <s v="Tons"/>
    <s v="35,000"/>
    <s v="Tons"/>
    <n v="0.09"/>
    <n v="128"/>
    <n v="19"/>
  </r>
  <r>
    <x v="118"/>
    <x v="118"/>
    <n v="68"/>
    <n v="7"/>
    <s v="Tons"/>
    <s v="9,714.29"/>
    <s v="Tons"/>
    <n v="1.1399999999999999"/>
    <s v="n/a"/>
    <s v="n/a"/>
  </r>
  <r>
    <x v="119"/>
    <x v="119"/>
    <n v="63"/>
    <n v="3"/>
    <s v="Tons"/>
    <s v="21,000"/>
    <s v="Tons"/>
    <n v="0.1"/>
    <n v="4"/>
    <n v="-10"/>
  </r>
  <r>
    <x v="120"/>
    <x v="120"/>
    <n v="62"/>
    <n v="1"/>
    <s v="Tons"/>
    <s v="62,000"/>
    <s v="Tons"/>
    <n v="7.0000000000000007E-2"/>
    <s v="n/a"/>
    <s v="n/a"/>
  </r>
  <r>
    <x v="121"/>
    <x v="121"/>
    <n v="13"/>
    <n v="1"/>
    <s v="Tons"/>
    <s v="13,000"/>
    <s v="Tons"/>
    <n v="0.01"/>
    <n v="-10"/>
    <n v="0"/>
  </r>
  <r>
    <x v="122"/>
    <x v="122"/>
    <n v="7"/>
    <n v="0"/>
    <s v="Tons"/>
    <s v=""/>
    <s v=""/>
    <n v="0.01"/>
    <s v="n/a"/>
    <s v="n/a"/>
  </r>
  <r>
    <x v="123"/>
    <x v="123"/>
    <n v="7"/>
    <n v="1"/>
    <s v="Tons"/>
    <s v="7,000"/>
    <s v="Tons"/>
    <n v="0.01"/>
    <n v="57"/>
    <s v="n/a"/>
  </r>
  <r>
    <x v="124"/>
    <x v="124"/>
    <n v="2"/>
    <n v="0"/>
    <s v="Tons"/>
    <s v=""/>
    <s v=""/>
    <n v="0"/>
    <n v="-24"/>
    <s v="n/a"/>
  </r>
  <r>
    <x v="125"/>
    <x v="125"/>
    <n v="1"/>
    <n v="0"/>
    <s v="Tons"/>
    <s v=""/>
    <s v=""/>
    <n v="0"/>
    <s v="n/a"/>
    <s v="n/a"/>
  </r>
  <r>
    <x v="126"/>
    <x v="126"/>
    <n v="327365"/>
    <n v="123522"/>
    <s v="Tons"/>
    <s v="2,650.26"/>
    <s v="Tons"/>
    <n v="7.8"/>
    <n v="5"/>
    <n v="5"/>
  </r>
  <r>
    <x v="127"/>
    <x v="127"/>
    <n v="2996"/>
    <n v="81"/>
    <s v="Tons"/>
    <s v="36,987.65"/>
    <s v="Tons"/>
    <n v="0.57999999999999996"/>
    <n v="12"/>
    <n v="-5"/>
  </r>
  <r>
    <x v="128"/>
    <x v="128"/>
    <n v="2292"/>
    <n v="581"/>
    <s v="Tons"/>
    <s v="3,944.92"/>
    <s v="Tons"/>
    <n v="0.69"/>
    <n v="7"/>
    <n v="5"/>
  </r>
  <r>
    <x v="129"/>
    <x v="129"/>
    <n v="2037"/>
    <n v="764"/>
    <s v="Tons"/>
    <s v="2,666.23"/>
    <s v="Tons"/>
    <n v="5.82"/>
    <n v="452"/>
    <n v="143"/>
  </r>
  <r>
    <x v="130"/>
    <x v="130"/>
    <n v="1644"/>
    <n v="471"/>
    <s v="Tons"/>
    <s v="3,490.45"/>
    <s v="Tons"/>
    <n v="0.82"/>
    <n v="60"/>
    <n v="57"/>
  </r>
  <r>
    <x v="131"/>
    <x v="131"/>
    <n v="441"/>
    <n v="117"/>
    <s v="Tons"/>
    <s v="3,769.23"/>
    <s v="Tons"/>
    <n v="1.34"/>
    <n v="9"/>
    <n v="7"/>
  </r>
  <r>
    <x v="132"/>
    <x v="132"/>
    <n v="173"/>
    <n v="31"/>
    <s v="Tons"/>
    <s v="5,580.65"/>
    <s v="Tons"/>
    <n v="0.13"/>
    <n v="19"/>
    <n v="13"/>
  </r>
  <r>
    <x v="133"/>
    <x v="133"/>
    <n v="107"/>
    <n v="2"/>
    <s v="Tons"/>
    <s v="53,500"/>
    <s v="Tons"/>
    <n v="0.13"/>
    <n v="79"/>
    <n v="0"/>
  </r>
  <r>
    <x v="134"/>
    <x v="134"/>
    <n v="37"/>
    <n v="3"/>
    <s v="Tons"/>
    <s v="12,333.33"/>
    <s v="Tons"/>
    <n v="0.03"/>
    <n v="32"/>
    <n v="8"/>
  </r>
  <r>
    <x v="135"/>
    <x v="135"/>
    <n v="25"/>
    <n v="6"/>
    <s v="Tons"/>
    <s v="4,166.67"/>
    <s v="Tons"/>
    <n v="0"/>
    <s v="n/a"/>
    <s v="n/a"/>
  </r>
  <r>
    <x v="136"/>
    <x v="136"/>
    <n v="15"/>
    <n v="0"/>
    <s v="Tons"/>
    <s v=""/>
    <s v=""/>
    <n v="0.01"/>
    <n v="76"/>
    <s v="n/a"/>
  </r>
  <r>
    <x v="137"/>
    <x v="137"/>
    <n v="2"/>
    <n v="0"/>
    <s v="Tons"/>
    <s v=""/>
    <s v=""/>
    <n v="0.01"/>
    <s v="n/a"/>
    <s v="n/a"/>
  </r>
  <r>
    <x v="138"/>
    <x v="138"/>
    <n v="1"/>
    <n v="0"/>
    <s v="Tons"/>
    <s v=""/>
    <s v=""/>
    <n v="0.01"/>
    <s v="n/a"/>
    <s v="n/a"/>
  </r>
  <r>
    <x v="139"/>
    <x v="139"/>
    <n v="1"/>
    <n v="0"/>
    <s v="Tons"/>
    <s v=""/>
    <s v=""/>
    <n v="0"/>
    <s v="n/a"/>
    <s v="n/a"/>
  </r>
  <r>
    <x v="140"/>
    <x v="140"/>
    <n v="4267"/>
    <n v="1532714"/>
    <s v="Units"/>
    <s v="2.78"/>
    <s v="Units"/>
    <n v="3.33"/>
    <n v="7"/>
    <s v="n/a"/>
  </r>
  <r>
    <x v="141"/>
    <x v="141"/>
    <n v="842"/>
    <n v="95"/>
    <s v="Tons"/>
    <s v="8,863.16"/>
    <s v="Tons"/>
    <n v="0.19"/>
    <n v="12"/>
    <n v="1"/>
  </r>
  <r>
    <x v="142"/>
    <x v="142"/>
    <n v="353"/>
    <n v="21"/>
    <s v="Tons"/>
    <s v="16,809.52"/>
    <s v="Tons"/>
    <n v="0.99"/>
    <n v="10"/>
    <n v="-1"/>
  </r>
  <r>
    <x v="143"/>
    <x v="143"/>
    <n v="221"/>
    <n v="12"/>
    <s v="Tons"/>
    <s v="18,416.67"/>
    <s v="Tons"/>
    <n v="0.19"/>
    <n v="-11"/>
    <n v="-31"/>
  </r>
  <r>
    <x v="144"/>
    <x v="144"/>
    <n v="193"/>
    <n v="6"/>
    <s v="Tons"/>
    <s v="32,166.67"/>
    <s v="Tons"/>
    <n v="0.21"/>
    <n v="5"/>
    <n v="25"/>
  </r>
  <r>
    <x v="145"/>
    <x v="145"/>
    <n v="87"/>
    <n v="21"/>
    <s v="Tons"/>
    <s v="4,142.86"/>
    <s v="Tons"/>
    <n v="0.41"/>
    <n v="4"/>
    <n v="-3"/>
  </r>
  <r>
    <x v="146"/>
    <x v="146"/>
    <n v="50"/>
    <n v="27"/>
    <s v="Tons"/>
    <s v="1,851.85"/>
    <s v="Tons"/>
    <n v="0.04"/>
    <n v="11"/>
    <n v="21"/>
  </r>
  <r>
    <x v="147"/>
    <x v="147"/>
    <n v="14"/>
    <n v="0"/>
    <s v="Tons"/>
    <s v=""/>
    <s v=""/>
    <n v="0.17"/>
    <n v="5"/>
    <s v="n/a"/>
  </r>
  <r>
    <x v="148"/>
    <x v="148"/>
    <n v="11"/>
    <n v="0"/>
    <s v="Tons"/>
    <s v=""/>
    <s v=""/>
    <n v="0.05"/>
    <n v="-16"/>
    <s v="n/a"/>
  </r>
  <r>
    <x v="149"/>
    <x v="149"/>
    <n v="2"/>
    <n v="1"/>
    <s v="Tons"/>
    <s v="2,000"/>
    <s v="Tons"/>
    <n v="0.01"/>
    <n v="-31"/>
    <n v="0"/>
  </r>
  <r>
    <x v="150"/>
    <x v="150"/>
    <n v="326438"/>
    <n v="29"/>
    <s v="Units"/>
    <s v="11,256,482.76"/>
    <s v="Units"/>
    <n v="5.71"/>
    <n v="28"/>
    <s v="n/a"/>
  </r>
  <r>
    <x v="151"/>
    <x v="151"/>
    <n v="40397"/>
    <n v="4894"/>
    <s v="Tons"/>
    <s v="8,254.39"/>
    <s v="Tons"/>
    <n v="2.29"/>
    <n v="14"/>
    <n v="19"/>
  </r>
  <r>
    <x v="152"/>
    <x v="152"/>
    <n v="22557"/>
    <n v="0"/>
    <s v="Mixed"/>
    <s v=""/>
    <s v=""/>
    <n v="1.4"/>
    <n v="16"/>
    <s v="n/a"/>
  </r>
  <r>
    <x v="153"/>
    <x v="153"/>
    <n v="19694"/>
    <n v="769"/>
    <s v="Tons"/>
    <s v="25,609.88"/>
    <s v="Tons"/>
    <n v="0.71"/>
    <n v="-9"/>
    <n v="-13"/>
  </r>
  <r>
    <x v="154"/>
    <x v="154"/>
    <n v="19467"/>
    <n v="0"/>
    <s v="Mixed"/>
    <s v=""/>
    <s v=""/>
    <n v="4.72"/>
    <n v="-2"/>
    <s v="n/a"/>
  </r>
  <r>
    <x v="155"/>
    <x v="155"/>
    <n v="18572"/>
    <n v="4662"/>
    <s v="Units"/>
    <s v="3,983.7"/>
    <s v="Units"/>
    <n v="1.3"/>
    <n v="-3"/>
    <s v="n/a"/>
  </r>
  <r>
    <x v="156"/>
    <x v="156"/>
    <n v="17185"/>
    <n v="6400"/>
    <s v="Tons"/>
    <s v="2,685.16"/>
    <s v="Tons"/>
    <n v="1.1499999999999999"/>
    <n v="2"/>
    <n v="7"/>
  </r>
  <r>
    <x v="157"/>
    <x v="157"/>
    <n v="16911"/>
    <n v="0"/>
    <s v="Mixed"/>
    <s v=""/>
    <s v=""/>
    <n v="11.84"/>
    <n v="-36"/>
    <s v="n/a"/>
  </r>
  <r>
    <x v="158"/>
    <x v="158"/>
    <n v="14078"/>
    <n v="0"/>
    <s v="No"/>
    <s v=""/>
    <s v=""/>
    <n v="0.96"/>
    <n v="-14"/>
    <s v="n/a"/>
  </r>
  <r>
    <x v="159"/>
    <x v="159"/>
    <n v="13437"/>
    <n v="0"/>
    <s v="Mixed"/>
    <s v=""/>
    <s v=""/>
    <n v="1.68"/>
    <n v="-3"/>
    <s v="n/a"/>
  </r>
  <r>
    <x v="160"/>
    <x v="160"/>
    <n v="13041"/>
    <n v="1924457"/>
    <s v="Units"/>
    <s v="6.78"/>
    <s v="Units"/>
    <n v="0.57999999999999996"/>
    <n v="3"/>
    <s v="n/a"/>
  </r>
  <r>
    <x v="161"/>
    <x v="161"/>
    <n v="9618"/>
    <n v="255"/>
    <s v="Tons"/>
    <s v="37,717.65"/>
    <s v="Tons"/>
    <n v="4.2"/>
    <n v="2"/>
    <n v="4"/>
  </r>
  <r>
    <x v="162"/>
    <x v="162"/>
    <n v="9562"/>
    <n v="0"/>
    <s v="No"/>
    <s v=""/>
    <s v=""/>
    <n v="0.78"/>
    <n v="-11"/>
    <s v="n/a"/>
  </r>
  <r>
    <x v="163"/>
    <x v="163"/>
    <n v="8882"/>
    <n v="0"/>
    <s v="Mixed"/>
    <s v=""/>
    <s v=""/>
    <n v="10.119999999999999"/>
    <n v="7"/>
    <s v="n/a"/>
  </r>
  <r>
    <x v="164"/>
    <x v="164"/>
    <n v="7713"/>
    <n v="0"/>
    <s v="No"/>
    <s v=""/>
    <s v=""/>
    <n v="0.61"/>
    <n v="17"/>
    <s v="n/a"/>
  </r>
  <r>
    <x v="165"/>
    <x v="165"/>
    <n v="7355"/>
    <n v="0"/>
    <s v="No"/>
    <s v=""/>
    <s v=""/>
    <n v="1.56"/>
    <n v="71"/>
    <s v="n/a"/>
  </r>
  <r>
    <x v="166"/>
    <x v="166"/>
    <n v="6458"/>
    <n v="0"/>
    <s v="Mixed"/>
    <s v=""/>
    <s v=""/>
    <n v="0.72"/>
    <n v="10"/>
    <s v="n/a"/>
  </r>
  <r>
    <x v="167"/>
    <x v="167"/>
    <n v="4833"/>
    <n v="0"/>
    <s v="No"/>
    <s v=""/>
    <s v=""/>
    <n v="1.8"/>
    <n v="-8"/>
    <s v="n/a"/>
  </r>
  <r>
    <x v="168"/>
    <x v="168"/>
    <n v="4368"/>
    <n v="0"/>
    <s v="No"/>
    <s v=""/>
    <s v=""/>
    <n v="0.62"/>
    <n v="-6"/>
    <s v="n/a"/>
  </r>
  <r>
    <x v="169"/>
    <x v="169"/>
    <n v="4082"/>
    <n v="341"/>
    <s v="Tons"/>
    <s v="11,970.67"/>
    <s v="Tons"/>
    <n v="6.81"/>
    <s v="n/a"/>
    <n v="243"/>
  </r>
  <r>
    <x v="170"/>
    <x v="170"/>
    <n v="3718"/>
    <n v="65789"/>
    <s v="Units"/>
    <s v="56.51"/>
    <s v="Units"/>
    <n v="1.43"/>
    <n v="5"/>
    <s v="n/a"/>
  </r>
  <r>
    <x v="171"/>
    <x v="171"/>
    <n v="3244"/>
    <n v="0"/>
    <s v="No"/>
    <s v=""/>
    <s v=""/>
    <n v="0.24"/>
    <n v="11"/>
    <s v="n/a"/>
  </r>
  <r>
    <x v="172"/>
    <x v="172"/>
    <n v="3121"/>
    <n v="0"/>
    <s v="No"/>
    <s v=""/>
    <s v=""/>
    <n v="0.59"/>
    <n v="53"/>
    <s v="n/a"/>
  </r>
  <r>
    <x v="173"/>
    <x v="173"/>
    <n v="2866"/>
    <n v="0"/>
    <s v="No"/>
    <s v=""/>
    <s v=""/>
    <n v="0.79"/>
    <n v="5"/>
    <s v="n/a"/>
  </r>
  <r>
    <x v="174"/>
    <x v="174"/>
    <n v="2775"/>
    <n v="10"/>
    <s v="Units"/>
    <s v="277,500"/>
    <s v="Units"/>
    <n v="2.25"/>
    <n v="-13"/>
    <s v="n/a"/>
  </r>
  <r>
    <x v="175"/>
    <x v="175"/>
    <n v="1495"/>
    <n v="0"/>
    <s v="No"/>
    <s v=""/>
    <s v=""/>
    <n v="0.14000000000000001"/>
    <n v="2"/>
    <s v="n/a"/>
  </r>
  <r>
    <x v="176"/>
    <x v="176"/>
    <n v="1483"/>
    <n v="11"/>
    <s v="Tons"/>
    <s v="134,818.18"/>
    <s v="Tons"/>
    <n v="0.77"/>
    <n v="-6"/>
    <n v="-4"/>
  </r>
  <r>
    <x v="177"/>
    <x v="177"/>
    <n v="1435"/>
    <n v="220"/>
    <s v="Tons"/>
    <s v="6,522.73"/>
    <s v="Tons"/>
    <n v="0.68"/>
    <n v="42"/>
    <n v="64"/>
  </r>
  <r>
    <x v="178"/>
    <x v="178"/>
    <n v="1329"/>
    <n v="120"/>
    <s v="Tons"/>
    <s v="11,075"/>
    <s v="Tons"/>
    <n v="0.96"/>
    <n v="-50"/>
    <n v="-56"/>
  </r>
  <r>
    <x v="179"/>
    <x v="179"/>
    <n v="1304"/>
    <n v="0"/>
    <s v="No"/>
    <s v=""/>
    <s v=""/>
    <n v="0.35"/>
    <n v="93"/>
    <s v="n/a"/>
  </r>
  <r>
    <x v="180"/>
    <x v="180"/>
    <n v="1285"/>
    <n v="0"/>
    <s v="No"/>
    <s v=""/>
    <s v=""/>
    <n v="0.43"/>
    <n v="44"/>
    <s v="n/a"/>
  </r>
  <r>
    <x v="181"/>
    <x v="181"/>
    <n v="1244"/>
    <n v="6"/>
    <s v="Units"/>
    <s v="207,333.33"/>
    <s v="Units"/>
    <n v="0.88"/>
    <n v="157"/>
    <n v="56"/>
  </r>
  <r>
    <x v="182"/>
    <x v="182"/>
    <n v="1208"/>
    <n v="0"/>
    <s v="Mixed"/>
    <s v=""/>
    <s v=""/>
    <n v="2.41"/>
    <n v="78"/>
    <s v="n/a"/>
  </r>
  <r>
    <x v="183"/>
    <x v="183"/>
    <n v="1176"/>
    <n v="62"/>
    <s v="Units"/>
    <s v="18,967.74"/>
    <s v="Units"/>
    <n v="5.8"/>
    <n v="8"/>
    <n v="2"/>
  </r>
  <r>
    <x v="184"/>
    <x v="184"/>
    <n v="1138"/>
    <n v="0"/>
    <s v="No"/>
    <s v=""/>
    <s v=""/>
    <n v="0.32"/>
    <n v="9"/>
    <s v="n/a"/>
  </r>
  <r>
    <x v="185"/>
    <x v="185"/>
    <n v="891"/>
    <n v="110"/>
    <s v="Tons"/>
    <s v="8,100"/>
    <s v="Tons"/>
    <n v="0.41"/>
    <n v="61"/>
    <n v="14"/>
  </r>
  <r>
    <x v="186"/>
    <x v="186"/>
    <n v="767"/>
    <n v="152"/>
    <s v="Tons"/>
    <s v="5,046.05"/>
    <s v="Tons"/>
    <n v="4.0199999999999996"/>
    <n v="-2"/>
    <n v="5"/>
  </r>
  <r>
    <x v="187"/>
    <x v="187"/>
    <n v="589"/>
    <n v="0"/>
    <s v="Mixed"/>
    <s v=""/>
    <s v=""/>
    <n v="0.04"/>
    <n v="35"/>
    <s v="n/a"/>
  </r>
  <r>
    <x v="188"/>
    <x v="188"/>
    <n v="453"/>
    <n v="0"/>
    <s v="Mixed"/>
    <s v=""/>
    <s v=""/>
    <n v="0.84"/>
    <n v="69"/>
    <s v="n/a"/>
  </r>
  <r>
    <x v="189"/>
    <x v="189"/>
    <n v="413"/>
    <n v="152903"/>
    <s v="Units"/>
    <s v="2.7"/>
    <s v="Units"/>
    <n v="0.11"/>
    <n v="-7"/>
    <s v="n/a"/>
  </r>
  <r>
    <x v="190"/>
    <x v="190"/>
    <n v="401"/>
    <n v="0"/>
    <s v="No"/>
    <s v=""/>
    <s v=""/>
    <n v="0.56000000000000005"/>
    <n v="-14"/>
    <s v="n/a"/>
  </r>
  <r>
    <x v="191"/>
    <x v="191"/>
    <n v="356"/>
    <n v="0"/>
    <s v="No"/>
    <s v=""/>
    <s v=""/>
    <n v="0.15"/>
    <n v="13"/>
    <s v="n/a"/>
  </r>
  <r>
    <x v="192"/>
    <x v="192"/>
    <n v="314"/>
    <n v="0"/>
    <s v="No"/>
    <s v=""/>
    <s v=""/>
    <n v="0.05"/>
    <n v="4"/>
    <s v="n/a"/>
  </r>
  <r>
    <x v="193"/>
    <x v="193"/>
    <n v="203"/>
    <n v="0"/>
    <s v="No"/>
    <s v=""/>
    <s v=""/>
    <n v="0.11"/>
    <n v="3"/>
    <s v="n/a"/>
  </r>
  <r>
    <x v="194"/>
    <x v="194"/>
    <n v="198"/>
    <n v="0"/>
    <s v="No"/>
    <s v=""/>
    <s v=""/>
    <n v="0.22"/>
    <n v="-41"/>
    <s v="n/a"/>
  </r>
  <r>
    <x v="195"/>
    <x v="195"/>
    <n v="170"/>
    <n v="0"/>
    <s v="Mixed"/>
    <s v=""/>
    <s v=""/>
    <n v="0.18"/>
    <n v="103"/>
    <s v="n/a"/>
  </r>
  <r>
    <x v="196"/>
    <x v="196"/>
    <n v="167"/>
    <n v="0"/>
    <s v="No"/>
    <s v=""/>
    <s v=""/>
    <n v="0.31"/>
    <n v="64"/>
    <s v="n/a"/>
  </r>
  <r>
    <x v="197"/>
    <x v="197"/>
    <n v="161"/>
    <n v="0"/>
    <s v="No"/>
    <s v=""/>
    <s v=""/>
    <n v="0.21"/>
    <n v="55"/>
    <s v="n/a"/>
  </r>
  <r>
    <x v="198"/>
    <x v="198"/>
    <n v="160"/>
    <n v="13"/>
    <s v="Tons"/>
    <s v="12,307.69"/>
    <s v="Tons"/>
    <n v="0.53"/>
    <n v="68"/>
    <n v="48"/>
  </r>
  <r>
    <x v="199"/>
    <x v="199"/>
    <n v="149"/>
    <n v="1"/>
    <s v="Tons"/>
    <s v="149,000"/>
    <s v="Tons"/>
    <n v="0.64"/>
    <n v="11"/>
    <n v="0"/>
  </r>
  <r>
    <x v="200"/>
    <x v="200"/>
    <n v="124"/>
    <n v="0"/>
    <s v="Mixed"/>
    <s v=""/>
    <s v=""/>
    <n v="0.14000000000000001"/>
    <n v="-3"/>
    <s v="n/a"/>
  </r>
  <r>
    <x v="201"/>
    <x v="201"/>
    <n v="119"/>
    <n v="7"/>
    <s v="Units"/>
    <s v="17,000"/>
    <s v="Units"/>
    <n v="0.77"/>
    <n v="58"/>
    <s v="n/a"/>
  </r>
  <r>
    <x v="202"/>
    <x v="202"/>
    <n v="114"/>
    <n v="0"/>
    <s v="No"/>
    <s v=""/>
    <s v=""/>
    <n v="0.11"/>
    <n v="-8"/>
    <s v="n/a"/>
  </r>
  <r>
    <x v="203"/>
    <x v="203"/>
    <n v="111"/>
    <n v="0"/>
    <s v="No"/>
    <s v=""/>
    <s v=""/>
    <n v="0.47"/>
    <n v="108"/>
    <s v="n/a"/>
  </r>
  <r>
    <x v="204"/>
    <x v="204"/>
    <n v="101"/>
    <n v="9"/>
    <s v="Tons"/>
    <s v="11,222.22"/>
    <s v="Tons"/>
    <n v="0.15"/>
    <n v="-7"/>
    <n v="3"/>
  </r>
  <r>
    <x v="205"/>
    <x v="205"/>
    <n v="86"/>
    <n v="0"/>
    <s v="No"/>
    <s v=""/>
    <s v=""/>
    <n v="0.08"/>
    <n v="186"/>
    <s v="n/a"/>
  </r>
  <r>
    <x v="206"/>
    <x v="206"/>
    <n v="81"/>
    <n v="0"/>
    <s v="No"/>
    <s v=""/>
    <s v=""/>
    <n v="7.0000000000000007E-2"/>
    <n v="-34"/>
    <s v="n/a"/>
  </r>
  <r>
    <x v="207"/>
    <x v="207"/>
    <n v="62"/>
    <n v="3"/>
    <s v="Tons"/>
    <s v="20,666.67"/>
    <s v="Tons"/>
    <n v="0.26"/>
    <s v="n/a"/>
    <s v="n/a"/>
  </r>
  <r>
    <x v="208"/>
    <x v="208"/>
    <n v="52"/>
    <n v="0"/>
    <s v="No"/>
    <s v=""/>
    <s v=""/>
    <n v="0.03"/>
    <n v="-39"/>
    <s v="n/a"/>
  </r>
  <r>
    <x v="209"/>
    <x v="209"/>
    <n v="41"/>
    <n v="0"/>
    <s v="No"/>
    <s v=""/>
    <s v=""/>
    <n v="0.02"/>
    <n v="-2"/>
    <s v="n/a"/>
  </r>
  <r>
    <x v="210"/>
    <x v="210"/>
    <n v="41"/>
    <n v="0"/>
    <s v="No"/>
    <s v=""/>
    <s v=""/>
    <n v="0.05"/>
    <n v="4"/>
    <s v="n/a"/>
  </r>
  <r>
    <x v="211"/>
    <x v="211"/>
    <n v="36"/>
    <n v="0"/>
    <s v="Mixed"/>
    <s v=""/>
    <s v=""/>
    <n v="7.0000000000000007E-2"/>
    <n v="51"/>
    <s v="n/a"/>
  </r>
  <r>
    <x v="212"/>
    <x v="212"/>
    <n v="35"/>
    <n v="0"/>
    <s v="No"/>
    <s v=""/>
    <s v=""/>
    <n v="0.11"/>
    <n v="-44"/>
    <s v="n/a"/>
  </r>
  <r>
    <x v="213"/>
    <x v="213"/>
    <n v="32"/>
    <n v="0"/>
    <s v="Tons"/>
    <s v=""/>
    <s v=""/>
    <n v="0.09"/>
    <n v="117"/>
    <s v="n/a"/>
  </r>
  <r>
    <x v="214"/>
    <x v="214"/>
    <n v="29"/>
    <n v="2"/>
    <s v="Tons"/>
    <s v="14,500"/>
    <s v="Tons"/>
    <n v="0.01"/>
    <n v="-79"/>
    <n v="-84"/>
  </r>
  <r>
    <x v="215"/>
    <x v="215"/>
    <n v="28"/>
    <n v="0"/>
    <s v="No"/>
    <s v=""/>
    <s v=""/>
    <n v="0.16"/>
    <s v="n/a"/>
    <s v="n/a"/>
  </r>
  <r>
    <x v="216"/>
    <x v="216"/>
    <n v="26"/>
    <n v="0"/>
    <s v="No"/>
    <s v=""/>
    <s v=""/>
    <n v="0.11"/>
    <n v="-41"/>
    <s v="n/a"/>
  </r>
  <r>
    <x v="217"/>
    <x v="217"/>
    <n v="24"/>
    <n v="0"/>
    <s v="No"/>
    <s v=""/>
    <s v=""/>
    <n v="0.01"/>
    <n v="-2"/>
    <s v="n/a"/>
  </r>
  <r>
    <x v="218"/>
    <x v="218"/>
    <n v="21"/>
    <n v="0"/>
    <s v="No"/>
    <s v=""/>
    <s v=""/>
    <n v="0.05"/>
    <s v="n/a"/>
    <s v="n/a"/>
  </r>
  <r>
    <x v="219"/>
    <x v="219"/>
    <n v="21"/>
    <n v="0"/>
    <s v="No"/>
    <s v=""/>
    <s v=""/>
    <n v="0.02"/>
    <n v="-23"/>
    <s v="n/a"/>
  </r>
  <r>
    <x v="220"/>
    <x v="220"/>
    <n v="18"/>
    <n v="0"/>
    <s v="No"/>
    <s v=""/>
    <s v=""/>
    <n v="0.03"/>
    <n v="36"/>
    <s v="n/a"/>
  </r>
  <r>
    <x v="221"/>
    <x v="221"/>
    <n v="15"/>
    <n v="0"/>
    <s v="No"/>
    <s v=""/>
    <s v=""/>
    <n v="0.15"/>
    <n v="22"/>
    <s v="n/a"/>
  </r>
  <r>
    <x v="222"/>
    <x v="222"/>
    <n v="7"/>
    <n v="2"/>
    <s v="Tons"/>
    <s v="3,500"/>
    <s v="Tons"/>
    <n v="0.19"/>
    <s v="n/a"/>
    <s v="n/a"/>
  </r>
  <r>
    <x v="223"/>
    <x v="223"/>
    <n v="6"/>
    <n v="0"/>
    <s v="Mixed"/>
    <s v=""/>
    <s v=""/>
    <n v="0.01"/>
    <n v="-40"/>
    <s v="n/a"/>
  </r>
  <r>
    <x v="224"/>
    <x v="224"/>
    <n v="6"/>
    <n v="0"/>
    <s v="No"/>
    <s v=""/>
    <s v=""/>
    <n v="0.11"/>
    <s v="n/a"/>
    <s v="n/a"/>
  </r>
  <r>
    <x v="225"/>
    <x v="225"/>
    <n v="5"/>
    <n v="0"/>
    <s v="No"/>
    <s v=""/>
    <s v=""/>
    <n v="0.03"/>
    <s v="n/a"/>
    <s v="n/a"/>
  </r>
  <r>
    <x v="226"/>
    <x v="226"/>
    <n v="3"/>
    <n v="1"/>
    <s v="Tons"/>
    <s v="3,000"/>
    <s v="Tons"/>
    <n v="0.28000000000000003"/>
    <s v="n/a"/>
    <s v="n/a"/>
  </r>
  <r>
    <x v="227"/>
    <x v="227"/>
    <n v="2"/>
    <n v="1"/>
    <s v="Tons"/>
    <s v="2,000"/>
    <s v="Tons"/>
    <n v="0.06"/>
    <n v="-59"/>
    <n v="-29"/>
  </r>
  <r>
    <x v="228"/>
    <x v="228"/>
    <n v="2"/>
    <n v="0"/>
    <s v="Tons"/>
    <s v=""/>
    <s v=""/>
    <n v="0.01"/>
    <s v="n/a"/>
    <s v="n/a"/>
  </r>
  <r>
    <x v="229"/>
    <x v="229"/>
    <n v="2"/>
    <n v="0"/>
    <s v="No"/>
    <s v=""/>
    <s v=""/>
    <n v="0.01"/>
    <s v="n/a"/>
    <s v="n/a"/>
  </r>
  <r>
    <x v="230"/>
    <x v="230"/>
    <n v="1"/>
    <n v="0"/>
    <s v="Tons"/>
    <s v=""/>
    <s v=""/>
    <n v="0.01"/>
    <s v="n/a"/>
    <s v="n/a"/>
  </r>
  <r>
    <x v="231"/>
    <x v="231"/>
    <n v="1"/>
    <n v="0"/>
    <s v="Tons"/>
    <s v=""/>
    <s v=""/>
    <n v="0.01"/>
    <s v="n/a"/>
    <s v="n/a"/>
  </r>
  <r>
    <x v="232"/>
    <x v="232"/>
    <n v="1"/>
    <n v="0"/>
    <s v="Tons"/>
    <m/>
    <m/>
    <n v="0.13"/>
    <s v="n/a"/>
    <s v="n/a"/>
  </r>
  <r>
    <x v="233"/>
    <x v="233"/>
    <n v="1"/>
    <n v="0"/>
    <s v="Tons"/>
    <m/>
    <m/>
    <n v="0.06"/>
    <s v="n/a"/>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3" cacheId="6"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51:C60" firstHeaderRow="1" firstDataRow="1" firstDataCol="1"/>
  <pivotFields count="12">
    <pivotField numFmtId="49" showAll="0"/>
    <pivotField showAll="0"/>
    <pivotField dataField="1" numFmtId="2" showAll="0"/>
    <pivotField dataField="1" numFmtId="2" showAll="0"/>
    <pivotField dataField="1" numFmtId="2" showAll="0"/>
    <pivotField dataField="1" showAll="0"/>
    <pivotField dataField="1" showAll="0"/>
    <pivotField dataField="1" showAll="0"/>
    <pivotField dataField="1" showAll="0"/>
    <pivotField dataField="1" showAll="0"/>
    <pivotField dataField="1" showAll="0"/>
    <pivotField numFmtId="2" showAll="0"/>
  </pivotFields>
  <rowFields count="1">
    <field x="-2"/>
  </rowFields>
  <rowItems count="9">
    <i>
      <x/>
    </i>
    <i i="1">
      <x v="1"/>
    </i>
    <i i="2">
      <x v="2"/>
    </i>
    <i i="3">
      <x v="3"/>
    </i>
    <i i="4">
      <x v="4"/>
    </i>
    <i i="5">
      <x v="5"/>
    </i>
    <i i="6">
      <x v="6"/>
    </i>
    <i i="7">
      <x v="7"/>
    </i>
    <i i="8">
      <x v="8"/>
    </i>
  </rowItems>
  <colItems count="1">
    <i/>
  </colItems>
  <dataFields count="9">
    <dataField name="16" fld="2" baseField="0" baseItem="1"/>
    <dataField name="17" fld="3" baseField="0" baseItem="3"/>
    <dataField name="18" fld="4" baseField="0" baseItem="3"/>
    <dataField name="19" fld="5" baseField="0" baseItem="3"/>
    <dataField name="20" fld="6" baseField="0" baseItem="3"/>
    <dataField name="21" fld="7" baseField="0" baseItem="3"/>
    <dataField name="22" fld="8" baseField="0" baseItem="3"/>
    <dataField name="23" fld="9" baseField="0" baseItem="3"/>
    <dataField name="24" fld="10" baseField="0" baseItem="3"/>
  </dataFields>
  <chartFormats count="1">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7"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50:C59" firstHeaderRow="1" firstDataRow="1" firstDataCol="1"/>
  <pivotFields count="12">
    <pivotField numFmtId="49"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numFmtId="2" showAll="0"/>
  </pivotFields>
  <rowFields count="1">
    <field x="-2"/>
  </rowFields>
  <rowItems count="9">
    <i>
      <x/>
    </i>
    <i i="1">
      <x v="1"/>
    </i>
    <i i="2">
      <x v="2"/>
    </i>
    <i i="3">
      <x v="3"/>
    </i>
    <i i="4">
      <x v="4"/>
    </i>
    <i i="5">
      <x v="5"/>
    </i>
    <i i="6">
      <x v="6"/>
    </i>
    <i i="7">
      <x v="7"/>
    </i>
    <i i="8">
      <x v="8"/>
    </i>
  </rowItems>
  <colItems count="1">
    <i/>
  </colItems>
  <dataFields count="9">
    <dataField name="16" fld="2" baseField="0" baseItem="1"/>
    <dataField name="17" fld="3" baseField="0" baseItem="1"/>
    <dataField name="18" fld="4" baseField="0" baseItem="1"/>
    <dataField name="19" fld="5" baseField="0" baseItem="1"/>
    <dataField name="20" fld="6" baseField="0" baseItem="1"/>
    <dataField name="21" fld="7" baseField="0" baseItem="1"/>
    <dataField name="22" fld="8" baseField="0" baseItem="1"/>
    <dataField name="23" fld="9" baseField="0" baseItem="1"/>
    <dataField name="24" fld="10" baseField="0" baseItem="1"/>
  </dataFields>
  <chartFormats count="1">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HS6 Product Code">
  <location ref="B9:C20" firstHeaderRow="1" firstDataRow="1" firstDataCol="1"/>
  <pivotFields count="12">
    <pivotField axis="axisRow" numFmtId="49" showAll="0" measureFilter="1" sortType="descending">
      <items count="259">
        <item x="52"/>
        <item x="55"/>
        <item x="60"/>
        <item sd="0" x="48"/>
        <item x="58"/>
        <item x="49"/>
        <item x="54"/>
        <item x="61"/>
        <item x="51"/>
        <item x="63"/>
        <item x="59"/>
        <item x="53"/>
        <item x="67"/>
        <item x="66"/>
        <item x="73"/>
        <item x="68"/>
        <item x="64"/>
        <item x="72"/>
        <item x="56"/>
        <item x="57"/>
        <item x="65"/>
        <item x="71"/>
        <item x="62"/>
        <item x="69"/>
        <item x="70"/>
        <item x="50"/>
        <item x="83"/>
        <item x="84"/>
        <item x="75"/>
        <item x="78"/>
        <item x="77"/>
        <item x="85"/>
        <item x="86"/>
        <item x="87"/>
        <item x="82"/>
        <item x="81"/>
        <item x="80"/>
        <item x="74"/>
        <item x="79"/>
        <item x="76"/>
        <item x="100"/>
        <item x="90"/>
        <item x="89"/>
        <item x="98"/>
        <item x="96"/>
        <item x="97"/>
        <item x="95"/>
        <item x="101"/>
        <item x="88"/>
        <item x="92"/>
        <item x="93"/>
        <item x="94"/>
        <item x="99"/>
        <item x="91"/>
        <item x="125"/>
        <item x="103"/>
        <item x="123"/>
        <item x="105"/>
        <item x="126"/>
        <item x="110"/>
        <item x="106"/>
        <item x="109"/>
        <item x="116"/>
        <item x="113"/>
        <item x="118"/>
        <item x="115"/>
        <item x="127"/>
        <item x="114"/>
        <item x="108"/>
        <item x="124"/>
        <item x="121"/>
        <item x="102"/>
        <item x="112"/>
        <item x="107"/>
        <item x="119"/>
        <item x="117"/>
        <item x="120"/>
        <item x="122"/>
        <item x="111"/>
        <item x="104"/>
        <item x="142"/>
        <item x="134"/>
        <item sd="0" x="128"/>
        <item x="133"/>
        <item x="143"/>
        <item x="137"/>
        <item x="132"/>
        <item x="129"/>
        <item x="130"/>
        <item x="135"/>
        <item x="138"/>
        <item x="136"/>
        <item x="139"/>
        <item x="140"/>
        <item x="141"/>
        <item x="131"/>
        <item x="155"/>
        <item x="144"/>
        <item x="152"/>
        <item x="148"/>
        <item x="149"/>
        <item x="145"/>
        <item x="147"/>
        <item x="150"/>
        <item x="153"/>
        <item x="151"/>
        <item x="158"/>
        <item x="154"/>
        <item x="157"/>
        <item x="159"/>
        <item x="156"/>
        <item x="146"/>
        <item x="161"/>
        <item x="162"/>
        <item x="168"/>
        <item x="170"/>
        <item x="167"/>
        <item x="169"/>
        <item x="163"/>
        <item x="166"/>
        <item x="165"/>
        <item x="164"/>
        <item x="160"/>
        <item x="252"/>
        <item x="247"/>
        <item x="253"/>
        <item x="244"/>
        <item x="245"/>
        <item x="206"/>
        <item x="214"/>
        <item x="187"/>
        <item sd="0" x="175"/>
        <item x="248"/>
        <item sd="0" x="173"/>
        <item x="192"/>
        <item x="181"/>
        <item x="178"/>
        <item x="195"/>
        <item x="227"/>
        <item x="211"/>
        <item x="228"/>
        <item x="202"/>
        <item x="240"/>
        <item x="184"/>
        <item x="199"/>
        <item x="210"/>
        <item x="200"/>
        <item x="223"/>
        <item x="218"/>
        <item x="209"/>
        <item x="194"/>
        <item x="188"/>
        <item x="231"/>
        <item x="180"/>
        <item x="238"/>
        <item x="196"/>
        <item x="254"/>
        <item x="255"/>
        <item x="249"/>
        <item x="243"/>
        <item x="222"/>
        <item x="234"/>
        <item x="235"/>
        <item x="217"/>
        <item x="241"/>
        <item sd="0" x="174"/>
        <item x="226"/>
        <item x="191"/>
        <item x="183"/>
        <item x="205"/>
        <item x="207"/>
        <item x="250"/>
        <item x="246"/>
        <item x="230"/>
        <item x="219"/>
        <item x="233"/>
        <item x="197"/>
        <item x="193"/>
        <item x="203"/>
        <item sd="0" x="172"/>
        <item x="190"/>
        <item x="208"/>
        <item x="189"/>
        <item x="201"/>
        <item x="182"/>
        <item x="225"/>
        <item x="224"/>
        <item x="236"/>
        <item x="185"/>
        <item x="216"/>
        <item x="229"/>
        <item x="256"/>
        <item x="257"/>
        <item x="204"/>
        <item x="237"/>
        <item x="198"/>
        <item x="220"/>
        <item x="239"/>
        <item x="232"/>
        <item x="177"/>
        <item x="251"/>
        <item sd="0" x="171"/>
        <item x="213"/>
        <item x="176"/>
        <item x="179"/>
        <item x="186"/>
        <item x="215"/>
        <item x="242"/>
        <item x="212"/>
        <item x="221"/>
        <item x="9"/>
        <item x="39"/>
        <item x="20"/>
        <item x="3"/>
        <item x="21"/>
        <item x="32"/>
        <item x="8"/>
        <item x="41"/>
        <item x="44"/>
        <item x="47"/>
        <item x="7"/>
        <item x="18"/>
        <item x="42"/>
        <item x="24"/>
        <item x="5"/>
        <item x="27"/>
        <item x="14"/>
        <item x="31"/>
        <item x="43"/>
        <item x="38"/>
        <item x="40"/>
        <item x="19"/>
        <item x="13"/>
        <item x="10"/>
        <item x="37"/>
        <item x="36"/>
        <item x="29"/>
        <item x="25"/>
        <item x="30"/>
        <item x="33"/>
        <item x="6"/>
        <item x="17"/>
        <item x="23"/>
        <item x="35"/>
        <item sd="0" x="1"/>
        <item x="4"/>
        <item x="11"/>
        <item x="22"/>
        <item x="26"/>
        <item sd="0" x="2"/>
        <item sd="0" x="0"/>
        <item x="16"/>
        <item x="12"/>
        <item x="28"/>
        <item x="34"/>
        <item x="15"/>
        <item x="45"/>
        <item x="46"/>
        <item t="default"/>
      </items>
      <autoSortScope>
        <pivotArea dataOnly="0" outline="0" fieldPosition="0">
          <references count="1">
            <reference field="4294967294" count="1" selected="0">
              <x v="0"/>
            </reference>
          </references>
        </pivotArea>
      </autoSortScope>
    </pivotField>
    <pivotField axis="axisRow" showAll="0" measureFilter="1">
      <items count="259">
        <item x="49"/>
        <item x="238"/>
        <item x="249"/>
        <item x="195"/>
        <item x="178"/>
        <item x="157"/>
        <item x="147"/>
        <item x="153"/>
        <item x="150"/>
        <item x="149"/>
        <item x="51"/>
        <item x="124"/>
        <item x="168"/>
        <item x="62"/>
        <item x="146"/>
        <item x="81"/>
        <item x="85"/>
        <item x="82"/>
        <item x="111"/>
        <item x="104"/>
        <item x="87"/>
        <item x="50"/>
        <item x="76"/>
        <item x="204"/>
        <item x="232"/>
        <item x="207"/>
        <item x="244"/>
        <item x="179"/>
        <item x="127"/>
        <item x="148"/>
        <item x="132"/>
        <item x="162"/>
        <item x="71"/>
        <item x="169"/>
        <item x="4"/>
        <item x="235"/>
        <item x="100"/>
        <item x="70"/>
        <item x="257"/>
        <item x="240"/>
        <item x="28"/>
        <item x="154"/>
        <item x="53"/>
        <item x="253"/>
        <item x="184"/>
        <item x="91"/>
        <item x="98"/>
        <item x="95"/>
        <item x="97"/>
        <item x="92"/>
        <item x="88"/>
        <item x="108"/>
        <item x="166"/>
        <item x="114"/>
        <item x="187"/>
        <item x="118"/>
        <item x="197"/>
        <item x="135"/>
        <item x="142"/>
        <item x="136"/>
        <item x="138"/>
        <item x="129"/>
        <item x="128"/>
        <item x="134"/>
        <item x="19"/>
        <item x="199"/>
        <item x="8"/>
        <item x="22"/>
        <item x="39"/>
        <item x="27"/>
        <item x="9"/>
        <item x="47"/>
        <item x="33"/>
        <item x="5"/>
        <item x="46"/>
        <item x="35"/>
        <item x="1"/>
        <item x="6"/>
        <item x="7"/>
        <item x="34"/>
        <item x="18"/>
        <item x="16"/>
        <item x="17"/>
        <item x="30"/>
        <item x="3"/>
        <item x="21"/>
        <item x="44"/>
        <item x="0"/>
        <item x="192"/>
        <item x="80"/>
        <item x="170"/>
        <item x="167"/>
        <item x="13"/>
        <item x="163"/>
        <item x="72"/>
        <item x="209"/>
        <item x="74"/>
        <item x="227"/>
        <item x="215"/>
        <item x="101"/>
        <item x="196"/>
        <item x="246"/>
        <item x="248"/>
        <item x="24"/>
        <item x="211"/>
        <item x="12"/>
        <item x="15"/>
        <item x="66"/>
        <item x="205"/>
        <item x="190"/>
        <item x="194"/>
        <item x="189"/>
        <item x="201"/>
        <item x="203"/>
        <item x="225"/>
        <item x="224"/>
        <item x="236"/>
        <item x="182"/>
        <item x="208"/>
        <item x="230"/>
        <item x="229"/>
        <item x="234"/>
        <item x="217"/>
        <item x="251"/>
        <item x="233"/>
        <item x="220"/>
        <item x="250"/>
        <item x="177"/>
        <item x="221"/>
        <item x="241"/>
        <item x="222"/>
        <item x="202"/>
        <item x="212"/>
        <item x="171"/>
        <item x="242"/>
        <item x="239"/>
        <item x="243"/>
        <item x="226"/>
        <item x="191"/>
        <item x="172"/>
        <item x="143"/>
        <item x="200"/>
        <item x="193"/>
        <item x="31"/>
        <item x="254"/>
        <item x="75"/>
        <item x="29"/>
        <item x="68"/>
        <item x="83"/>
        <item x="213"/>
        <item x="231"/>
        <item x="121"/>
        <item x="140"/>
        <item x="78"/>
        <item x="67"/>
        <item x="252"/>
        <item x="237"/>
        <item x="131"/>
        <item x="161"/>
        <item x="86"/>
        <item x="198"/>
        <item x="40"/>
        <item x="185"/>
        <item x="20"/>
        <item x="25"/>
        <item x="175"/>
        <item x="11"/>
        <item x="180"/>
        <item x="59"/>
        <item x="145"/>
        <item x="130"/>
        <item x="57"/>
        <item x="65"/>
        <item x="54"/>
        <item x="61"/>
        <item x="52"/>
        <item x="55"/>
        <item x="60"/>
        <item x="58"/>
        <item x="48"/>
        <item x="42"/>
        <item x="152"/>
        <item x="137"/>
        <item x="255"/>
        <item x="32"/>
        <item x="23"/>
        <item x="174"/>
        <item x="245"/>
        <item x="223"/>
        <item x="181"/>
        <item x="37"/>
        <item x="117"/>
        <item x="103"/>
        <item x="36"/>
        <item x="90"/>
        <item x="228"/>
        <item x="158"/>
        <item x="116"/>
        <item x="89"/>
        <item x="96"/>
        <item x="122"/>
        <item x="102"/>
        <item x="56"/>
        <item x="188"/>
        <item x="2"/>
        <item x="219"/>
        <item x="112"/>
        <item x="125"/>
        <item x="218"/>
        <item x="164"/>
        <item x="63"/>
        <item x="77"/>
        <item x="43"/>
        <item x="214"/>
        <item x="107"/>
        <item x="99"/>
        <item x="247"/>
        <item x="206"/>
        <item x="165"/>
        <item x="119"/>
        <item x="159"/>
        <item x="139"/>
        <item x="115"/>
        <item x="109"/>
        <item x="151"/>
        <item x="120"/>
        <item x="156"/>
        <item x="141"/>
        <item x="94"/>
        <item x="69"/>
        <item x="93"/>
        <item x="113"/>
        <item x="176"/>
        <item x="14"/>
        <item x="26"/>
        <item x="216"/>
        <item x="10"/>
        <item x="186"/>
        <item x="106"/>
        <item x="126"/>
        <item x="110"/>
        <item x="123"/>
        <item x="105"/>
        <item x="64"/>
        <item x="173"/>
        <item x="256"/>
        <item x="155"/>
        <item x="41"/>
        <item x="38"/>
        <item x="45"/>
        <item x="144"/>
        <item x="133"/>
        <item x="73"/>
        <item x="183"/>
        <item x="210"/>
        <item x="160"/>
        <item x="79"/>
        <item x="84"/>
        <item t="default"/>
      </items>
    </pivotField>
    <pivotField numFmtId="2" showAll="0"/>
    <pivotField numFmtId="2" showAll="0"/>
    <pivotField numFmtId="2" showAll="0"/>
    <pivotField showAll="0"/>
    <pivotField showAll="0"/>
    <pivotField showAll="0"/>
    <pivotField showAll="0"/>
    <pivotField showAll="0"/>
    <pivotField dataField="1" showAll="0"/>
    <pivotField numFmtId="2" showAll="0"/>
  </pivotFields>
  <rowFields count="2">
    <field x="0"/>
    <field x="1"/>
  </rowFields>
  <rowItems count="11">
    <i>
      <x v="82"/>
    </i>
    <i>
      <x v="3"/>
    </i>
    <i>
      <x v="250"/>
    </i>
    <i>
      <x v="201"/>
    </i>
    <i>
      <x v="133"/>
    </i>
    <i>
      <x v="244"/>
    </i>
    <i>
      <x v="249"/>
    </i>
    <i>
      <x v="179"/>
    </i>
    <i>
      <x v="165"/>
    </i>
    <i>
      <x v="131"/>
    </i>
    <i t="grand">
      <x/>
    </i>
  </rowItems>
  <colItems count="1">
    <i/>
  </colItems>
  <dataFields count="1">
    <dataField name="Year 2024" fld="10" baseField="0" baseItem="82"/>
  </dataFields>
  <formats count="2138">
    <format dxfId="2188">
      <pivotArea field="0" type="button" dataOnly="0" labelOnly="1" outline="0" axis="axisRow" fieldPosition="0"/>
    </format>
    <format dxfId="2187">
      <pivotArea dataOnly="0" labelOnly="1" fieldPosition="0">
        <references count="1">
          <reference field="0" count="50">
            <x v="0"/>
            <x v="1"/>
            <x v="3"/>
            <x v="5"/>
            <x v="6"/>
            <x v="8"/>
            <x v="11"/>
            <x v="25"/>
            <x v="71"/>
            <x v="79"/>
            <x v="82"/>
            <x v="87"/>
            <x v="130"/>
            <x v="131"/>
            <x v="133"/>
            <x v="134"/>
            <x v="135"/>
            <x v="136"/>
            <x v="143"/>
            <x v="150"/>
            <x v="151"/>
            <x v="153"/>
            <x v="165"/>
            <x v="167"/>
            <x v="168"/>
            <x v="176"/>
            <x v="177"/>
            <x v="179"/>
            <x v="180"/>
            <x v="182"/>
            <x v="184"/>
            <x v="188"/>
            <x v="199"/>
            <x v="201"/>
            <x v="203"/>
            <x v="204"/>
            <x v="205"/>
            <x v="210"/>
            <x v="213"/>
            <x v="216"/>
            <x v="220"/>
            <x v="224"/>
            <x v="226"/>
            <x v="233"/>
            <x v="240"/>
            <x v="244"/>
            <x v="245"/>
            <x v="246"/>
            <x v="249"/>
            <x v="250"/>
          </reference>
        </references>
      </pivotArea>
    </format>
    <format dxfId="2186">
      <pivotArea dataOnly="0" labelOnly="1" fieldPosition="0">
        <references count="1">
          <reference field="0" count="50">
            <x v="2"/>
            <x v="4"/>
            <x v="7"/>
            <x v="9"/>
            <x v="10"/>
            <x v="18"/>
            <x v="19"/>
            <x v="20"/>
            <x v="22"/>
            <x v="28"/>
            <x v="37"/>
            <x v="41"/>
            <x v="42"/>
            <x v="48"/>
            <x v="55"/>
            <x v="57"/>
            <x v="61"/>
            <x v="73"/>
            <x v="86"/>
            <x v="88"/>
            <x v="90"/>
            <x v="128"/>
            <x v="137"/>
            <x v="141"/>
            <x v="144"/>
            <x v="146"/>
            <x v="148"/>
            <x v="149"/>
            <x v="155"/>
            <x v="163"/>
            <x v="169"/>
            <x v="170"/>
            <x v="174"/>
            <x v="178"/>
            <x v="183"/>
            <x v="189"/>
            <x v="193"/>
            <x v="195"/>
            <x v="202"/>
            <x v="206"/>
            <x v="212"/>
            <x v="214"/>
            <x v="221"/>
            <x v="231"/>
            <x v="232"/>
            <x v="241"/>
            <x v="247"/>
            <x v="251"/>
            <x v="252"/>
            <x v="255"/>
          </reference>
        </references>
      </pivotArea>
    </format>
    <format dxfId="2185">
      <pivotArea dataOnly="0" labelOnly="1" fieldPosition="0">
        <references count="1">
          <reference field="0" count="50">
            <x v="13"/>
            <x v="16"/>
            <x v="29"/>
            <x v="30"/>
            <x v="39"/>
            <x v="53"/>
            <x v="59"/>
            <x v="60"/>
            <x v="63"/>
            <x v="68"/>
            <x v="72"/>
            <x v="78"/>
            <x v="83"/>
            <x v="89"/>
            <x v="91"/>
            <x v="95"/>
            <x v="97"/>
            <x v="101"/>
            <x v="111"/>
            <x v="112"/>
            <x v="113"/>
            <x v="122"/>
            <x v="129"/>
            <x v="139"/>
            <x v="140"/>
            <x v="145"/>
            <x v="147"/>
            <x v="152"/>
            <x v="160"/>
            <x v="162"/>
            <x v="166"/>
            <x v="173"/>
            <x v="181"/>
            <x v="185"/>
            <x v="190"/>
            <x v="196"/>
            <x v="208"/>
            <x v="209"/>
            <x v="215"/>
            <x v="223"/>
            <x v="225"/>
            <x v="227"/>
            <x v="236"/>
            <x v="237"/>
            <x v="238"/>
            <x v="239"/>
            <x v="242"/>
            <x v="243"/>
            <x v="248"/>
            <x v="253"/>
          </reference>
        </references>
      </pivotArea>
    </format>
    <format dxfId="2184">
      <pivotArea dataOnly="0" labelOnly="1" fieldPosition="0">
        <references count="1">
          <reference field="0" count="50">
            <x v="12"/>
            <x v="15"/>
            <x v="17"/>
            <x v="23"/>
            <x v="24"/>
            <x v="36"/>
            <x v="38"/>
            <x v="49"/>
            <x v="50"/>
            <x v="62"/>
            <x v="64"/>
            <x v="65"/>
            <x v="67"/>
            <x v="75"/>
            <x v="76"/>
            <x v="85"/>
            <x v="93"/>
            <x v="96"/>
            <x v="98"/>
            <x v="99"/>
            <x v="100"/>
            <x v="102"/>
            <x v="103"/>
            <x v="104"/>
            <x v="105"/>
            <x v="107"/>
            <x v="118"/>
            <x v="119"/>
            <x v="120"/>
            <x v="121"/>
            <x v="126"/>
            <x v="127"/>
            <x v="138"/>
            <x v="142"/>
            <x v="154"/>
            <x v="158"/>
            <x v="159"/>
            <x v="161"/>
            <x v="164"/>
            <x v="186"/>
            <x v="187"/>
            <x v="194"/>
            <x v="197"/>
            <x v="198"/>
            <x v="228"/>
            <x v="229"/>
            <x v="234"/>
            <x v="235"/>
            <x v="254"/>
            <x v="257"/>
          </reference>
        </references>
      </pivotArea>
    </format>
    <format dxfId="2183">
      <pivotArea dataOnly="0" labelOnly="1" fieldPosition="0">
        <references count="1">
          <reference field="0" count="50">
            <x v="21"/>
            <x v="27"/>
            <x v="32"/>
            <x v="33"/>
            <x v="34"/>
            <x v="40"/>
            <x v="43"/>
            <x v="44"/>
            <x v="45"/>
            <x v="47"/>
            <x v="51"/>
            <x v="54"/>
            <x v="56"/>
            <x v="58"/>
            <x v="66"/>
            <x v="69"/>
            <x v="70"/>
            <x v="74"/>
            <x v="77"/>
            <x v="80"/>
            <x v="81"/>
            <x v="84"/>
            <x v="92"/>
            <x v="94"/>
            <x v="106"/>
            <x v="108"/>
            <x v="109"/>
            <x v="110"/>
            <x v="114"/>
            <x v="116"/>
            <x v="117"/>
            <x v="123"/>
            <x v="124"/>
            <x v="132"/>
            <x v="156"/>
            <x v="157"/>
            <x v="171"/>
            <x v="172"/>
            <x v="175"/>
            <x v="191"/>
            <x v="192"/>
            <x v="200"/>
            <x v="207"/>
            <x v="211"/>
            <x v="217"/>
            <x v="218"/>
            <x v="219"/>
            <x v="222"/>
            <x v="230"/>
            <x v="256"/>
          </reference>
        </references>
      </pivotArea>
    </format>
    <format dxfId="2182">
      <pivotArea dataOnly="0" labelOnly="1" fieldPosition="0">
        <references count="1">
          <reference field="0" count="8">
            <x v="14"/>
            <x v="26"/>
            <x v="31"/>
            <x v="35"/>
            <x v="46"/>
            <x v="52"/>
            <x v="115"/>
            <x v="125"/>
          </reference>
        </references>
      </pivotArea>
    </format>
    <format dxfId="2181">
      <pivotArea dataOnly="0" labelOnly="1" grandRow="1" outline="0" fieldPosition="0"/>
    </format>
    <format dxfId="2180">
      <pivotArea dataOnly="0" labelOnly="1" fieldPosition="0">
        <references count="2">
          <reference field="0" count="1" selected="0">
            <x v="82"/>
          </reference>
          <reference field="1" count="1">
            <x v="62"/>
          </reference>
        </references>
      </pivotArea>
    </format>
    <format dxfId="2179">
      <pivotArea dataOnly="0" labelOnly="1" fieldPosition="0">
        <references count="2">
          <reference field="0" count="1" selected="0">
            <x v="3"/>
          </reference>
          <reference field="1" count="1">
            <x v="179"/>
          </reference>
        </references>
      </pivotArea>
    </format>
    <format dxfId="2178">
      <pivotArea dataOnly="0" labelOnly="1" fieldPosition="0">
        <references count="2">
          <reference field="0" count="1" selected="0">
            <x v="250"/>
          </reference>
          <reference field="1" count="1">
            <x v="87"/>
          </reference>
        </references>
      </pivotArea>
    </format>
    <format dxfId="2177">
      <pivotArea dataOnly="0" labelOnly="1" fieldPosition="0">
        <references count="2">
          <reference field="0" count="1" selected="0">
            <x v="201"/>
          </reference>
          <reference field="1" count="1">
            <x v="133"/>
          </reference>
        </references>
      </pivotArea>
    </format>
    <format dxfId="2176">
      <pivotArea dataOnly="0" labelOnly="1" fieldPosition="0">
        <references count="2">
          <reference field="0" count="1" selected="0">
            <x v="133"/>
          </reference>
          <reference field="1" count="1">
            <x v="244"/>
          </reference>
        </references>
      </pivotArea>
    </format>
    <format dxfId="2175">
      <pivotArea dataOnly="0" labelOnly="1" fieldPosition="0">
        <references count="2">
          <reference field="0" count="1" selected="0">
            <x v="244"/>
          </reference>
          <reference field="1" count="1">
            <x v="76"/>
          </reference>
        </references>
      </pivotArea>
    </format>
    <format dxfId="2174">
      <pivotArea dataOnly="0" labelOnly="1" fieldPosition="0">
        <references count="2">
          <reference field="0" count="1" selected="0">
            <x v="249"/>
          </reference>
          <reference field="1" count="1">
            <x v="204"/>
          </reference>
        </references>
      </pivotArea>
    </format>
    <format dxfId="2173">
      <pivotArea dataOnly="0" labelOnly="1" fieldPosition="0">
        <references count="2">
          <reference field="0" count="1" selected="0">
            <x v="179"/>
          </reference>
          <reference field="1" count="1">
            <x v="139"/>
          </reference>
        </references>
      </pivotArea>
    </format>
    <format dxfId="2172">
      <pivotArea dataOnly="0" labelOnly="1" fieldPosition="0">
        <references count="2">
          <reference field="0" count="1" selected="0">
            <x v="165"/>
          </reference>
          <reference field="1" count="1">
            <x v="186"/>
          </reference>
        </references>
      </pivotArea>
    </format>
    <format dxfId="2171">
      <pivotArea dataOnly="0" labelOnly="1" fieldPosition="0">
        <references count="2">
          <reference field="0" count="1" selected="0">
            <x v="131"/>
          </reference>
          <reference field="1" count="1">
            <x v="165"/>
          </reference>
        </references>
      </pivotArea>
    </format>
    <format dxfId="2170">
      <pivotArea dataOnly="0" labelOnly="1" fieldPosition="0">
        <references count="2">
          <reference field="0" count="1" selected="0">
            <x v="143"/>
          </reference>
          <reference field="1" count="1">
            <x v="44"/>
          </reference>
        </references>
      </pivotArea>
    </format>
    <format dxfId="2169">
      <pivotArea dataOnly="0" labelOnly="1" fieldPosition="0">
        <references count="2">
          <reference field="0" count="1" selected="0">
            <x v="203"/>
          </reference>
          <reference field="1" count="1">
            <x v="232"/>
          </reference>
        </references>
      </pivotArea>
    </format>
    <format dxfId="2168">
      <pivotArea dataOnly="0" labelOnly="1" fieldPosition="0">
        <references count="2">
          <reference field="0" count="1" selected="0">
            <x v="204"/>
          </reference>
          <reference field="1" count="1">
            <x v="27"/>
          </reference>
        </references>
      </pivotArea>
    </format>
    <format dxfId="2167">
      <pivotArea dataOnly="0" labelOnly="1" fieldPosition="0">
        <references count="2">
          <reference field="0" count="1" selected="0">
            <x v="168"/>
          </reference>
          <reference field="1" count="1">
            <x v="253"/>
          </reference>
        </references>
      </pivotArea>
    </format>
    <format dxfId="2166">
      <pivotArea dataOnly="0" labelOnly="1" fieldPosition="0">
        <references count="2">
          <reference field="0" count="1" selected="0">
            <x v="71"/>
          </reference>
          <reference field="1" count="1">
            <x v="201"/>
          </reference>
        </references>
      </pivotArea>
    </format>
    <format dxfId="2165">
      <pivotArea dataOnly="0" labelOnly="1" fieldPosition="0">
        <references count="2">
          <reference field="0" count="1" selected="0">
            <x v="245"/>
          </reference>
          <reference field="1" count="1">
            <x v="34"/>
          </reference>
        </references>
      </pivotArea>
    </format>
    <format dxfId="2164">
      <pivotArea dataOnly="0" labelOnly="1" fieldPosition="0">
        <references count="2">
          <reference field="0" count="1" selected="0">
            <x v="135"/>
          </reference>
          <reference field="1" count="1">
            <x v="189"/>
          </reference>
        </references>
      </pivotArea>
    </format>
    <format dxfId="2163">
      <pivotArea dataOnly="0" labelOnly="1" fieldPosition="0">
        <references count="2">
          <reference field="0" count="1" selected="0">
            <x v="184"/>
          </reference>
          <reference field="1" count="1">
            <x v="117"/>
          </reference>
        </references>
      </pivotArea>
    </format>
    <format dxfId="2162">
      <pivotArea dataOnly="0" labelOnly="1" fieldPosition="0">
        <references count="2">
          <reference field="0" count="1" selected="0">
            <x v="224"/>
          </reference>
          <reference field="1" count="1">
            <x v="73"/>
          </reference>
        </references>
      </pivotArea>
    </format>
    <format dxfId="2161">
      <pivotArea dataOnly="0" labelOnly="1" fieldPosition="0">
        <references count="2">
          <reference field="0" count="1" selected="0">
            <x v="87"/>
          </reference>
          <reference field="1" count="1">
            <x v="61"/>
          </reference>
        </references>
      </pivotArea>
    </format>
    <format dxfId="2160">
      <pivotArea dataOnly="0" labelOnly="1" fieldPosition="0">
        <references count="2">
          <reference field="0" count="1" selected="0">
            <x v="199"/>
          </reference>
          <reference field="1" count="1">
            <x v="127"/>
          </reference>
        </references>
      </pivotArea>
    </format>
    <format dxfId="2159">
      <pivotArea dataOnly="0" labelOnly="1" fieldPosition="0">
        <references count="2">
          <reference field="0" count="1" selected="0">
            <x v="220"/>
          </reference>
          <reference field="1" count="1">
            <x v="78"/>
          </reference>
        </references>
      </pivotArea>
    </format>
    <format dxfId="2158">
      <pivotArea dataOnly="0" labelOnly="1" fieldPosition="0">
        <references count="2">
          <reference field="0" count="1" selected="0">
            <x v="213"/>
          </reference>
          <reference field="1" count="1">
            <x v="84"/>
          </reference>
        </references>
      </pivotArea>
    </format>
    <format dxfId="2157">
      <pivotArea dataOnly="0" labelOnly="1" fieldPosition="0">
        <references count="2">
          <reference field="0" count="1" selected="0">
            <x v="5"/>
          </reference>
          <reference field="1" count="1">
            <x v="0"/>
          </reference>
        </references>
      </pivotArea>
    </format>
    <format dxfId="2156">
      <pivotArea dataOnly="0" labelOnly="1" fieldPosition="0">
        <references count="2">
          <reference field="0" count="1" selected="0">
            <x v="136"/>
          </reference>
          <reference field="1" count="1">
            <x v="4"/>
          </reference>
        </references>
      </pivotArea>
    </format>
    <format dxfId="2155">
      <pivotArea dataOnly="0" labelOnly="1" fieldPosition="0">
        <references count="2">
          <reference field="0" count="1" selected="0">
            <x v="8"/>
          </reference>
          <reference field="1" count="1">
            <x v="10"/>
          </reference>
        </references>
      </pivotArea>
    </format>
    <format dxfId="2154">
      <pivotArea dataOnly="0" labelOnly="1" fieldPosition="0">
        <references count="2">
          <reference field="0" count="1" selected="0">
            <x v="240"/>
          </reference>
          <reference field="1" count="1">
            <x v="77"/>
          </reference>
        </references>
      </pivotArea>
    </format>
    <format dxfId="2153">
      <pivotArea dataOnly="0" labelOnly="1" fieldPosition="0">
        <references count="2">
          <reference field="0" count="1" selected="0">
            <x v="153"/>
          </reference>
          <reference field="1" count="1">
            <x v="167"/>
          </reference>
        </references>
      </pivotArea>
    </format>
    <format dxfId="2152">
      <pivotArea dataOnly="0" labelOnly="1" fieldPosition="0">
        <references count="2">
          <reference field="0" count="1" selected="0">
            <x v="167"/>
          </reference>
          <reference field="1" count="1">
            <x v="138"/>
          </reference>
        </references>
      </pivotArea>
    </format>
    <format dxfId="2151">
      <pivotArea dataOnly="0" labelOnly="1" fieldPosition="0">
        <references count="2">
          <reference field="0" count="1" selected="0">
            <x v="151"/>
          </reference>
          <reference field="1" count="1">
            <x v="203"/>
          </reference>
        </references>
      </pivotArea>
    </format>
    <format dxfId="2150">
      <pivotArea dataOnly="0" labelOnly="1" fieldPosition="0">
        <references count="2">
          <reference field="0" count="1" selected="0">
            <x v="188"/>
          </reference>
          <reference field="1" count="1">
            <x v="162"/>
          </reference>
        </references>
      </pivotArea>
    </format>
    <format dxfId="2149">
      <pivotArea dataOnly="0" labelOnly="1" fieldPosition="0">
        <references count="2">
          <reference field="0" count="1" selected="0">
            <x v="205"/>
          </reference>
          <reference field="1" count="1">
            <x v="237"/>
          </reference>
        </references>
      </pivotArea>
    </format>
    <format dxfId="2148">
      <pivotArea dataOnly="0" labelOnly="1" fieldPosition="0">
        <references count="2">
          <reference field="0" count="1" selected="0">
            <x v="210"/>
          </reference>
          <reference field="1" count="1">
            <x v="70"/>
          </reference>
        </references>
      </pivotArea>
    </format>
    <format dxfId="2147">
      <pivotArea dataOnly="0" labelOnly="1" fieldPosition="0">
        <references count="2">
          <reference field="0" count="1" selected="0">
            <x v="0"/>
          </reference>
          <reference field="1" count="1">
            <x v="175"/>
          </reference>
        </references>
      </pivotArea>
    </format>
    <format dxfId="2146">
      <pivotArea dataOnly="0" labelOnly="1" fieldPosition="0">
        <references count="2">
          <reference field="0" count="1" selected="0">
            <x v="216"/>
          </reference>
          <reference field="1" count="1">
            <x v="66"/>
          </reference>
        </references>
      </pivotArea>
    </format>
    <format dxfId="2145">
      <pivotArea dataOnly="0" labelOnly="1" fieldPosition="0">
        <references count="2">
          <reference field="0" count="1" selected="0">
            <x v="130"/>
          </reference>
          <reference field="1" count="1">
            <x v="54"/>
          </reference>
        </references>
      </pivotArea>
    </format>
    <format dxfId="2144">
      <pivotArea dataOnly="0" labelOnly="1" fieldPosition="0">
        <references count="2">
          <reference field="0" count="1" selected="0">
            <x v="79"/>
          </reference>
          <reference field="1" count="1">
            <x v="19"/>
          </reference>
        </references>
      </pivotArea>
    </format>
    <format dxfId="2143">
      <pivotArea dataOnly="0" labelOnly="1" fieldPosition="0">
        <references count="2">
          <reference field="0" count="1" selected="0">
            <x v="25"/>
          </reference>
          <reference field="1" count="1">
            <x v="21"/>
          </reference>
        </references>
      </pivotArea>
    </format>
    <format dxfId="2142">
      <pivotArea dataOnly="0" labelOnly="1" fieldPosition="0">
        <references count="2">
          <reference field="0" count="1" selected="0">
            <x v="11"/>
          </reference>
          <reference field="1" count="1">
            <x v="42"/>
          </reference>
        </references>
      </pivotArea>
    </format>
    <format dxfId="2141">
      <pivotArea dataOnly="0" labelOnly="1" fieldPosition="0">
        <references count="2">
          <reference field="0" count="1" selected="0">
            <x v="246"/>
          </reference>
          <reference field="1" count="1">
            <x v="166"/>
          </reference>
        </references>
      </pivotArea>
    </format>
    <format dxfId="2140">
      <pivotArea dataOnly="0" labelOnly="1" fieldPosition="0">
        <references count="2">
          <reference field="0" count="1" selected="0">
            <x v="182"/>
          </reference>
          <reference field="1" count="1">
            <x v="111"/>
          </reference>
        </references>
      </pivotArea>
    </format>
    <format dxfId="2139">
      <pivotArea dataOnly="0" labelOnly="1" fieldPosition="0">
        <references count="2">
          <reference field="0" count="1" selected="0">
            <x v="177"/>
          </reference>
          <reference field="1" count="1">
            <x v="142"/>
          </reference>
        </references>
      </pivotArea>
    </format>
    <format dxfId="2138">
      <pivotArea dataOnly="0" labelOnly="1" fieldPosition="0">
        <references count="2">
          <reference field="0" count="1" selected="0">
            <x v="1"/>
          </reference>
          <reference field="1" count="1">
            <x v="176"/>
          </reference>
        </references>
      </pivotArea>
    </format>
    <format dxfId="2137">
      <pivotArea dataOnly="0" labelOnly="1" fieldPosition="0">
        <references count="2">
          <reference field="0" count="1" selected="0">
            <x v="150"/>
          </reference>
          <reference field="1" count="1">
            <x v="110"/>
          </reference>
        </references>
      </pivotArea>
    </format>
    <format dxfId="2136">
      <pivotArea dataOnly="0" labelOnly="1" fieldPosition="0">
        <references count="2">
          <reference field="0" count="1" selected="0">
            <x v="6"/>
          </reference>
          <reference field="1" count="1">
            <x v="173"/>
          </reference>
        </references>
      </pivotArea>
    </format>
    <format dxfId="2135">
      <pivotArea dataOnly="0" labelOnly="1" fieldPosition="0">
        <references count="2">
          <reference field="0" count="1" selected="0">
            <x v="226"/>
          </reference>
          <reference field="1" count="1">
            <x v="233"/>
          </reference>
        </references>
      </pivotArea>
    </format>
    <format dxfId="2134">
      <pivotArea dataOnly="0" labelOnly="1" fieldPosition="0">
        <references count="2">
          <reference field="0" count="1" selected="0">
            <x v="233"/>
          </reference>
          <reference field="1" count="1">
            <x v="236"/>
          </reference>
        </references>
      </pivotArea>
    </format>
    <format dxfId="2133">
      <pivotArea dataOnly="0" labelOnly="1" fieldPosition="0">
        <references count="2">
          <reference field="0" count="1" selected="0">
            <x v="180"/>
          </reference>
          <reference field="1" count="1">
            <x v="109"/>
          </reference>
        </references>
      </pivotArea>
    </format>
    <format dxfId="2132">
      <pivotArea dataOnly="0" labelOnly="1" fieldPosition="0">
        <references count="2">
          <reference field="0" count="1" selected="0">
            <x v="176"/>
          </reference>
          <reference field="1" count="1">
            <x v="56"/>
          </reference>
        </references>
      </pivotArea>
    </format>
    <format dxfId="2131">
      <pivotArea dataOnly="0" labelOnly="1" fieldPosition="0">
        <references count="2">
          <reference field="0" count="1" selected="0">
            <x v="134"/>
          </reference>
          <reference field="1" count="1">
            <x v="88"/>
          </reference>
        </references>
      </pivotArea>
    </format>
    <format dxfId="2130">
      <pivotArea dataOnly="0" labelOnly="1" fieldPosition="0">
        <references count="2">
          <reference field="0" count="1" selected="0">
            <x v="252"/>
          </reference>
          <reference field="1" count="1">
            <x v="105"/>
          </reference>
        </references>
      </pivotArea>
    </format>
    <format dxfId="2129">
      <pivotArea dataOnly="0" labelOnly="1" fieldPosition="0">
        <references count="2">
          <reference field="0" count="1" selected="0">
            <x v="255"/>
          </reference>
          <reference field="1" count="1">
            <x v="106"/>
          </reference>
        </references>
      </pivotArea>
    </format>
    <format dxfId="2128">
      <pivotArea dataOnly="0" labelOnly="1" fieldPosition="0">
        <references count="2">
          <reference field="0" count="1" selected="0">
            <x v="57"/>
          </reference>
          <reference field="1" count="1">
            <x v="242"/>
          </reference>
        </references>
      </pivotArea>
    </format>
    <format dxfId="2127">
      <pivotArea dataOnly="0" labelOnly="1" fieldPosition="0">
        <references count="2">
          <reference field="0" count="1" selected="0">
            <x v="55"/>
          </reference>
          <reference field="1" count="1">
            <x v="192"/>
          </reference>
        </references>
      </pivotArea>
    </format>
    <format dxfId="2126">
      <pivotArea dataOnly="0" labelOnly="1" fieldPosition="0">
        <references count="2">
          <reference field="0" count="1" selected="0">
            <x v="251"/>
          </reference>
          <reference field="1" count="1">
            <x v="81"/>
          </reference>
        </references>
      </pivotArea>
    </format>
    <format dxfId="2125">
      <pivotArea dataOnly="0" labelOnly="1" fieldPosition="0">
        <references count="2">
          <reference field="0" count="1" selected="0">
            <x v="155"/>
          </reference>
          <reference field="1" count="1">
            <x v="100"/>
          </reference>
        </references>
      </pivotArea>
    </format>
    <format dxfId="2124">
      <pivotArea dataOnly="0" labelOnly="1" fieldPosition="0">
        <references count="2">
          <reference field="0" count="1" selected="0">
            <x v="137"/>
          </reference>
          <reference field="1" count="1">
            <x v="3"/>
          </reference>
        </references>
      </pivotArea>
    </format>
    <format dxfId="2123">
      <pivotArea dataOnly="0" labelOnly="1" fieldPosition="0">
        <references count="2">
          <reference field="0" count="1" selected="0">
            <x v="19"/>
          </reference>
          <reference field="1" count="1">
            <x v="171"/>
          </reference>
        </references>
      </pivotArea>
    </format>
    <format dxfId="2122">
      <pivotArea dataOnly="0" labelOnly="1" fieldPosition="0">
        <references count="2">
          <reference field="0" count="1" selected="0">
            <x v="232"/>
          </reference>
          <reference field="1" count="1">
            <x v="92"/>
          </reference>
        </references>
      </pivotArea>
    </format>
    <format dxfId="2121">
      <pivotArea dataOnly="0" labelOnly="1" fieldPosition="0">
        <references count="2">
          <reference field="0" count="1" selected="0">
            <x v="183"/>
          </reference>
          <reference field="1" count="1">
            <x v="112"/>
          </reference>
        </references>
      </pivotArea>
    </format>
    <format dxfId="2120">
      <pivotArea dataOnly="0" labelOnly="1" fieldPosition="0">
        <references count="2">
          <reference field="0" count="1" selected="0">
            <x v="170"/>
          </reference>
          <reference field="1" count="1">
            <x v="25"/>
          </reference>
        </references>
      </pivotArea>
    </format>
    <format dxfId="2119">
      <pivotArea dataOnly="0" labelOnly="1" fieldPosition="0">
        <references count="2">
          <reference field="0" count="1" selected="0">
            <x v="18"/>
          </reference>
          <reference field="1" count="1">
            <x v="202"/>
          </reference>
        </references>
      </pivotArea>
    </format>
    <format dxfId="2118">
      <pivotArea dataOnly="0" labelOnly="1" fieldPosition="0">
        <references count="2">
          <reference field="0" count="1" selected="0">
            <x v="241"/>
          </reference>
          <reference field="1" count="1">
            <x v="82"/>
          </reference>
        </references>
      </pivotArea>
    </format>
    <format dxfId="2117">
      <pivotArea dataOnly="0" labelOnly="1" fieldPosition="0">
        <references count="2">
          <reference field="0" count="1" selected="0">
            <x v="212"/>
          </reference>
          <reference field="1" count="1">
            <x v="163"/>
          </reference>
        </references>
      </pivotArea>
    </format>
    <format dxfId="2116">
      <pivotArea dataOnly="0" labelOnly="1" fieldPosition="0">
        <references count="2">
          <reference field="0" count="1" selected="0">
            <x v="146"/>
          </reference>
          <reference field="1" count="1">
            <x v="141"/>
          </reference>
        </references>
      </pivotArea>
    </format>
    <format dxfId="2115">
      <pivotArea dataOnly="0" labelOnly="1" fieldPosition="0">
        <references count="2">
          <reference field="0" count="1" selected="0">
            <x v="193"/>
          </reference>
          <reference field="1" count="1">
            <x v="23"/>
          </reference>
        </references>
      </pivotArea>
    </format>
    <format dxfId="2114">
      <pivotArea dataOnly="0" labelOnly="1" fieldPosition="0">
        <references count="2">
          <reference field="0" count="1" selected="0">
            <x v="88"/>
          </reference>
          <reference field="1" count="1">
            <x v="170"/>
          </reference>
        </references>
      </pivotArea>
    </format>
    <format dxfId="2113">
      <pivotArea dataOnly="0" labelOnly="1" fieldPosition="0">
        <references count="2">
          <reference field="0" count="1" selected="0">
            <x v="10"/>
          </reference>
          <reference field="1" count="1">
            <x v="168"/>
          </reference>
        </references>
      </pivotArea>
    </format>
    <format dxfId="2112">
      <pivotArea dataOnly="0" labelOnly="1" fieldPosition="0">
        <references count="2">
          <reference field="0" count="1" selected="0">
            <x v="231"/>
          </reference>
          <reference field="1" count="1">
            <x v="64"/>
          </reference>
        </references>
      </pivotArea>
    </format>
    <format dxfId="2111">
      <pivotArea dataOnly="0" labelOnly="1" fieldPosition="0">
        <references count="2">
          <reference field="0" count="1" selected="0">
            <x v="221"/>
          </reference>
          <reference field="1" count="1">
            <x v="80"/>
          </reference>
        </references>
      </pivotArea>
    </format>
    <format dxfId="2110">
      <pivotArea dataOnly="0" labelOnly="1" fieldPosition="0">
        <references count="2">
          <reference field="0" count="1" selected="0">
            <x v="178"/>
          </reference>
          <reference field="1" count="1">
            <x v="113"/>
          </reference>
        </references>
      </pivotArea>
    </format>
    <format dxfId="2109">
      <pivotArea dataOnly="0" labelOnly="1" fieldPosition="0">
        <references count="2">
          <reference field="0" count="1" selected="0">
            <x v="141"/>
          </reference>
          <reference field="1" count="1">
            <x v="131"/>
          </reference>
        </references>
      </pivotArea>
    </format>
    <format dxfId="2108">
      <pivotArea dataOnly="0" labelOnly="1" fieldPosition="0">
        <references count="2">
          <reference field="0" count="1" selected="0">
            <x v="169"/>
          </reference>
          <reference field="1" count="1">
            <x v="108"/>
          </reference>
        </references>
      </pivotArea>
    </format>
    <format dxfId="2107">
      <pivotArea dataOnly="0" labelOnly="1" fieldPosition="0">
        <references count="2">
          <reference field="0" count="1" selected="0">
            <x v="4"/>
          </reference>
          <reference field="1" count="1">
            <x v="178"/>
          </reference>
        </references>
      </pivotArea>
    </format>
    <format dxfId="2106">
      <pivotArea dataOnly="0" labelOnly="1" fieldPosition="0">
        <references count="2">
          <reference field="0" count="1" selected="0">
            <x v="214"/>
          </reference>
          <reference field="1" count="1">
            <x v="85"/>
          </reference>
        </references>
      </pivotArea>
    </format>
    <format dxfId="2105">
      <pivotArea dataOnly="0" labelOnly="1" fieldPosition="0">
        <references count="2">
          <reference field="0" count="1" selected="0">
            <x v="28"/>
          </reference>
          <reference field="1" count="1">
            <x v="145"/>
          </reference>
        </references>
      </pivotArea>
    </format>
    <format dxfId="2104">
      <pivotArea dataOnly="0" labelOnly="1" fieldPosition="0">
        <references count="2">
          <reference field="0" count="1" selected="0">
            <x v="195"/>
          </reference>
          <reference field="1" count="1">
            <x v="160"/>
          </reference>
        </references>
      </pivotArea>
    </format>
    <format dxfId="2103">
      <pivotArea dataOnly="0" labelOnly="1" fieldPosition="0">
        <references count="2">
          <reference field="0" count="1" selected="0">
            <x v="37"/>
          </reference>
          <reference field="1" count="1">
            <x v="96"/>
          </reference>
        </references>
      </pivotArea>
    </format>
    <format dxfId="2102">
      <pivotArea dataOnly="0" labelOnly="1" fieldPosition="0">
        <references count="2">
          <reference field="0" count="1" selected="0">
            <x v="202"/>
          </reference>
          <reference field="1" count="1">
            <x v="149"/>
          </reference>
        </references>
      </pivotArea>
    </format>
    <format dxfId="2101">
      <pivotArea dataOnly="0" labelOnly="1" fieldPosition="0">
        <references count="2">
          <reference field="0" count="1" selected="0">
            <x v="163"/>
          </reference>
          <reference field="1" count="1">
            <x v="122"/>
          </reference>
        </references>
      </pivotArea>
    </format>
    <format dxfId="2100">
      <pivotArea dataOnly="0" labelOnly="1" fieldPosition="0">
        <references count="2">
          <reference field="0" count="1" selected="0">
            <x v="48"/>
          </reference>
          <reference field="1" count="1">
            <x v="50"/>
          </reference>
        </references>
      </pivotArea>
    </format>
    <format dxfId="2099">
      <pivotArea dataOnly="0" labelOnly="1" fieldPosition="0">
        <references count="2">
          <reference field="0" count="1" selected="0">
            <x v="61"/>
          </reference>
          <reference field="1" count="1">
            <x v="223"/>
          </reference>
        </references>
      </pivotArea>
    </format>
    <format dxfId="2098">
      <pivotArea dataOnly="0" labelOnly="1" fieldPosition="0">
        <references count="2">
          <reference field="0" count="1" selected="0">
            <x v="7"/>
          </reference>
          <reference field="1" count="1">
            <x v="174"/>
          </reference>
        </references>
      </pivotArea>
    </format>
    <format dxfId="2097">
      <pivotArea dataOnly="0" labelOnly="1" fieldPosition="0">
        <references count="2">
          <reference field="0" count="1" selected="0">
            <x v="144"/>
          </reference>
          <reference field="1" count="1">
            <x v="65"/>
          </reference>
        </references>
      </pivotArea>
    </format>
    <format dxfId="2096">
      <pivotArea dataOnly="0" labelOnly="1" fieldPosition="0">
        <references count="2">
          <reference field="0" count="1" selected="0">
            <x v="9"/>
          </reference>
          <reference field="1" count="1">
            <x v="210"/>
          </reference>
        </references>
      </pivotArea>
    </format>
    <format dxfId="2095">
      <pivotArea dataOnly="0" labelOnly="1" fieldPosition="0">
        <references count="2">
          <reference field="0" count="1" selected="0">
            <x v="247"/>
          </reference>
          <reference field="1" count="1">
            <x v="67"/>
          </reference>
        </references>
      </pivotArea>
    </format>
    <format dxfId="2094">
      <pivotArea dataOnly="0" labelOnly="1" fieldPosition="0">
        <references count="2">
          <reference field="0" count="1" selected="0">
            <x v="41"/>
          </reference>
          <reference field="1" count="1">
            <x v="194"/>
          </reference>
        </references>
      </pivotArea>
    </format>
    <format dxfId="2093">
      <pivotArea dataOnly="0" labelOnly="1" fieldPosition="0">
        <references count="2">
          <reference field="0" count="1" selected="0">
            <x v="73"/>
          </reference>
          <reference field="1" count="1">
            <x v="214"/>
          </reference>
        </references>
      </pivotArea>
    </format>
    <format dxfId="2092">
      <pivotArea dataOnly="0" labelOnly="1" fieldPosition="0">
        <references count="2">
          <reference field="0" count="1" selected="0">
            <x v="128"/>
          </reference>
          <reference field="1" count="1">
            <x v="217"/>
          </reference>
        </references>
      </pivotArea>
    </format>
    <format dxfId="2091">
      <pivotArea dataOnly="0" labelOnly="1" fieldPosition="0">
        <references count="2">
          <reference field="0" count="1" selected="0">
            <x v="174"/>
          </reference>
          <reference field="1" count="1">
            <x v="205"/>
          </reference>
        </references>
      </pivotArea>
    </format>
    <format dxfId="2090">
      <pivotArea dataOnly="0" labelOnly="1" fieldPosition="0">
        <references count="2">
          <reference field="0" count="1" selected="0">
            <x v="149"/>
          </reference>
          <reference field="1" count="1">
            <x v="95"/>
          </reference>
        </references>
      </pivotArea>
    </format>
    <format dxfId="2089">
      <pivotArea dataOnly="0" labelOnly="1" fieldPosition="0">
        <references count="2">
          <reference field="0" count="1" selected="0">
            <x v="90"/>
          </reference>
          <reference field="1" count="1">
            <x v="60"/>
          </reference>
        </references>
      </pivotArea>
    </format>
    <format dxfId="2088">
      <pivotArea dataOnly="0" labelOnly="1" fieldPosition="0">
        <references count="2">
          <reference field="0" count="1" selected="0">
            <x v="206"/>
          </reference>
          <reference field="1" count="1">
            <x v="98"/>
          </reference>
        </references>
      </pivotArea>
    </format>
    <format dxfId="2087">
      <pivotArea dataOnly="0" labelOnly="1" fieldPosition="0">
        <references count="2">
          <reference field="0" count="1" selected="0">
            <x v="86"/>
          </reference>
          <reference field="1" count="1">
            <x v="30"/>
          </reference>
        </references>
      </pivotArea>
    </format>
    <format dxfId="2086">
      <pivotArea dataOnly="0" labelOnly="1" fieldPosition="0">
        <references count="2">
          <reference field="0" count="1" selected="0">
            <x v="148"/>
          </reference>
          <reference field="1" count="1">
            <x v="208"/>
          </reference>
        </references>
      </pivotArea>
    </format>
    <format dxfId="2085">
      <pivotArea dataOnly="0" labelOnly="1" fieldPosition="0">
        <references count="2">
          <reference field="0" count="1" selected="0">
            <x v="20"/>
          </reference>
          <reference field="1" count="1">
            <x v="172"/>
          </reference>
        </references>
      </pivotArea>
    </format>
    <format dxfId="2084">
      <pivotArea dataOnly="0" labelOnly="1" fieldPosition="0">
        <references count="2">
          <reference field="0" count="1" selected="0">
            <x v="2"/>
          </reference>
          <reference field="1" count="1">
            <x v="177"/>
          </reference>
        </references>
      </pivotArea>
    </format>
    <format dxfId="2083">
      <pivotArea dataOnly="0" labelOnly="1" fieldPosition="0">
        <references count="2">
          <reference field="0" count="1" selected="0">
            <x v="22"/>
          </reference>
          <reference field="1" count="1">
            <x v="13"/>
          </reference>
        </references>
      </pivotArea>
    </format>
    <format dxfId="2082">
      <pivotArea dataOnly="0" labelOnly="1" fieldPosition="0">
        <references count="2">
          <reference field="0" count="1" selected="0">
            <x v="189"/>
          </reference>
          <reference field="1" count="1">
            <x v="235"/>
          </reference>
        </references>
      </pivotArea>
    </format>
    <format dxfId="2081">
      <pivotArea dataOnly="0" labelOnly="1" fieldPosition="0">
        <references count="2">
          <reference field="0" count="1" selected="0">
            <x v="42"/>
          </reference>
          <reference field="1" count="1">
            <x v="198"/>
          </reference>
        </references>
      </pivotArea>
    </format>
    <format dxfId="2080">
      <pivotArea dataOnly="0" labelOnly="1" fieldPosition="0">
        <references count="2">
          <reference field="0" count="1" selected="0">
            <x v="95"/>
          </reference>
          <reference field="1" count="1">
            <x v="157"/>
          </reference>
        </references>
      </pivotArea>
    </format>
    <format dxfId="2079">
      <pivotArea dataOnly="0" labelOnly="1" fieldPosition="0">
        <references count="2">
          <reference field="0" count="1" selected="0">
            <x v="139"/>
          </reference>
          <reference field="1" count="1">
            <x v="104"/>
          </reference>
        </references>
      </pivotArea>
    </format>
    <format dxfId="2078">
      <pivotArea dataOnly="0" labelOnly="1" fieldPosition="0">
        <references count="2">
          <reference field="0" count="1" selected="0">
            <x v="60"/>
          </reference>
          <reference field="1" count="1">
            <x v="238"/>
          </reference>
        </references>
      </pivotArea>
    </format>
    <format dxfId="2077">
      <pivotArea dataOnly="0" labelOnly="1" fieldPosition="0">
        <references count="2">
          <reference field="0" count="1" selected="0">
            <x v="39"/>
          </reference>
          <reference field="1" count="1">
            <x v="22"/>
          </reference>
        </references>
      </pivotArea>
    </format>
    <format dxfId="2076">
      <pivotArea dataOnly="0" labelOnly="1" fieldPosition="0">
        <references count="2">
          <reference field="0" count="1" selected="0">
            <x v="16"/>
          </reference>
          <reference field="1" count="1">
            <x v="243"/>
          </reference>
        </references>
      </pivotArea>
    </format>
    <format dxfId="2075">
      <pivotArea dataOnly="0" labelOnly="1" fieldPosition="0">
        <references count="2">
          <reference field="0" count="1" selected="0">
            <x v="181"/>
          </reference>
          <reference field="1" count="1">
            <x v="118"/>
          </reference>
        </references>
      </pivotArea>
    </format>
    <format dxfId="2074">
      <pivotArea dataOnly="0" labelOnly="1" fieldPosition="0">
        <references count="2">
          <reference field="0" count="1" selected="0">
            <x v="196"/>
          </reference>
          <reference field="1" count="1">
            <x v="125"/>
          </reference>
        </references>
      </pivotArea>
    </format>
    <format dxfId="2073">
      <pivotArea dataOnly="0" labelOnly="1" fieldPosition="0">
        <references count="2">
          <reference field="0" count="1" selected="0">
            <x v="145"/>
          </reference>
          <reference field="1" count="1">
            <x v="254"/>
          </reference>
        </references>
      </pivotArea>
    </format>
    <format dxfId="2072">
      <pivotArea dataOnly="0" labelOnly="1" fieldPosition="0">
        <references count="2">
          <reference field="0" count="1" selected="0">
            <x v="208"/>
          </reference>
          <reference field="1" count="1">
            <x v="132"/>
          </reference>
        </references>
      </pivotArea>
    </format>
    <format dxfId="2071">
      <pivotArea dataOnly="0" labelOnly="1" fieldPosition="0">
        <references count="2">
          <reference field="0" count="1" selected="0">
            <x v="237"/>
          </reference>
          <reference field="1" count="1">
            <x v="164"/>
          </reference>
        </references>
      </pivotArea>
    </format>
    <format dxfId="2070">
      <pivotArea dataOnly="0" labelOnly="1" fieldPosition="0">
        <references count="2">
          <reference field="0" count="1" selected="0">
            <x v="111"/>
          </reference>
          <reference field="1" count="1">
            <x v="14"/>
          </reference>
        </references>
      </pivotArea>
    </format>
    <format dxfId="2069">
      <pivotArea dataOnly="0" labelOnly="1" fieldPosition="0">
        <references count="2">
          <reference field="0" count="1" selected="0">
            <x v="129"/>
          </reference>
          <reference field="1" count="1">
            <x v="213"/>
          </reference>
        </references>
      </pivotArea>
    </format>
    <format dxfId="2068">
      <pivotArea dataOnly="0" labelOnly="1" fieldPosition="0">
        <references count="2">
          <reference field="0" count="1" selected="0">
            <x v="223"/>
          </reference>
          <reference field="1" count="1">
            <x v="103"/>
          </reference>
        </references>
      </pivotArea>
    </format>
    <format dxfId="2067">
      <pivotArea dataOnly="0" labelOnly="1" fieldPosition="0">
        <references count="2">
          <reference field="0" count="1" selected="0">
            <x v="166"/>
          </reference>
          <reference field="1" count="1">
            <x v="137"/>
          </reference>
        </references>
      </pivotArea>
    </format>
    <format dxfId="2066">
      <pivotArea dataOnly="0" labelOnly="1" fieldPosition="0">
        <references count="2">
          <reference field="0" count="1" selected="0">
            <x v="101"/>
          </reference>
          <reference field="1" count="1">
            <x v="169"/>
          </reference>
        </references>
      </pivotArea>
    </format>
    <format dxfId="2065">
      <pivotArea dataOnly="0" labelOnly="1" fieldPosition="0">
        <references count="2">
          <reference field="0" count="1" selected="0">
            <x v="238"/>
          </reference>
          <reference field="1" count="1">
            <x v="83"/>
          </reference>
        </references>
      </pivotArea>
    </format>
    <format dxfId="2064">
      <pivotArea dataOnly="0" labelOnly="1" fieldPosition="0">
        <references count="2">
          <reference field="0" count="1" selected="0">
            <x v="68"/>
          </reference>
          <reference field="1" count="1">
            <x v="51"/>
          </reference>
        </references>
      </pivotArea>
    </format>
    <format dxfId="2063">
      <pivotArea dataOnly="0" labelOnly="1" fieldPosition="0">
        <references count="2">
          <reference field="0" count="1" selected="0">
            <x v="122"/>
          </reference>
          <reference field="1" count="1">
            <x v="255"/>
          </reference>
        </references>
      </pivotArea>
    </format>
    <format dxfId="2062">
      <pivotArea dataOnly="0" labelOnly="1" fieldPosition="0">
        <references count="2">
          <reference field="0" count="1" selected="0">
            <x v="225"/>
          </reference>
          <reference field="1" count="1">
            <x v="69"/>
          </reference>
        </references>
      </pivotArea>
    </format>
    <format dxfId="2061">
      <pivotArea dataOnly="0" labelOnly="1" fieldPosition="0">
        <references count="2">
          <reference field="0" count="1" selected="0">
            <x v="242"/>
          </reference>
          <reference field="1" count="1">
            <x v="185"/>
          </reference>
        </references>
      </pivotArea>
    </format>
    <format dxfId="2060">
      <pivotArea dataOnly="0" labelOnly="1" fieldPosition="0">
        <references count="2">
          <reference field="0" count="1" selected="0">
            <x v="97"/>
          </reference>
          <reference field="1" count="1">
            <x v="250"/>
          </reference>
        </references>
      </pivotArea>
    </format>
    <format dxfId="2059">
      <pivotArea dataOnly="0" labelOnly="1" fieldPosition="0">
        <references count="2">
          <reference field="0" count="1" selected="0">
            <x v="30"/>
          </reference>
          <reference field="1" count="1">
            <x v="211"/>
          </reference>
        </references>
      </pivotArea>
    </format>
    <format dxfId="2058">
      <pivotArea dataOnly="0" labelOnly="1" fieldPosition="0">
        <references count="2">
          <reference field="0" count="1" selected="0">
            <x v="59"/>
          </reference>
          <reference field="1" count="1">
            <x v="240"/>
          </reference>
        </references>
      </pivotArea>
    </format>
    <format dxfId="2057">
      <pivotArea dataOnly="0" labelOnly="1" fieldPosition="0">
        <references count="2">
          <reference field="0" count="1" selected="0">
            <x v="248"/>
          </reference>
          <reference field="1" count="1">
            <x v="234"/>
          </reference>
        </references>
      </pivotArea>
    </format>
    <format dxfId="2056">
      <pivotArea dataOnly="0" labelOnly="1" fieldPosition="0">
        <references count="2">
          <reference field="0" count="1" selected="0">
            <x v="185"/>
          </reference>
          <reference field="1" count="1">
            <x v="114"/>
          </reference>
        </references>
      </pivotArea>
    </format>
    <format dxfId="2055">
      <pivotArea dataOnly="0" labelOnly="1" fieldPosition="0">
        <references count="2">
          <reference field="0" count="1" selected="0">
            <x v="112"/>
          </reference>
          <reference field="1" count="1">
            <x v="158"/>
          </reference>
        </references>
      </pivotArea>
    </format>
    <format dxfId="2054">
      <pivotArea dataOnly="0" labelOnly="1" fieldPosition="0">
        <references count="2">
          <reference field="0" count="1" selected="0">
            <x v="190"/>
          </reference>
          <reference field="1" count="1">
            <x v="120"/>
          </reference>
        </references>
      </pivotArea>
    </format>
    <format dxfId="2053">
      <pivotArea dataOnly="0" labelOnly="1" fieldPosition="0">
        <references count="2">
          <reference field="0" count="1" selected="0">
            <x v="236"/>
          </reference>
          <reference field="1" count="1">
            <x v="146"/>
          </reference>
        </references>
      </pivotArea>
    </format>
    <format dxfId="2052">
      <pivotArea dataOnly="0" labelOnly="1" fieldPosition="0">
        <references count="2">
          <reference field="0" count="1" selected="0">
            <x v="243"/>
          </reference>
          <reference field="1" count="1">
            <x v="75"/>
          </reference>
        </references>
      </pivotArea>
    </format>
    <format dxfId="2051">
      <pivotArea dataOnly="0" labelOnly="1" fieldPosition="0">
        <references count="2">
          <reference field="0" count="1" selected="0">
            <x v="160"/>
          </reference>
          <reference field="1" count="1">
            <x v="130"/>
          </reference>
        </references>
      </pivotArea>
    </format>
    <format dxfId="2050">
      <pivotArea dataOnly="0" labelOnly="1" fieldPosition="0">
        <references count="2">
          <reference field="0" count="1" selected="0">
            <x v="113"/>
          </reference>
          <reference field="1" count="1">
            <x v="31"/>
          </reference>
        </references>
      </pivotArea>
    </format>
    <format dxfId="2049">
      <pivotArea dataOnly="0" labelOnly="1" fieldPosition="0">
        <references count="2">
          <reference field="0" count="1" selected="0">
            <x v="162"/>
          </reference>
          <reference field="1" count="1">
            <x v="35"/>
          </reference>
        </references>
      </pivotArea>
    </format>
    <format dxfId="2048">
      <pivotArea dataOnly="0" labelOnly="1" fieldPosition="0">
        <references count="2">
          <reference field="0" count="1" selected="0">
            <x v="209"/>
          </reference>
          <reference field="1" count="1">
            <x v="128"/>
          </reference>
        </references>
      </pivotArea>
    </format>
    <format dxfId="2047">
      <pivotArea dataOnly="0" labelOnly="1" fieldPosition="0">
        <references count="2">
          <reference field="0" count="1" selected="0">
            <x v="215"/>
          </reference>
          <reference field="1" count="1">
            <x v="184"/>
          </reference>
        </references>
      </pivotArea>
    </format>
    <format dxfId="2046">
      <pivotArea dataOnly="0" labelOnly="1" fieldPosition="0">
        <references count="2">
          <reference field="0" count="1" selected="0">
            <x v="227"/>
          </reference>
          <reference field="1" count="1">
            <x v="143"/>
          </reference>
        </references>
      </pivotArea>
    </format>
    <format dxfId="2045">
      <pivotArea dataOnly="0" labelOnly="1" fieldPosition="0">
        <references count="2">
          <reference field="0" count="1" selected="0">
            <x v="63"/>
          </reference>
          <reference field="1" count="1">
            <x v="231"/>
          </reference>
        </references>
      </pivotArea>
    </format>
    <format dxfId="2044">
      <pivotArea dataOnly="0" labelOnly="1" fieldPosition="0">
        <references count="2">
          <reference field="0" count="1" selected="0">
            <x v="72"/>
          </reference>
          <reference field="1" count="1">
            <x v="206"/>
          </reference>
        </references>
      </pivotArea>
    </format>
    <format dxfId="2043">
      <pivotArea dataOnly="0" labelOnly="1" fieldPosition="0">
        <references count="2">
          <reference field="0" count="1" selected="0">
            <x v="13"/>
          </reference>
          <reference field="1" count="1">
            <x v="107"/>
          </reference>
        </references>
      </pivotArea>
    </format>
    <format dxfId="2042">
      <pivotArea dataOnly="0" labelOnly="1" fieldPosition="0">
        <references count="2">
          <reference field="0" count="1" selected="0">
            <x v="253"/>
          </reference>
          <reference field="1" count="1">
            <x v="40"/>
          </reference>
        </references>
      </pivotArea>
    </format>
    <format dxfId="2041">
      <pivotArea dataOnly="0" labelOnly="1" fieldPosition="0">
        <references count="2">
          <reference field="0" count="1" selected="0">
            <x v="147"/>
          </reference>
          <reference field="1" count="1">
            <x v="188"/>
          </reference>
        </references>
      </pivotArea>
    </format>
    <format dxfId="2040">
      <pivotArea dataOnly="0" labelOnly="1" fieldPosition="0">
        <references count="2">
          <reference field="0" count="1" selected="0">
            <x v="29"/>
          </reference>
          <reference field="1" count="1">
            <x v="153"/>
          </reference>
        </references>
      </pivotArea>
    </format>
    <format dxfId="2039">
      <pivotArea dataOnly="0" labelOnly="1" fieldPosition="0">
        <references count="2">
          <reference field="0" count="1" selected="0">
            <x v="140"/>
          </reference>
          <reference field="1" count="1">
            <x v="195"/>
          </reference>
        </references>
      </pivotArea>
    </format>
    <format dxfId="2038">
      <pivotArea dataOnly="0" labelOnly="1" fieldPosition="0">
        <references count="2">
          <reference field="0" count="1" selected="0">
            <x v="78"/>
          </reference>
          <reference field="1" count="1">
            <x v="18"/>
          </reference>
        </references>
      </pivotArea>
    </format>
    <format dxfId="2037">
      <pivotArea dataOnly="0" labelOnly="1" fieldPosition="0">
        <references count="2">
          <reference field="0" count="1" selected="0">
            <x v="53"/>
          </reference>
          <reference field="1" count="1">
            <x v="45"/>
          </reference>
        </references>
      </pivotArea>
    </format>
    <format dxfId="2036">
      <pivotArea dataOnly="0" labelOnly="1" fieldPosition="0">
        <references count="2">
          <reference field="0" count="1" selected="0">
            <x v="91"/>
          </reference>
          <reference field="1" count="1">
            <x v="59"/>
          </reference>
        </references>
      </pivotArea>
    </format>
    <format dxfId="2035">
      <pivotArea dataOnly="0" labelOnly="1" fieldPosition="0">
        <references count="2">
          <reference field="0" count="1" selected="0">
            <x v="173"/>
          </reference>
          <reference field="1" count="1">
            <x v="119"/>
          </reference>
        </references>
      </pivotArea>
    </format>
    <format dxfId="2034">
      <pivotArea dataOnly="0" labelOnly="1" fieldPosition="0">
        <references count="2">
          <reference field="0" count="1" selected="0">
            <x v="89"/>
          </reference>
          <reference field="1" count="1">
            <x v="57"/>
          </reference>
        </references>
      </pivotArea>
    </format>
    <format dxfId="2033">
      <pivotArea dataOnly="0" labelOnly="1" fieldPosition="0">
        <references count="2">
          <reference field="0" count="1" selected="0">
            <x v="239"/>
          </reference>
          <reference field="1" count="1">
            <x v="72"/>
          </reference>
        </references>
      </pivotArea>
    </format>
    <format dxfId="2032">
      <pivotArea dataOnly="0" labelOnly="1" fieldPosition="0">
        <references count="2">
          <reference field="0" count="1" selected="0">
            <x v="83"/>
          </reference>
          <reference field="1" count="1">
            <x v="251"/>
          </reference>
        </references>
      </pivotArea>
    </format>
    <format dxfId="2031">
      <pivotArea dataOnly="0" labelOnly="1" fieldPosition="0">
        <references count="2">
          <reference field="0" count="1" selected="0">
            <x v="152"/>
          </reference>
          <reference field="1" count="1">
            <x v="150"/>
          </reference>
        </references>
      </pivotArea>
    </format>
    <format dxfId="2030">
      <pivotArea dataOnly="0" labelOnly="1" fieldPosition="0">
        <references count="2">
          <reference field="0" count="1" selected="0">
            <x v="12"/>
          </reference>
          <reference field="1" count="1">
            <x v="154"/>
          </reference>
        </references>
      </pivotArea>
    </format>
    <format dxfId="2029">
      <pivotArea dataOnly="0" labelOnly="1" fieldPosition="0">
        <references count="2">
          <reference field="0" count="1" selected="0">
            <x v="85"/>
          </reference>
          <reference field="1" count="1">
            <x v="182"/>
          </reference>
        </references>
      </pivotArea>
    </format>
    <format dxfId="2028">
      <pivotArea dataOnly="0" labelOnly="1" fieldPosition="0">
        <references count="2">
          <reference field="0" count="1" selected="0">
            <x v="75"/>
          </reference>
          <reference field="1" count="1">
            <x v="191"/>
          </reference>
        </references>
      </pivotArea>
    </format>
    <format dxfId="2027">
      <pivotArea dataOnly="0" labelOnly="1" fieldPosition="0">
        <references count="2">
          <reference field="0" count="1" selected="0">
            <x v="102"/>
          </reference>
          <reference field="1" count="1">
            <x v="6"/>
          </reference>
        </references>
      </pivotArea>
    </format>
    <format dxfId="2026">
      <pivotArea dataOnly="0" labelOnly="1" fieldPosition="0">
        <references count="2">
          <reference field="0" count="1" selected="0">
            <x v="38"/>
          </reference>
          <reference field="1" count="1">
            <x v="256"/>
          </reference>
        </references>
      </pivotArea>
    </format>
    <format dxfId="2025">
      <pivotArea dataOnly="0" labelOnly="1" fieldPosition="0">
        <references count="2">
          <reference field="0" count="1" selected="0">
            <x v="118"/>
          </reference>
          <reference field="1" count="1">
            <x v="93"/>
          </reference>
        </references>
      </pivotArea>
    </format>
    <format dxfId="2024">
      <pivotArea dataOnly="0" labelOnly="1" fieldPosition="0">
        <references count="2">
          <reference field="0" count="1" selected="0">
            <x v="99"/>
          </reference>
          <reference field="1" count="1">
            <x v="29"/>
          </reference>
        </references>
      </pivotArea>
    </format>
    <format dxfId="2023">
      <pivotArea dataOnly="0" labelOnly="1" fieldPosition="0">
        <references count="2">
          <reference field="0" count="1" selected="0">
            <x v="15"/>
          </reference>
          <reference field="1" count="1">
            <x v="147"/>
          </reference>
        </references>
      </pivotArea>
    </format>
    <format dxfId="2022">
      <pivotArea dataOnly="0" labelOnly="1" fieldPosition="0">
        <references count="2">
          <reference field="0" count="1" selected="0">
            <x v="65"/>
          </reference>
          <reference field="1" count="1">
            <x v="222"/>
          </reference>
        </references>
      </pivotArea>
    </format>
    <format dxfId="2021">
      <pivotArea dataOnly="0" labelOnly="1" fieldPosition="0">
        <references count="2">
          <reference field="0" count="1" selected="0">
            <x v="103"/>
          </reference>
          <reference field="1" count="1">
            <x v="8"/>
          </reference>
        </references>
      </pivotArea>
    </format>
    <format dxfId="2020">
      <pivotArea dataOnly="0" labelOnly="1" fieldPosition="0">
        <references count="2">
          <reference field="0" count="1" selected="0">
            <x v="234"/>
          </reference>
          <reference field="1" count="1">
            <x v="190"/>
          </reference>
        </references>
      </pivotArea>
    </format>
    <format dxfId="2019">
      <pivotArea dataOnly="0" labelOnly="1" fieldPosition="0">
        <references count="2">
          <reference field="0" count="1" selected="0">
            <x v="154"/>
          </reference>
          <reference field="1" count="1">
            <x v="1"/>
          </reference>
        </references>
      </pivotArea>
    </format>
    <format dxfId="2018">
      <pivotArea dataOnly="0" labelOnly="1" fieldPosition="0">
        <references count="2">
          <reference field="0" count="1" selected="0">
            <x v="187"/>
          </reference>
          <reference field="1" count="1">
            <x v="116"/>
          </reference>
        </references>
      </pivotArea>
    </format>
    <format dxfId="2017">
      <pivotArea dataOnly="0" labelOnly="1" fieldPosition="0">
        <references count="2">
          <reference field="0" count="1" selected="0">
            <x v="161"/>
          </reference>
          <reference field="1" count="1">
            <x v="121"/>
          </reference>
        </references>
      </pivotArea>
    </format>
    <format dxfId="2016">
      <pivotArea dataOnly="0" labelOnly="1" fieldPosition="0">
        <references count="2">
          <reference field="0" count="1" selected="0">
            <x v="67"/>
          </reference>
          <reference field="1" count="1">
            <x v="53"/>
          </reference>
        </references>
      </pivotArea>
    </format>
    <format dxfId="2015">
      <pivotArea dataOnly="0" labelOnly="1" fieldPosition="0">
        <references count="2">
          <reference field="0" count="1" selected="0">
            <x v="235"/>
          </reference>
          <reference field="1" count="1">
            <x v="193"/>
          </reference>
        </references>
      </pivotArea>
    </format>
    <format dxfId="2014">
      <pivotArea dataOnly="0" labelOnly="1" fieldPosition="0">
        <references count="2">
          <reference field="0" count="1" selected="0">
            <x v="229"/>
          </reference>
          <reference field="1" count="1">
            <x v="248"/>
          </reference>
        </references>
      </pivotArea>
    </format>
    <format dxfId="2013">
      <pivotArea dataOnly="0" labelOnly="1" fieldPosition="0">
        <references count="2">
          <reference field="0" count="1" selected="0">
            <x v="121"/>
          </reference>
          <reference field="1" count="1">
            <x v="209"/>
          </reference>
        </references>
      </pivotArea>
    </format>
    <format dxfId="2012">
      <pivotArea dataOnly="0" labelOnly="1" fieldPosition="0">
        <references count="2">
          <reference field="0" count="1" selected="0">
            <x v="98"/>
          </reference>
          <reference field="1" count="1">
            <x v="181"/>
          </reference>
        </references>
      </pivotArea>
    </format>
    <format dxfId="2011">
      <pivotArea dataOnly="0" labelOnly="1" fieldPosition="0">
        <references count="2">
          <reference field="0" count="1" selected="0">
            <x v="93"/>
          </reference>
          <reference field="1" count="1">
            <x v="152"/>
          </reference>
        </references>
      </pivotArea>
    </format>
    <format dxfId="2010">
      <pivotArea dataOnly="0" labelOnly="1" fieldPosition="0">
        <references count="2">
          <reference field="0" count="1" selected="0">
            <x v="158"/>
          </reference>
          <reference field="1" count="1">
            <x v="2"/>
          </reference>
        </references>
      </pivotArea>
    </format>
    <format dxfId="2009">
      <pivotArea dataOnly="0" labelOnly="1" fieldPosition="0">
        <references count="2">
          <reference field="0" count="1" selected="0">
            <x v="49"/>
          </reference>
          <reference field="1" count="1">
            <x v="49"/>
          </reference>
        </references>
      </pivotArea>
    </format>
    <format dxfId="2008">
      <pivotArea dataOnly="0" labelOnly="1" fieldPosition="0">
        <references count="2">
          <reference field="0" count="1" selected="0">
            <x v="105"/>
          </reference>
          <reference field="1" count="1">
            <x v="224"/>
          </reference>
        </references>
      </pivotArea>
    </format>
    <format dxfId="2007">
      <pivotArea dataOnly="0" labelOnly="1" fieldPosition="0">
        <references count="2">
          <reference field="0" count="1" selected="0">
            <x v="254"/>
          </reference>
          <reference field="1" count="1">
            <x v="79"/>
          </reference>
        </references>
      </pivotArea>
    </format>
    <format dxfId="2006">
      <pivotArea dataOnly="0" labelOnly="1" fieldPosition="0">
        <references count="2">
          <reference field="0" count="1" selected="0">
            <x v="257"/>
          </reference>
          <reference field="1" count="1">
            <x v="74"/>
          </reference>
        </references>
      </pivotArea>
    </format>
    <format dxfId="2005">
      <pivotArea dataOnly="0" labelOnly="1" fieldPosition="0">
        <references count="2">
          <reference field="0" count="1" selected="0">
            <x v="120"/>
          </reference>
          <reference field="1" count="1">
            <x v="218"/>
          </reference>
        </references>
      </pivotArea>
    </format>
    <format dxfId="2004">
      <pivotArea dataOnly="0" labelOnly="1" fieldPosition="0">
        <references count="2">
          <reference field="0" count="1" selected="0">
            <x v="164"/>
          </reference>
          <reference field="1" count="1">
            <x v="129"/>
          </reference>
        </references>
      </pivotArea>
    </format>
    <format dxfId="2003">
      <pivotArea dataOnly="0" labelOnly="1" fieldPosition="0">
        <references count="2">
          <reference field="0" count="1" selected="0">
            <x v="62"/>
          </reference>
          <reference field="1" count="1">
            <x v="197"/>
          </reference>
        </references>
      </pivotArea>
    </format>
    <format dxfId="2002">
      <pivotArea dataOnly="0" labelOnly="1" fieldPosition="0">
        <references count="2">
          <reference field="0" count="1" selected="0">
            <x v="142"/>
          </reference>
          <reference field="1" count="1">
            <x v="39"/>
          </reference>
        </references>
      </pivotArea>
    </format>
    <format dxfId="2001">
      <pivotArea dataOnly="0" labelOnly="1" fieldPosition="0">
        <references count="2">
          <reference field="0" count="1" selected="0">
            <x v="194"/>
          </reference>
          <reference field="1" count="1">
            <x v="156"/>
          </reference>
        </references>
      </pivotArea>
    </format>
    <format dxfId="2000">
      <pivotArea dataOnly="0" labelOnly="1" fieldPosition="0">
        <references count="2">
          <reference field="0" count="1" selected="0">
            <x v="100"/>
          </reference>
          <reference field="1" count="1">
            <x v="9"/>
          </reference>
        </references>
      </pivotArea>
    </format>
    <format dxfId="1999">
      <pivotArea dataOnly="0" labelOnly="1" fieldPosition="0">
        <references count="2">
          <reference field="0" count="1" selected="0">
            <x v="64"/>
          </reference>
          <reference field="1" count="1">
            <x v="55"/>
          </reference>
        </references>
      </pivotArea>
    </format>
    <format dxfId="1998">
      <pivotArea dataOnly="0" labelOnly="1" fieldPosition="0">
        <references count="2">
          <reference field="0" count="1" selected="0">
            <x v="96"/>
          </reference>
          <reference field="1" count="1">
            <x v="246"/>
          </reference>
        </references>
      </pivotArea>
    </format>
    <format dxfId="1997">
      <pivotArea dataOnly="0" labelOnly="1" fieldPosition="0">
        <references count="2">
          <reference field="0" count="1" selected="0">
            <x v="138"/>
          </reference>
          <reference field="1" count="1">
            <x v="97"/>
          </reference>
        </references>
      </pivotArea>
    </format>
    <format dxfId="1996">
      <pivotArea dataOnly="0" labelOnly="1" fieldPosition="0">
        <references count="2">
          <reference field="0" count="1" selected="0">
            <x v="23"/>
          </reference>
          <reference field="1" count="1">
            <x v="229"/>
          </reference>
        </references>
      </pivotArea>
    </format>
    <format dxfId="1995">
      <pivotArea dataOnly="0" labelOnly="1" fieldPosition="0">
        <references count="2">
          <reference field="0" count="1" selected="0">
            <x v="36"/>
          </reference>
          <reference field="1" count="1">
            <x v="89"/>
          </reference>
        </references>
      </pivotArea>
    </format>
    <format dxfId="1994">
      <pivotArea dataOnly="0" labelOnly="1" fieldPosition="0">
        <references count="2">
          <reference field="0" count="1" selected="0">
            <x v="107"/>
          </reference>
          <reference field="1" count="1">
            <x v="41"/>
          </reference>
        </references>
      </pivotArea>
    </format>
    <format dxfId="1993">
      <pivotArea dataOnly="0" labelOnly="1" fieldPosition="0">
        <references count="2">
          <reference field="0" count="1" selected="0">
            <x v="159"/>
          </reference>
          <reference field="1" count="1">
            <x v="136"/>
          </reference>
        </references>
      </pivotArea>
    </format>
    <format dxfId="1992">
      <pivotArea dataOnly="0" labelOnly="1" fieldPosition="0">
        <references count="2">
          <reference field="0" count="1" selected="0">
            <x v="127"/>
          </reference>
          <reference field="1" count="1">
            <x v="187"/>
          </reference>
        </references>
      </pivotArea>
    </format>
    <format dxfId="1991">
      <pivotArea dataOnly="0" labelOnly="1" fieldPosition="0">
        <references count="2">
          <reference field="0" count="1" selected="0">
            <x v="197"/>
          </reference>
          <reference field="1" count="1">
            <x v="135"/>
          </reference>
        </references>
      </pivotArea>
    </format>
    <format dxfId="1990">
      <pivotArea dataOnly="0" labelOnly="1" fieldPosition="0">
        <references count="2">
          <reference field="0" count="1" selected="0">
            <x v="50"/>
          </reference>
          <reference field="1" count="1">
            <x v="230"/>
          </reference>
        </references>
      </pivotArea>
    </format>
    <format dxfId="1989">
      <pivotArea dataOnly="0" labelOnly="1" fieldPosition="0">
        <references count="2">
          <reference field="0" count="1" selected="0">
            <x v="119"/>
          </reference>
          <reference field="1" count="1">
            <x v="52"/>
          </reference>
        </references>
      </pivotArea>
    </format>
    <format dxfId="1988">
      <pivotArea dataOnly="0" labelOnly="1" fieldPosition="0">
        <references count="2">
          <reference field="0" count="1" selected="0">
            <x v="104"/>
          </reference>
          <reference field="1" count="1">
            <x v="7"/>
          </reference>
        </references>
      </pivotArea>
    </format>
    <format dxfId="1987">
      <pivotArea dataOnly="0" labelOnly="1" fieldPosition="0">
        <references count="2">
          <reference field="0" count="1" selected="0">
            <x v="198"/>
          </reference>
          <reference field="1" count="1">
            <x v="24"/>
          </reference>
        </references>
      </pivotArea>
    </format>
    <format dxfId="1986">
      <pivotArea dataOnly="0" labelOnly="1" fieldPosition="0">
        <references count="2">
          <reference field="0" count="1" selected="0">
            <x v="24"/>
          </reference>
          <reference field="1" count="1">
            <x v="37"/>
          </reference>
        </references>
      </pivotArea>
    </format>
    <format dxfId="1985">
      <pivotArea dataOnly="0" labelOnly="1" fieldPosition="0">
        <references count="2">
          <reference field="0" count="1" selected="0">
            <x v="228"/>
          </reference>
          <reference field="1" count="1">
            <x v="212"/>
          </reference>
        </references>
      </pivotArea>
    </format>
    <format dxfId="1984">
      <pivotArea dataOnly="0" labelOnly="1" fieldPosition="0">
        <references count="2">
          <reference field="0" count="1" selected="0">
            <x v="126"/>
          </reference>
          <reference field="1" count="1">
            <x v="26"/>
          </reference>
        </references>
      </pivotArea>
    </format>
    <format dxfId="1983">
      <pivotArea dataOnly="0" labelOnly="1" fieldPosition="0">
        <references count="2">
          <reference field="0" count="1" selected="0">
            <x v="17"/>
          </reference>
          <reference field="1" count="1">
            <x v="94"/>
          </reference>
        </references>
      </pivotArea>
    </format>
    <format dxfId="1982">
      <pivotArea dataOnly="0" labelOnly="1" fieldPosition="0">
        <references count="2">
          <reference field="0" count="1" selected="0">
            <x v="76"/>
          </reference>
          <reference field="1" count="1">
            <x v="225"/>
          </reference>
        </references>
      </pivotArea>
    </format>
    <format dxfId="1981">
      <pivotArea dataOnly="0" labelOnly="1" fieldPosition="0">
        <references count="2">
          <reference field="0" count="1" selected="0">
            <x v="186"/>
          </reference>
          <reference field="1" count="1">
            <x v="115"/>
          </reference>
        </references>
      </pivotArea>
    </format>
    <format dxfId="1980">
      <pivotArea dataOnly="0" labelOnly="1" fieldPosition="0">
        <references count="2">
          <reference field="0" count="1" selected="0">
            <x v="92"/>
          </reference>
          <reference field="1" count="1">
            <x v="221"/>
          </reference>
        </references>
      </pivotArea>
    </format>
    <format dxfId="1979">
      <pivotArea dataOnly="0" labelOnly="1" fieldPosition="0">
        <references count="2">
          <reference field="0" count="1" selected="0">
            <x v="217"/>
          </reference>
          <reference field="1" count="1">
            <x v="247"/>
          </reference>
        </references>
      </pivotArea>
    </format>
    <format dxfId="1978">
      <pivotArea dataOnly="0" labelOnly="1" fieldPosition="0">
        <references count="2">
          <reference field="0" count="1" selected="0">
            <x v="256"/>
          </reference>
          <reference field="1" count="1">
            <x v="249"/>
          </reference>
        </references>
      </pivotArea>
    </format>
    <format dxfId="1977">
      <pivotArea dataOnly="0" labelOnly="1" fieldPosition="0">
        <references count="2">
          <reference field="0" count="1" selected="0">
            <x v="132"/>
          </reference>
          <reference field="1" count="1">
            <x v="102"/>
          </reference>
        </references>
      </pivotArea>
    </format>
    <format dxfId="1976">
      <pivotArea dataOnly="0" labelOnly="1" fieldPosition="0">
        <references count="2">
          <reference field="0" count="1" selected="0">
            <x v="230"/>
          </reference>
          <reference field="1" count="1">
            <x v="161"/>
          </reference>
        </references>
      </pivotArea>
    </format>
    <format dxfId="1975">
      <pivotArea dataOnly="0" labelOnly="1" fieldPosition="0">
        <references count="2">
          <reference field="0" count="1" selected="0">
            <x v="116"/>
          </reference>
          <reference field="1" count="1">
            <x v="91"/>
          </reference>
        </references>
      </pivotArea>
    </format>
    <format dxfId="1974">
      <pivotArea dataOnly="0" labelOnly="1" fieldPosition="0">
        <references count="2">
          <reference field="0" count="1" selected="0">
            <x v="58"/>
          </reference>
          <reference field="1" count="1">
            <x v="239"/>
          </reference>
        </references>
      </pivotArea>
    </format>
    <format dxfId="1973">
      <pivotArea dataOnly="0" labelOnly="1" fieldPosition="0">
        <references count="2">
          <reference field="0" count="1" selected="0">
            <x v="51"/>
          </reference>
          <reference field="1" count="1">
            <x v="228"/>
          </reference>
        </references>
      </pivotArea>
    </format>
    <format dxfId="1972">
      <pivotArea dataOnly="0" labelOnly="1" fieldPosition="0">
        <references count="2">
          <reference field="0" count="1" selected="0">
            <x v="218"/>
          </reference>
          <reference field="1" count="1">
            <x v="86"/>
          </reference>
        </references>
      </pivotArea>
    </format>
    <format dxfId="1971">
      <pivotArea dataOnly="0" labelOnly="1" fieldPosition="0">
        <references count="2">
          <reference field="0" count="1" selected="0">
            <x v="56"/>
          </reference>
          <reference field="1" count="1">
            <x v="241"/>
          </reference>
        </references>
      </pivotArea>
    </format>
    <format dxfId="1970">
      <pivotArea dataOnly="0" labelOnly="1" fieldPosition="0">
        <references count="2">
          <reference field="0" count="1" selected="0">
            <x v="94"/>
          </reference>
          <reference field="1" count="1">
            <x v="227"/>
          </reference>
        </references>
      </pivotArea>
    </format>
    <format dxfId="1969">
      <pivotArea dataOnly="0" labelOnly="1" fieldPosition="0">
        <references count="2">
          <reference field="0" count="1" selected="0">
            <x v="211"/>
          </reference>
          <reference field="1" count="1">
            <x v="68"/>
          </reference>
        </references>
      </pivotArea>
    </format>
    <format dxfId="1968">
      <pivotArea dataOnly="0" labelOnly="1" fieldPosition="0">
        <references count="2">
          <reference field="0" count="1" selected="0">
            <x v="207"/>
          </reference>
          <reference field="1" count="1">
            <x v="134"/>
          </reference>
        </references>
      </pivotArea>
    </format>
    <format dxfId="1967">
      <pivotArea dataOnly="0" labelOnly="1" fieldPosition="0">
        <references count="2">
          <reference field="0" count="1" selected="0">
            <x v="44"/>
          </reference>
          <reference field="1" count="1">
            <x v="199"/>
          </reference>
        </references>
      </pivotArea>
    </format>
    <format dxfId="1966">
      <pivotArea dataOnly="0" labelOnly="1" fieldPosition="0">
        <references count="2">
          <reference field="0" count="1" selected="0">
            <x v="222"/>
          </reference>
          <reference field="1" count="1">
            <x v="180"/>
          </reference>
        </references>
      </pivotArea>
    </format>
    <format dxfId="1965">
      <pivotArea dataOnly="0" labelOnly="1" fieldPosition="0">
        <references count="2">
          <reference field="0" count="1" selected="0">
            <x v="70"/>
          </reference>
          <reference field="1" count="1">
            <x v="151"/>
          </reference>
        </references>
      </pivotArea>
    </format>
    <format dxfId="1964">
      <pivotArea dataOnly="0" labelOnly="1" fieldPosition="0">
        <references count="2">
          <reference field="0" count="1" selected="0">
            <x v="34"/>
          </reference>
          <reference field="1" count="1">
            <x v="17"/>
          </reference>
        </references>
      </pivotArea>
    </format>
    <format dxfId="1963">
      <pivotArea dataOnly="0" labelOnly="1" fieldPosition="0">
        <references count="2">
          <reference field="0" count="1" selected="0">
            <x v="81"/>
          </reference>
          <reference field="1" count="1">
            <x v="63"/>
          </reference>
        </references>
      </pivotArea>
    </format>
    <format dxfId="1962">
      <pivotArea dataOnly="0" labelOnly="1" fieldPosition="0">
        <references count="2">
          <reference field="0" count="1" selected="0">
            <x v="45"/>
          </reference>
          <reference field="1" count="1">
            <x v="48"/>
          </reference>
        </references>
      </pivotArea>
    </format>
    <format dxfId="1961">
      <pivotArea dataOnly="0" labelOnly="1" fieldPosition="0">
        <references count="2">
          <reference field="0" count="1" selected="0">
            <x v="175"/>
          </reference>
          <reference field="1" count="1">
            <x v="124"/>
          </reference>
        </references>
      </pivotArea>
    </format>
    <format dxfId="1960">
      <pivotArea dataOnly="0" labelOnly="1" fieldPosition="0">
        <references count="2">
          <reference field="0" count="1" selected="0">
            <x v="69"/>
          </reference>
          <reference field="1" count="1">
            <x v="11"/>
          </reference>
        </references>
      </pivotArea>
    </format>
    <format dxfId="1959">
      <pivotArea dataOnly="0" labelOnly="1" fieldPosition="0">
        <references count="2">
          <reference field="0" count="1" selected="0">
            <x v="21"/>
          </reference>
          <reference field="1" count="1">
            <x v="32"/>
          </reference>
        </references>
      </pivotArea>
    </format>
    <format dxfId="1958">
      <pivotArea dataOnly="0" labelOnly="1" fieldPosition="0">
        <references count="2">
          <reference field="0" count="1" selected="0">
            <x v="114"/>
          </reference>
          <reference field="1" count="1">
            <x v="12"/>
          </reference>
        </references>
      </pivotArea>
    </format>
    <format dxfId="1957">
      <pivotArea dataOnly="0" labelOnly="1" fieldPosition="0">
        <references count="2">
          <reference field="0" count="1" selected="0">
            <x v="84"/>
          </reference>
          <reference field="1" count="1">
            <x v="140"/>
          </reference>
        </references>
      </pivotArea>
    </format>
    <format dxfId="1956">
      <pivotArea dataOnly="0" labelOnly="1" fieldPosition="0">
        <references count="2">
          <reference field="0" count="1" selected="0">
            <x v="110"/>
          </reference>
          <reference field="1" count="1">
            <x v="226"/>
          </reference>
        </references>
      </pivotArea>
    </format>
    <format dxfId="1955">
      <pivotArea dataOnly="0" labelOnly="1" fieldPosition="0">
        <references count="2">
          <reference field="0" count="1" selected="0">
            <x v="106"/>
          </reference>
          <reference field="1" count="1">
            <x v="196"/>
          </reference>
        </references>
      </pivotArea>
    </format>
    <format dxfId="1954">
      <pivotArea dataOnly="0" labelOnly="1" fieldPosition="0">
        <references count="2">
          <reference field="0" count="1" selected="0">
            <x v="77"/>
          </reference>
          <reference field="1" count="1">
            <x v="200"/>
          </reference>
        </references>
      </pivotArea>
    </format>
    <format dxfId="1953">
      <pivotArea dataOnly="0" labelOnly="1" fieldPosition="0">
        <references count="2">
          <reference field="0" count="1" selected="0">
            <x v="117"/>
          </reference>
          <reference field="1" count="1">
            <x v="33"/>
          </reference>
        </references>
      </pivotArea>
    </format>
    <format dxfId="1952">
      <pivotArea dataOnly="0" labelOnly="1" fieldPosition="0">
        <references count="2">
          <reference field="0" count="1" selected="0">
            <x v="124"/>
          </reference>
          <reference field="1" count="1">
            <x v="216"/>
          </reference>
        </references>
      </pivotArea>
    </format>
    <format dxfId="1951">
      <pivotArea dataOnly="0" labelOnly="1" fieldPosition="0">
        <references count="2">
          <reference field="0" count="1" selected="0">
            <x v="80"/>
          </reference>
          <reference field="1" count="1">
            <x v="58"/>
          </reference>
        </references>
      </pivotArea>
    </format>
    <format dxfId="1950">
      <pivotArea dataOnly="0" labelOnly="1" fieldPosition="0">
        <references count="2">
          <reference field="0" count="1" selected="0">
            <x v="172"/>
          </reference>
          <reference field="1" count="1">
            <x v="101"/>
          </reference>
        </references>
      </pivotArea>
    </format>
    <format dxfId="1949">
      <pivotArea dataOnly="0" labelOnly="1" fieldPosition="0">
        <references count="2">
          <reference field="0" count="1" selected="0">
            <x v="157"/>
          </reference>
          <reference field="1" count="1">
            <x v="183"/>
          </reference>
        </references>
      </pivotArea>
    </format>
    <format dxfId="1948">
      <pivotArea dataOnly="0" labelOnly="1" fieldPosition="0">
        <references count="2">
          <reference field="0" count="1" selected="0">
            <x v="109"/>
          </reference>
          <reference field="1" count="1">
            <x v="220"/>
          </reference>
        </references>
      </pivotArea>
    </format>
    <format dxfId="1947">
      <pivotArea dataOnly="0" labelOnly="1" fieldPosition="0">
        <references count="2">
          <reference field="0" count="1" selected="0">
            <x v="32"/>
          </reference>
          <reference field="1" count="1">
            <x v="159"/>
          </reference>
        </references>
      </pivotArea>
    </format>
    <format dxfId="1946">
      <pivotArea dataOnly="0" labelOnly="1" fieldPosition="0">
        <references count="2">
          <reference field="0" count="1" selected="0">
            <x v="40"/>
          </reference>
          <reference field="1" count="1">
            <x v="36"/>
          </reference>
        </references>
      </pivotArea>
    </format>
    <format dxfId="1945">
      <pivotArea dataOnly="0" labelOnly="1" fieldPosition="0">
        <references count="2">
          <reference field="0" count="1" selected="0">
            <x v="54"/>
          </reference>
          <reference field="1" count="1">
            <x v="207"/>
          </reference>
        </references>
      </pivotArea>
    </format>
    <format dxfId="1944">
      <pivotArea dataOnly="0" labelOnly="1" fieldPosition="0">
        <references count="2">
          <reference field="0" count="1" selected="0">
            <x v="108"/>
          </reference>
          <reference field="1" count="1">
            <x v="5"/>
          </reference>
        </references>
      </pivotArea>
    </format>
    <format dxfId="1943">
      <pivotArea dataOnly="0" labelOnly="1" fieldPosition="0">
        <references count="2">
          <reference field="0" count="1" selected="0">
            <x v="200"/>
          </reference>
          <reference field="1" count="1">
            <x v="123"/>
          </reference>
        </references>
      </pivotArea>
    </format>
    <format dxfId="1942">
      <pivotArea dataOnly="0" labelOnly="1" fieldPosition="0">
        <references count="2">
          <reference field="0" count="1" selected="0">
            <x v="156"/>
          </reference>
          <reference field="1" count="1">
            <x v="144"/>
          </reference>
        </references>
      </pivotArea>
    </format>
    <format dxfId="1941">
      <pivotArea dataOnly="0" labelOnly="1" fieldPosition="0">
        <references count="2">
          <reference field="0" count="1" selected="0">
            <x v="74"/>
          </reference>
          <reference field="1" count="1">
            <x v="219"/>
          </reference>
        </references>
      </pivotArea>
    </format>
    <format dxfId="1940">
      <pivotArea dataOnly="0" labelOnly="1" fieldPosition="0">
        <references count="2">
          <reference field="0" count="1" selected="0">
            <x v="27"/>
          </reference>
          <reference field="1" count="1">
            <x v="257"/>
          </reference>
        </references>
      </pivotArea>
    </format>
    <format dxfId="1939">
      <pivotArea dataOnly="0" labelOnly="1" fieldPosition="0">
        <references count="2">
          <reference field="0" count="1" selected="0">
            <x v="43"/>
          </reference>
          <reference field="1" count="1">
            <x v="46"/>
          </reference>
        </references>
      </pivotArea>
    </format>
    <format dxfId="1938">
      <pivotArea dataOnly="0" labelOnly="1" fieldPosition="0">
        <references count="2">
          <reference field="0" count="1" selected="0">
            <x v="66"/>
          </reference>
          <reference field="1" count="1">
            <x v="28"/>
          </reference>
        </references>
      </pivotArea>
    </format>
    <format dxfId="1937">
      <pivotArea dataOnly="0" labelOnly="1" fieldPosition="0">
        <references count="2">
          <reference field="0" count="1" selected="0">
            <x v="47"/>
          </reference>
          <reference field="1" count="1">
            <x v="99"/>
          </reference>
        </references>
      </pivotArea>
    </format>
    <format dxfId="1936">
      <pivotArea dataOnly="0" labelOnly="1" fieldPosition="0">
        <references count="2">
          <reference field="0" count="1" selected="0">
            <x v="33"/>
          </reference>
          <reference field="1" count="1">
            <x v="20"/>
          </reference>
        </references>
      </pivotArea>
    </format>
    <format dxfId="1935">
      <pivotArea dataOnly="0" labelOnly="1" fieldPosition="0">
        <references count="2">
          <reference field="0" count="1" selected="0">
            <x v="219"/>
          </reference>
          <reference field="1" count="1">
            <x v="71"/>
          </reference>
        </references>
      </pivotArea>
    </format>
    <format dxfId="1934">
      <pivotArea dataOnly="0" labelOnly="1" fieldPosition="0">
        <references count="2">
          <reference field="0" count="1" selected="0">
            <x v="191"/>
          </reference>
          <reference field="1" count="1">
            <x v="245"/>
          </reference>
        </references>
      </pivotArea>
    </format>
    <format dxfId="1933">
      <pivotArea dataOnly="0" labelOnly="1" fieldPosition="0">
        <references count="2">
          <reference field="0" count="1" selected="0">
            <x v="123"/>
          </reference>
          <reference field="1" count="1">
            <x v="155"/>
          </reference>
        </references>
      </pivotArea>
    </format>
    <format dxfId="1932">
      <pivotArea dataOnly="0" labelOnly="1" fieldPosition="0">
        <references count="2">
          <reference field="0" count="1" selected="0">
            <x v="192"/>
          </reference>
          <reference field="1" count="1">
            <x v="38"/>
          </reference>
        </references>
      </pivotArea>
    </format>
    <format dxfId="1931">
      <pivotArea dataOnly="0" labelOnly="1" fieldPosition="0">
        <references count="2">
          <reference field="0" count="1" selected="0">
            <x v="171"/>
          </reference>
          <reference field="1" count="1">
            <x v="126"/>
          </reference>
        </references>
      </pivotArea>
    </format>
    <format dxfId="1930">
      <pivotArea dataOnly="0" labelOnly="1" fieldPosition="0">
        <references count="2">
          <reference field="0" count="1" selected="0">
            <x v="46"/>
          </reference>
          <reference field="1" count="1">
            <x v="47"/>
          </reference>
        </references>
      </pivotArea>
    </format>
    <format dxfId="1929">
      <pivotArea dataOnly="0" labelOnly="1" fieldPosition="0">
        <references count="2">
          <reference field="0" count="1" selected="0">
            <x v="31"/>
          </reference>
          <reference field="1" count="1">
            <x v="16"/>
          </reference>
        </references>
      </pivotArea>
    </format>
    <format dxfId="1928">
      <pivotArea dataOnly="0" labelOnly="1" fieldPosition="0">
        <references count="2">
          <reference field="0" count="1" selected="0">
            <x v="52"/>
          </reference>
          <reference field="1" count="1">
            <x v="215"/>
          </reference>
        </references>
      </pivotArea>
    </format>
    <format dxfId="1927">
      <pivotArea dataOnly="0" labelOnly="1" fieldPosition="0">
        <references count="2">
          <reference field="0" count="1" selected="0">
            <x v="26"/>
          </reference>
          <reference field="1" count="1">
            <x v="148"/>
          </reference>
        </references>
      </pivotArea>
    </format>
    <format dxfId="1926">
      <pivotArea dataOnly="0" labelOnly="1" fieldPosition="0">
        <references count="2">
          <reference field="0" count="1" selected="0">
            <x v="14"/>
          </reference>
          <reference field="1" count="1">
            <x v="252"/>
          </reference>
        </references>
      </pivotArea>
    </format>
    <format dxfId="1925">
      <pivotArea dataOnly="0" labelOnly="1" fieldPosition="0">
        <references count="2">
          <reference field="0" count="1" selected="0">
            <x v="125"/>
          </reference>
          <reference field="1" count="1">
            <x v="43"/>
          </reference>
        </references>
      </pivotArea>
    </format>
    <format dxfId="1924">
      <pivotArea dataOnly="0" labelOnly="1" fieldPosition="0">
        <references count="2">
          <reference field="0" count="1" selected="0">
            <x v="115"/>
          </reference>
          <reference field="1" count="1">
            <x v="90"/>
          </reference>
        </references>
      </pivotArea>
    </format>
    <format dxfId="1923">
      <pivotArea dataOnly="0" labelOnly="1" fieldPosition="0">
        <references count="2">
          <reference field="0" count="1" selected="0">
            <x v="35"/>
          </reference>
          <reference field="1" count="1">
            <x v="15"/>
          </reference>
        </references>
      </pivotArea>
    </format>
    <format dxfId="1922">
      <pivotArea field="0" type="button" dataOnly="0" labelOnly="1" outline="0" axis="axisRow" fieldPosition="0"/>
    </format>
    <format dxfId="1921">
      <pivotArea dataOnly="0" labelOnly="1" fieldPosition="0">
        <references count="1">
          <reference field="0" count="50">
            <x v="0"/>
            <x v="1"/>
            <x v="3"/>
            <x v="5"/>
            <x v="6"/>
            <x v="8"/>
            <x v="11"/>
            <x v="25"/>
            <x v="71"/>
            <x v="79"/>
            <x v="82"/>
            <x v="87"/>
            <x v="130"/>
            <x v="131"/>
            <x v="133"/>
            <x v="134"/>
            <x v="135"/>
            <x v="136"/>
            <x v="143"/>
            <x v="150"/>
            <x v="151"/>
            <x v="153"/>
            <x v="165"/>
            <x v="167"/>
            <x v="168"/>
            <x v="176"/>
            <x v="177"/>
            <x v="179"/>
            <x v="180"/>
            <x v="182"/>
            <x v="184"/>
            <x v="188"/>
            <x v="199"/>
            <x v="201"/>
            <x v="203"/>
            <x v="204"/>
            <x v="205"/>
            <x v="210"/>
            <x v="213"/>
            <x v="216"/>
            <x v="220"/>
            <x v="224"/>
            <x v="226"/>
            <x v="233"/>
            <x v="240"/>
            <x v="244"/>
            <x v="245"/>
            <x v="246"/>
            <x v="249"/>
            <x v="250"/>
          </reference>
        </references>
      </pivotArea>
    </format>
    <format dxfId="1920">
      <pivotArea dataOnly="0" labelOnly="1" fieldPosition="0">
        <references count="1">
          <reference field="0" count="50">
            <x v="2"/>
            <x v="4"/>
            <x v="7"/>
            <x v="9"/>
            <x v="10"/>
            <x v="18"/>
            <x v="19"/>
            <x v="20"/>
            <x v="22"/>
            <x v="28"/>
            <x v="37"/>
            <x v="41"/>
            <x v="42"/>
            <x v="48"/>
            <x v="55"/>
            <x v="57"/>
            <x v="61"/>
            <x v="73"/>
            <x v="86"/>
            <x v="88"/>
            <x v="90"/>
            <x v="128"/>
            <x v="137"/>
            <x v="141"/>
            <x v="144"/>
            <x v="146"/>
            <x v="148"/>
            <x v="149"/>
            <x v="155"/>
            <x v="163"/>
            <x v="169"/>
            <x v="170"/>
            <x v="174"/>
            <x v="178"/>
            <x v="183"/>
            <x v="189"/>
            <x v="193"/>
            <x v="195"/>
            <x v="202"/>
            <x v="206"/>
            <x v="212"/>
            <x v="214"/>
            <x v="221"/>
            <x v="231"/>
            <x v="232"/>
            <x v="241"/>
            <x v="247"/>
            <x v="251"/>
            <x v="252"/>
            <x v="255"/>
          </reference>
        </references>
      </pivotArea>
    </format>
    <format dxfId="1919">
      <pivotArea dataOnly="0" labelOnly="1" fieldPosition="0">
        <references count="1">
          <reference field="0" count="50">
            <x v="13"/>
            <x v="16"/>
            <x v="29"/>
            <x v="30"/>
            <x v="39"/>
            <x v="53"/>
            <x v="59"/>
            <x v="60"/>
            <x v="63"/>
            <x v="68"/>
            <x v="72"/>
            <x v="78"/>
            <x v="83"/>
            <x v="89"/>
            <x v="91"/>
            <x v="95"/>
            <x v="97"/>
            <x v="101"/>
            <x v="111"/>
            <x v="112"/>
            <x v="113"/>
            <x v="122"/>
            <x v="129"/>
            <x v="139"/>
            <x v="140"/>
            <x v="145"/>
            <x v="147"/>
            <x v="152"/>
            <x v="160"/>
            <x v="162"/>
            <x v="166"/>
            <x v="173"/>
            <x v="181"/>
            <x v="185"/>
            <x v="190"/>
            <x v="196"/>
            <x v="208"/>
            <x v="209"/>
            <x v="215"/>
            <x v="223"/>
            <x v="225"/>
            <x v="227"/>
            <x v="236"/>
            <x v="237"/>
            <x v="238"/>
            <x v="239"/>
            <x v="242"/>
            <x v="243"/>
            <x v="248"/>
            <x v="253"/>
          </reference>
        </references>
      </pivotArea>
    </format>
    <format dxfId="1918">
      <pivotArea dataOnly="0" labelOnly="1" fieldPosition="0">
        <references count="1">
          <reference field="0" count="50">
            <x v="12"/>
            <x v="15"/>
            <x v="17"/>
            <x v="23"/>
            <x v="24"/>
            <x v="36"/>
            <x v="38"/>
            <x v="49"/>
            <x v="50"/>
            <x v="62"/>
            <x v="64"/>
            <x v="65"/>
            <x v="67"/>
            <x v="75"/>
            <x v="76"/>
            <x v="85"/>
            <x v="93"/>
            <x v="96"/>
            <x v="98"/>
            <x v="99"/>
            <x v="100"/>
            <x v="102"/>
            <x v="103"/>
            <x v="104"/>
            <x v="105"/>
            <x v="107"/>
            <x v="118"/>
            <x v="119"/>
            <x v="120"/>
            <x v="121"/>
            <x v="126"/>
            <x v="127"/>
            <x v="138"/>
            <x v="142"/>
            <x v="154"/>
            <x v="158"/>
            <x v="159"/>
            <x v="161"/>
            <x v="164"/>
            <x v="186"/>
            <x v="187"/>
            <x v="194"/>
            <x v="197"/>
            <x v="198"/>
            <x v="228"/>
            <x v="229"/>
            <x v="234"/>
            <x v="235"/>
            <x v="254"/>
            <x v="257"/>
          </reference>
        </references>
      </pivotArea>
    </format>
    <format dxfId="1917">
      <pivotArea dataOnly="0" labelOnly="1" fieldPosition="0">
        <references count="1">
          <reference field="0" count="50">
            <x v="21"/>
            <x v="27"/>
            <x v="32"/>
            <x v="33"/>
            <x v="34"/>
            <x v="40"/>
            <x v="43"/>
            <x v="44"/>
            <x v="45"/>
            <x v="47"/>
            <x v="51"/>
            <x v="54"/>
            <x v="56"/>
            <x v="58"/>
            <x v="66"/>
            <x v="69"/>
            <x v="70"/>
            <x v="74"/>
            <x v="77"/>
            <x v="80"/>
            <x v="81"/>
            <x v="84"/>
            <x v="92"/>
            <x v="94"/>
            <x v="106"/>
            <x v="108"/>
            <x v="109"/>
            <x v="110"/>
            <x v="114"/>
            <x v="116"/>
            <x v="117"/>
            <x v="123"/>
            <x v="124"/>
            <x v="132"/>
            <x v="156"/>
            <x v="157"/>
            <x v="171"/>
            <x v="172"/>
            <x v="175"/>
            <x v="191"/>
            <x v="192"/>
            <x v="200"/>
            <x v="207"/>
            <x v="211"/>
            <x v="217"/>
            <x v="218"/>
            <x v="219"/>
            <x v="222"/>
            <x v="230"/>
            <x v="256"/>
          </reference>
        </references>
      </pivotArea>
    </format>
    <format dxfId="1916">
      <pivotArea dataOnly="0" labelOnly="1" fieldPosition="0">
        <references count="1">
          <reference field="0" count="8">
            <x v="14"/>
            <x v="26"/>
            <x v="31"/>
            <x v="35"/>
            <x v="46"/>
            <x v="52"/>
            <x v="115"/>
            <x v="125"/>
          </reference>
        </references>
      </pivotArea>
    </format>
    <format dxfId="1915">
      <pivotArea dataOnly="0" labelOnly="1" grandRow="1" outline="0" fieldPosition="0"/>
    </format>
    <format dxfId="1914">
      <pivotArea dataOnly="0" labelOnly="1" fieldPosition="0">
        <references count="2">
          <reference field="0" count="1" selected="0">
            <x v="82"/>
          </reference>
          <reference field="1" count="1">
            <x v="62"/>
          </reference>
        </references>
      </pivotArea>
    </format>
    <format dxfId="1913">
      <pivotArea dataOnly="0" labelOnly="1" fieldPosition="0">
        <references count="2">
          <reference field="0" count="1" selected="0">
            <x v="3"/>
          </reference>
          <reference field="1" count="1">
            <x v="179"/>
          </reference>
        </references>
      </pivotArea>
    </format>
    <format dxfId="1912">
      <pivotArea dataOnly="0" labelOnly="1" fieldPosition="0">
        <references count="2">
          <reference field="0" count="1" selected="0">
            <x v="250"/>
          </reference>
          <reference field="1" count="1">
            <x v="87"/>
          </reference>
        </references>
      </pivotArea>
    </format>
    <format dxfId="1911">
      <pivotArea dataOnly="0" labelOnly="1" fieldPosition="0">
        <references count="2">
          <reference field="0" count="1" selected="0">
            <x v="201"/>
          </reference>
          <reference field="1" count="1">
            <x v="133"/>
          </reference>
        </references>
      </pivotArea>
    </format>
    <format dxfId="1910">
      <pivotArea dataOnly="0" labelOnly="1" fieldPosition="0">
        <references count="2">
          <reference field="0" count="1" selected="0">
            <x v="133"/>
          </reference>
          <reference field="1" count="1">
            <x v="244"/>
          </reference>
        </references>
      </pivotArea>
    </format>
    <format dxfId="1909">
      <pivotArea dataOnly="0" labelOnly="1" fieldPosition="0">
        <references count="2">
          <reference field="0" count="1" selected="0">
            <x v="244"/>
          </reference>
          <reference field="1" count="1">
            <x v="76"/>
          </reference>
        </references>
      </pivotArea>
    </format>
    <format dxfId="1908">
      <pivotArea dataOnly="0" labelOnly="1" fieldPosition="0">
        <references count="2">
          <reference field="0" count="1" selected="0">
            <x v="249"/>
          </reference>
          <reference field="1" count="1">
            <x v="204"/>
          </reference>
        </references>
      </pivotArea>
    </format>
    <format dxfId="1907">
      <pivotArea dataOnly="0" labelOnly="1" fieldPosition="0">
        <references count="2">
          <reference field="0" count="1" selected="0">
            <x v="179"/>
          </reference>
          <reference field="1" count="1">
            <x v="139"/>
          </reference>
        </references>
      </pivotArea>
    </format>
    <format dxfId="1906">
      <pivotArea dataOnly="0" labelOnly="1" fieldPosition="0">
        <references count="2">
          <reference field="0" count="1" selected="0">
            <x v="165"/>
          </reference>
          <reference field="1" count="1">
            <x v="186"/>
          </reference>
        </references>
      </pivotArea>
    </format>
    <format dxfId="1905">
      <pivotArea dataOnly="0" labelOnly="1" fieldPosition="0">
        <references count="2">
          <reference field="0" count="1" selected="0">
            <x v="131"/>
          </reference>
          <reference field="1" count="1">
            <x v="165"/>
          </reference>
        </references>
      </pivotArea>
    </format>
    <format dxfId="1904">
      <pivotArea dataOnly="0" labelOnly="1" fieldPosition="0">
        <references count="2">
          <reference field="0" count="1" selected="0">
            <x v="143"/>
          </reference>
          <reference field="1" count="1">
            <x v="44"/>
          </reference>
        </references>
      </pivotArea>
    </format>
    <format dxfId="1903">
      <pivotArea dataOnly="0" labelOnly="1" fieldPosition="0">
        <references count="2">
          <reference field="0" count="1" selected="0">
            <x v="203"/>
          </reference>
          <reference field="1" count="1">
            <x v="232"/>
          </reference>
        </references>
      </pivotArea>
    </format>
    <format dxfId="1902">
      <pivotArea dataOnly="0" labelOnly="1" fieldPosition="0">
        <references count="2">
          <reference field="0" count="1" selected="0">
            <x v="204"/>
          </reference>
          <reference field="1" count="1">
            <x v="27"/>
          </reference>
        </references>
      </pivotArea>
    </format>
    <format dxfId="1901">
      <pivotArea dataOnly="0" labelOnly="1" fieldPosition="0">
        <references count="2">
          <reference field="0" count="1" selected="0">
            <x v="168"/>
          </reference>
          <reference field="1" count="1">
            <x v="253"/>
          </reference>
        </references>
      </pivotArea>
    </format>
    <format dxfId="1900">
      <pivotArea dataOnly="0" labelOnly="1" fieldPosition="0">
        <references count="2">
          <reference field="0" count="1" selected="0">
            <x v="71"/>
          </reference>
          <reference field="1" count="1">
            <x v="201"/>
          </reference>
        </references>
      </pivotArea>
    </format>
    <format dxfId="1899">
      <pivotArea dataOnly="0" labelOnly="1" fieldPosition="0">
        <references count="2">
          <reference field="0" count="1" selected="0">
            <x v="245"/>
          </reference>
          <reference field="1" count="1">
            <x v="34"/>
          </reference>
        </references>
      </pivotArea>
    </format>
    <format dxfId="1898">
      <pivotArea dataOnly="0" labelOnly="1" fieldPosition="0">
        <references count="2">
          <reference field="0" count="1" selected="0">
            <x v="135"/>
          </reference>
          <reference field="1" count="1">
            <x v="189"/>
          </reference>
        </references>
      </pivotArea>
    </format>
    <format dxfId="1897">
      <pivotArea dataOnly="0" labelOnly="1" fieldPosition="0">
        <references count="2">
          <reference field="0" count="1" selected="0">
            <x v="184"/>
          </reference>
          <reference field="1" count="1">
            <x v="117"/>
          </reference>
        </references>
      </pivotArea>
    </format>
    <format dxfId="1896">
      <pivotArea dataOnly="0" labelOnly="1" fieldPosition="0">
        <references count="2">
          <reference field="0" count="1" selected="0">
            <x v="224"/>
          </reference>
          <reference field="1" count="1">
            <x v="73"/>
          </reference>
        </references>
      </pivotArea>
    </format>
    <format dxfId="1895">
      <pivotArea dataOnly="0" labelOnly="1" fieldPosition="0">
        <references count="2">
          <reference field="0" count="1" selected="0">
            <x v="87"/>
          </reference>
          <reference field="1" count="1">
            <x v="61"/>
          </reference>
        </references>
      </pivotArea>
    </format>
    <format dxfId="1894">
      <pivotArea dataOnly="0" labelOnly="1" fieldPosition="0">
        <references count="2">
          <reference field="0" count="1" selected="0">
            <x v="199"/>
          </reference>
          <reference field="1" count="1">
            <x v="127"/>
          </reference>
        </references>
      </pivotArea>
    </format>
    <format dxfId="1893">
      <pivotArea dataOnly="0" labelOnly="1" fieldPosition="0">
        <references count="2">
          <reference field="0" count="1" selected="0">
            <x v="220"/>
          </reference>
          <reference field="1" count="1">
            <x v="78"/>
          </reference>
        </references>
      </pivotArea>
    </format>
    <format dxfId="1892">
      <pivotArea dataOnly="0" labelOnly="1" fieldPosition="0">
        <references count="2">
          <reference field="0" count="1" selected="0">
            <x v="213"/>
          </reference>
          <reference field="1" count="1">
            <x v="84"/>
          </reference>
        </references>
      </pivotArea>
    </format>
    <format dxfId="1891">
      <pivotArea dataOnly="0" labelOnly="1" fieldPosition="0">
        <references count="2">
          <reference field="0" count="1" selected="0">
            <x v="5"/>
          </reference>
          <reference field="1" count="1">
            <x v="0"/>
          </reference>
        </references>
      </pivotArea>
    </format>
    <format dxfId="1890">
      <pivotArea dataOnly="0" labelOnly="1" fieldPosition="0">
        <references count="2">
          <reference field="0" count="1" selected="0">
            <x v="136"/>
          </reference>
          <reference field="1" count="1">
            <x v="4"/>
          </reference>
        </references>
      </pivotArea>
    </format>
    <format dxfId="1889">
      <pivotArea dataOnly="0" labelOnly="1" fieldPosition="0">
        <references count="2">
          <reference field="0" count="1" selected="0">
            <x v="8"/>
          </reference>
          <reference field="1" count="1">
            <x v="10"/>
          </reference>
        </references>
      </pivotArea>
    </format>
    <format dxfId="1888">
      <pivotArea dataOnly="0" labelOnly="1" fieldPosition="0">
        <references count="2">
          <reference field="0" count="1" selected="0">
            <x v="240"/>
          </reference>
          <reference field="1" count="1">
            <x v="77"/>
          </reference>
        </references>
      </pivotArea>
    </format>
    <format dxfId="1887">
      <pivotArea dataOnly="0" labelOnly="1" fieldPosition="0">
        <references count="2">
          <reference field="0" count="1" selected="0">
            <x v="153"/>
          </reference>
          <reference field="1" count="1">
            <x v="167"/>
          </reference>
        </references>
      </pivotArea>
    </format>
    <format dxfId="1886">
      <pivotArea dataOnly="0" labelOnly="1" fieldPosition="0">
        <references count="2">
          <reference field="0" count="1" selected="0">
            <x v="167"/>
          </reference>
          <reference field="1" count="1">
            <x v="138"/>
          </reference>
        </references>
      </pivotArea>
    </format>
    <format dxfId="1885">
      <pivotArea dataOnly="0" labelOnly="1" fieldPosition="0">
        <references count="2">
          <reference field="0" count="1" selected="0">
            <x v="151"/>
          </reference>
          <reference field="1" count="1">
            <x v="203"/>
          </reference>
        </references>
      </pivotArea>
    </format>
    <format dxfId="1884">
      <pivotArea dataOnly="0" labelOnly="1" fieldPosition="0">
        <references count="2">
          <reference field="0" count="1" selected="0">
            <x v="188"/>
          </reference>
          <reference field="1" count="1">
            <x v="162"/>
          </reference>
        </references>
      </pivotArea>
    </format>
    <format dxfId="1883">
      <pivotArea dataOnly="0" labelOnly="1" fieldPosition="0">
        <references count="2">
          <reference field="0" count="1" selected="0">
            <x v="205"/>
          </reference>
          <reference field="1" count="1">
            <x v="237"/>
          </reference>
        </references>
      </pivotArea>
    </format>
    <format dxfId="1882">
      <pivotArea dataOnly="0" labelOnly="1" fieldPosition="0">
        <references count="2">
          <reference field="0" count="1" selected="0">
            <x v="210"/>
          </reference>
          <reference field="1" count="1">
            <x v="70"/>
          </reference>
        </references>
      </pivotArea>
    </format>
    <format dxfId="1881">
      <pivotArea dataOnly="0" labelOnly="1" fieldPosition="0">
        <references count="2">
          <reference field="0" count="1" selected="0">
            <x v="0"/>
          </reference>
          <reference field="1" count="1">
            <x v="175"/>
          </reference>
        </references>
      </pivotArea>
    </format>
    <format dxfId="1880">
      <pivotArea dataOnly="0" labelOnly="1" fieldPosition="0">
        <references count="2">
          <reference field="0" count="1" selected="0">
            <x v="216"/>
          </reference>
          <reference field="1" count="1">
            <x v="66"/>
          </reference>
        </references>
      </pivotArea>
    </format>
    <format dxfId="1879">
      <pivotArea dataOnly="0" labelOnly="1" fieldPosition="0">
        <references count="2">
          <reference field="0" count="1" selected="0">
            <x v="130"/>
          </reference>
          <reference field="1" count="1">
            <x v="54"/>
          </reference>
        </references>
      </pivotArea>
    </format>
    <format dxfId="1878">
      <pivotArea dataOnly="0" labelOnly="1" fieldPosition="0">
        <references count="2">
          <reference field="0" count="1" selected="0">
            <x v="79"/>
          </reference>
          <reference field="1" count="1">
            <x v="19"/>
          </reference>
        </references>
      </pivotArea>
    </format>
    <format dxfId="1877">
      <pivotArea dataOnly="0" labelOnly="1" fieldPosition="0">
        <references count="2">
          <reference field="0" count="1" selected="0">
            <x v="25"/>
          </reference>
          <reference field="1" count="1">
            <x v="21"/>
          </reference>
        </references>
      </pivotArea>
    </format>
    <format dxfId="1876">
      <pivotArea dataOnly="0" labelOnly="1" fieldPosition="0">
        <references count="2">
          <reference field="0" count="1" selected="0">
            <x v="11"/>
          </reference>
          <reference field="1" count="1">
            <x v="42"/>
          </reference>
        </references>
      </pivotArea>
    </format>
    <format dxfId="1875">
      <pivotArea dataOnly="0" labelOnly="1" fieldPosition="0">
        <references count="2">
          <reference field="0" count="1" selected="0">
            <x v="246"/>
          </reference>
          <reference field="1" count="1">
            <x v="166"/>
          </reference>
        </references>
      </pivotArea>
    </format>
    <format dxfId="1874">
      <pivotArea dataOnly="0" labelOnly="1" fieldPosition="0">
        <references count="2">
          <reference field="0" count="1" selected="0">
            <x v="182"/>
          </reference>
          <reference field="1" count="1">
            <x v="111"/>
          </reference>
        </references>
      </pivotArea>
    </format>
    <format dxfId="1873">
      <pivotArea dataOnly="0" labelOnly="1" fieldPosition="0">
        <references count="2">
          <reference field="0" count="1" selected="0">
            <x v="177"/>
          </reference>
          <reference field="1" count="1">
            <x v="142"/>
          </reference>
        </references>
      </pivotArea>
    </format>
    <format dxfId="1872">
      <pivotArea dataOnly="0" labelOnly="1" fieldPosition="0">
        <references count="2">
          <reference field="0" count="1" selected="0">
            <x v="1"/>
          </reference>
          <reference field="1" count="1">
            <x v="176"/>
          </reference>
        </references>
      </pivotArea>
    </format>
    <format dxfId="1871">
      <pivotArea dataOnly="0" labelOnly="1" fieldPosition="0">
        <references count="2">
          <reference field="0" count="1" selected="0">
            <x v="150"/>
          </reference>
          <reference field="1" count="1">
            <x v="110"/>
          </reference>
        </references>
      </pivotArea>
    </format>
    <format dxfId="1870">
      <pivotArea dataOnly="0" labelOnly="1" fieldPosition="0">
        <references count="2">
          <reference field="0" count="1" selected="0">
            <x v="6"/>
          </reference>
          <reference field="1" count="1">
            <x v="173"/>
          </reference>
        </references>
      </pivotArea>
    </format>
    <format dxfId="1869">
      <pivotArea dataOnly="0" labelOnly="1" fieldPosition="0">
        <references count="2">
          <reference field="0" count="1" selected="0">
            <x v="226"/>
          </reference>
          <reference field="1" count="1">
            <x v="233"/>
          </reference>
        </references>
      </pivotArea>
    </format>
    <format dxfId="1868">
      <pivotArea dataOnly="0" labelOnly="1" fieldPosition="0">
        <references count="2">
          <reference field="0" count="1" selected="0">
            <x v="233"/>
          </reference>
          <reference field="1" count="1">
            <x v="236"/>
          </reference>
        </references>
      </pivotArea>
    </format>
    <format dxfId="1867">
      <pivotArea dataOnly="0" labelOnly="1" fieldPosition="0">
        <references count="2">
          <reference field="0" count="1" selected="0">
            <x v="180"/>
          </reference>
          <reference field="1" count="1">
            <x v="109"/>
          </reference>
        </references>
      </pivotArea>
    </format>
    <format dxfId="1866">
      <pivotArea dataOnly="0" labelOnly="1" fieldPosition="0">
        <references count="2">
          <reference field="0" count="1" selected="0">
            <x v="176"/>
          </reference>
          <reference field="1" count="1">
            <x v="56"/>
          </reference>
        </references>
      </pivotArea>
    </format>
    <format dxfId="1865">
      <pivotArea dataOnly="0" labelOnly="1" fieldPosition="0">
        <references count="2">
          <reference field="0" count="1" selected="0">
            <x v="134"/>
          </reference>
          <reference field="1" count="1">
            <x v="88"/>
          </reference>
        </references>
      </pivotArea>
    </format>
    <format dxfId="1864">
      <pivotArea dataOnly="0" labelOnly="1" fieldPosition="0">
        <references count="2">
          <reference field="0" count="1" selected="0">
            <x v="252"/>
          </reference>
          <reference field="1" count="1">
            <x v="105"/>
          </reference>
        </references>
      </pivotArea>
    </format>
    <format dxfId="1863">
      <pivotArea dataOnly="0" labelOnly="1" fieldPosition="0">
        <references count="2">
          <reference field="0" count="1" selected="0">
            <x v="255"/>
          </reference>
          <reference field="1" count="1">
            <x v="106"/>
          </reference>
        </references>
      </pivotArea>
    </format>
    <format dxfId="1862">
      <pivotArea dataOnly="0" labelOnly="1" fieldPosition="0">
        <references count="2">
          <reference field="0" count="1" selected="0">
            <x v="57"/>
          </reference>
          <reference field="1" count="1">
            <x v="242"/>
          </reference>
        </references>
      </pivotArea>
    </format>
    <format dxfId="1861">
      <pivotArea dataOnly="0" labelOnly="1" fieldPosition="0">
        <references count="2">
          <reference field="0" count="1" selected="0">
            <x v="55"/>
          </reference>
          <reference field="1" count="1">
            <x v="192"/>
          </reference>
        </references>
      </pivotArea>
    </format>
    <format dxfId="1860">
      <pivotArea dataOnly="0" labelOnly="1" fieldPosition="0">
        <references count="2">
          <reference field="0" count="1" selected="0">
            <x v="251"/>
          </reference>
          <reference field="1" count="1">
            <x v="81"/>
          </reference>
        </references>
      </pivotArea>
    </format>
    <format dxfId="1859">
      <pivotArea dataOnly="0" labelOnly="1" fieldPosition="0">
        <references count="2">
          <reference field="0" count="1" selected="0">
            <x v="155"/>
          </reference>
          <reference field="1" count="1">
            <x v="100"/>
          </reference>
        </references>
      </pivotArea>
    </format>
    <format dxfId="1858">
      <pivotArea dataOnly="0" labelOnly="1" fieldPosition="0">
        <references count="2">
          <reference field="0" count="1" selected="0">
            <x v="137"/>
          </reference>
          <reference field="1" count="1">
            <x v="3"/>
          </reference>
        </references>
      </pivotArea>
    </format>
    <format dxfId="1857">
      <pivotArea dataOnly="0" labelOnly="1" fieldPosition="0">
        <references count="2">
          <reference field="0" count="1" selected="0">
            <x v="19"/>
          </reference>
          <reference field="1" count="1">
            <x v="171"/>
          </reference>
        </references>
      </pivotArea>
    </format>
    <format dxfId="1856">
      <pivotArea dataOnly="0" labelOnly="1" fieldPosition="0">
        <references count="2">
          <reference field="0" count="1" selected="0">
            <x v="232"/>
          </reference>
          <reference field="1" count="1">
            <x v="92"/>
          </reference>
        </references>
      </pivotArea>
    </format>
    <format dxfId="1855">
      <pivotArea dataOnly="0" labelOnly="1" fieldPosition="0">
        <references count="2">
          <reference field="0" count="1" selected="0">
            <x v="183"/>
          </reference>
          <reference field="1" count="1">
            <x v="112"/>
          </reference>
        </references>
      </pivotArea>
    </format>
    <format dxfId="1854">
      <pivotArea dataOnly="0" labelOnly="1" fieldPosition="0">
        <references count="2">
          <reference field="0" count="1" selected="0">
            <x v="170"/>
          </reference>
          <reference field="1" count="1">
            <x v="25"/>
          </reference>
        </references>
      </pivotArea>
    </format>
    <format dxfId="1853">
      <pivotArea dataOnly="0" labelOnly="1" fieldPosition="0">
        <references count="2">
          <reference field="0" count="1" selected="0">
            <x v="18"/>
          </reference>
          <reference field="1" count="1">
            <x v="202"/>
          </reference>
        </references>
      </pivotArea>
    </format>
    <format dxfId="1852">
      <pivotArea dataOnly="0" labelOnly="1" fieldPosition="0">
        <references count="2">
          <reference field="0" count="1" selected="0">
            <x v="241"/>
          </reference>
          <reference field="1" count="1">
            <x v="82"/>
          </reference>
        </references>
      </pivotArea>
    </format>
    <format dxfId="1851">
      <pivotArea dataOnly="0" labelOnly="1" fieldPosition="0">
        <references count="2">
          <reference field="0" count="1" selected="0">
            <x v="212"/>
          </reference>
          <reference field="1" count="1">
            <x v="163"/>
          </reference>
        </references>
      </pivotArea>
    </format>
    <format dxfId="1850">
      <pivotArea dataOnly="0" labelOnly="1" fieldPosition="0">
        <references count="2">
          <reference field="0" count="1" selected="0">
            <x v="146"/>
          </reference>
          <reference field="1" count="1">
            <x v="141"/>
          </reference>
        </references>
      </pivotArea>
    </format>
    <format dxfId="1849">
      <pivotArea dataOnly="0" labelOnly="1" fieldPosition="0">
        <references count="2">
          <reference field="0" count="1" selected="0">
            <x v="193"/>
          </reference>
          <reference field="1" count="1">
            <x v="23"/>
          </reference>
        </references>
      </pivotArea>
    </format>
    <format dxfId="1848">
      <pivotArea dataOnly="0" labelOnly="1" fieldPosition="0">
        <references count="2">
          <reference field="0" count="1" selected="0">
            <x v="88"/>
          </reference>
          <reference field="1" count="1">
            <x v="170"/>
          </reference>
        </references>
      </pivotArea>
    </format>
    <format dxfId="1847">
      <pivotArea dataOnly="0" labelOnly="1" fieldPosition="0">
        <references count="2">
          <reference field="0" count="1" selected="0">
            <x v="10"/>
          </reference>
          <reference field="1" count="1">
            <x v="168"/>
          </reference>
        </references>
      </pivotArea>
    </format>
    <format dxfId="1846">
      <pivotArea dataOnly="0" labelOnly="1" fieldPosition="0">
        <references count="2">
          <reference field="0" count="1" selected="0">
            <x v="231"/>
          </reference>
          <reference field="1" count="1">
            <x v="64"/>
          </reference>
        </references>
      </pivotArea>
    </format>
    <format dxfId="1845">
      <pivotArea dataOnly="0" labelOnly="1" fieldPosition="0">
        <references count="2">
          <reference field="0" count="1" selected="0">
            <x v="221"/>
          </reference>
          <reference field="1" count="1">
            <x v="80"/>
          </reference>
        </references>
      </pivotArea>
    </format>
    <format dxfId="1844">
      <pivotArea dataOnly="0" labelOnly="1" fieldPosition="0">
        <references count="2">
          <reference field="0" count="1" selected="0">
            <x v="178"/>
          </reference>
          <reference field="1" count="1">
            <x v="113"/>
          </reference>
        </references>
      </pivotArea>
    </format>
    <format dxfId="1843">
      <pivotArea dataOnly="0" labelOnly="1" fieldPosition="0">
        <references count="2">
          <reference field="0" count="1" selected="0">
            <x v="141"/>
          </reference>
          <reference field="1" count="1">
            <x v="131"/>
          </reference>
        </references>
      </pivotArea>
    </format>
    <format dxfId="1842">
      <pivotArea dataOnly="0" labelOnly="1" fieldPosition="0">
        <references count="2">
          <reference field="0" count="1" selected="0">
            <x v="169"/>
          </reference>
          <reference field="1" count="1">
            <x v="108"/>
          </reference>
        </references>
      </pivotArea>
    </format>
    <format dxfId="1841">
      <pivotArea dataOnly="0" labelOnly="1" fieldPosition="0">
        <references count="2">
          <reference field="0" count="1" selected="0">
            <x v="4"/>
          </reference>
          <reference field="1" count="1">
            <x v="178"/>
          </reference>
        </references>
      </pivotArea>
    </format>
    <format dxfId="1840">
      <pivotArea dataOnly="0" labelOnly="1" fieldPosition="0">
        <references count="2">
          <reference field="0" count="1" selected="0">
            <x v="214"/>
          </reference>
          <reference field="1" count="1">
            <x v="85"/>
          </reference>
        </references>
      </pivotArea>
    </format>
    <format dxfId="1839">
      <pivotArea dataOnly="0" labelOnly="1" fieldPosition="0">
        <references count="2">
          <reference field="0" count="1" selected="0">
            <x v="28"/>
          </reference>
          <reference field="1" count="1">
            <x v="145"/>
          </reference>
        </references>
      </pivotArea>
    </format>
    <format dxfId="1838">
      <pivotArea dataOnly="0" labelOnly="1" fieldPosition="0">
        <references count="2">
          <reference field="0" count="1" selected="0">
            <x v="195"/>
          </reference>
          <reference field="1" count="1">
            <x v="160"/>
          </reference>
        </references>
      </pivotArea>
    </format>
    <format dxfId="1837">
      <pivotArea dataOnly="0" labelOnly="1" fieldPosition="0">
        <references count="2">
          <reference field="0" count="1" selected="0">
            <x v="37"/>
          </reference>
          <reference field="1" count="1">
            <x v="96"/>
          </reference>
        </references>
      </pivotArea>
    </format>
    <format dxfId="1836">
      <pivotArea dataOnly="0" labelOnly="1" fieldPosition="0">
        <references count="2">
          <reference field="0" count="1" selected="0">
            <x v="202"/>
          </reference>
          <reference field="1" count="1">
            <x v="149"/>
          </reference>
        </references>
      </pivotArea>
    </format>
    <format dxfId="1835">
      <pivotArea dataOnly="0" labelOnly="1" fieldPosition="0">
        <references count="2">
          <reference field="0" count="1" selected="0">
            <x v="163"/>
          </reference>
          <reference field="1" count="1">
            <x v="122"/>
          </reference>
        </references>
      </pivotArea>
    </format>
    <format dxfId="1834">
      <pivotArea dataOnly="0" labelOnly="1" fieldPosition="0">
        <references count="2">
          <reference field="0" count="1" selected="0">
            <x v="48"/>
          </reference>
          <reference field="1" count="1">
            <x v="50"/>
          </reference>
        </references>
      </pivotArea>
    </format>
    <format dxfId="1833">
      <pivotArea dataOnly="0" labelOnly="1" fieldPosition="0">
        <references count="2">
          <reference field="0" count="1" selected="0">
            <x v="61"/>
          </reference>
          <reference field="1" count="1">
            <x v="223"/>
          </reference>
        </references>
      </pivotArea>
    </format>
    <format dxfId="1832">
      <pivotArea dataOnly="0" labelOnly="1" fieldPosition="0">
        <references count="2">
          <reference field="0" count="1" selected="0">
            <x v="7"/>
          </reference>
          <reference field="1" count="1">
            <x v="174"/>
          </reference>
        </references>
      </pivotArea>
    </format>
    <format dxfId="1831">
      <pivotArea dataOnly="0" labelOnly="1" fieldPosition="0">
        <references count="2">
          <reference field="0" count="1" selected="0">
            <x v="144"/>
          </reference>
          <reference field="1" count="1">
            <x v="65"/>
          </reference>
        </references>
      </pivotArea>
    </format>
    <format dxfId="1830">
      <pivotArea dataOnly="0" labelOnly="1" fieldPosition="0">
        <references count="2">
          <reference field="0" count="1" selected="0">
            <x v="9"/>
          </reference>
          <reference field="1" count="1">
            <x v="210"/>
          </reference>
        </references>
      </pivotArea>
    </format>
    <format dxfId="1829">
      <pivotArea dataOnly="0" labelOnly="1" fieldPosition="0">
        <references count="2">
          <reference field="0" count="1" selected="0">
            <x v="247"/>
          </reference>
          <reference field="1" count="1">
            <x v="67"/>
          </reference>
        </references>
      </pivotArea>
    </format>
    <format dxfId="1828">
      <pivotArea dataOnly="0" labelOnly="1" fieldPosition="0">
        <references count="2">
          <reference field="0" count="1" selected="0">
            <x v="41"/>
          </reference>
          <reference field="1" count="1">
            <x v="194"/>
          </reference>
        </references>
      </pivotArea>
    </format>
    <format dxfId="1827">
      <pivotArea dataOnly="0" labelOnly="1" fieldPosition="0">
        <references count="2">
          <reference field="0" count="1" selected="0">
            <x v="73"/>
          </reference>
          <reference field="1" count="1">
            <x v="214"/>
          </reference>
        </references>
      </pivotArea>
    </format>
    <format dxfId="1826">
      <pivotArea dataOnly="0" labelOnly="1" fieldPosition="0">
        <references count="2">
          <reference field="0" count="1" selected="0">
            <x v="128"/>
          </reference>
          <reference field="1" count="1">
            <x v="217"/>
          </reference>
        </references>
      </pivotArea>
    </format>
    <format dxfId="1825">
      <pivotArea dataOnly="0" labelOnly="1" fieldPosition="0">
        <references count="2">
          <reference field="0" count="1" selected="0">
            <x v="174"/>
          </reference>
          <reference field="1" count="1">
            <x v="205"/>
          </reference>
        </references>
      </pivotArea>
    </format>
    <format dxfId="1824">
      <pivotArea dataOnly="0" labelOnly="1" fieldPosition="0">
        <references count="2">
          <reference field="0" count="1" selected="0">
            <x v="149"/>
          </reference>
          <reference field="1" count="1">
            <x v="95"/>
          </reference>
        </references>
      </pivotArea>
    </format>
    <format dxfId="1823">
      <pivotArea dataOnly="0" labelOnly="1" fieldPosition="0">
        <references count="2">
          <reference field="0" count="1" selected="0">
            <x v="90"/>
          </reference>
          <reference field="1" count="1">
            <x v="60"/>
          </reference>
        </references>
      </pivotArea>
    </format>
    <format dxfId="1822">
      <pivotArea dataOnly="0" labelOnly="1" fieldPosition="0">
        <references count="2">
          <reference field="0" count="1" selected="0">
            <x v="206"/>
          </reference>
          <reference field="1" count="1">
            <x v="98"/>
          </reference>
        </references>
      </pivotArea>
    </format>
    <format dxfId="1821">
      <pivotArea dataOnly="0" labelOnly="1" fieldPosition="0">
        <references count="2">
          <reference field="0" count="1" selected="0">
            <x v="86"/>
          </reference>
          <reference field="1" count="1">
            <x v="30"/>
          </reference>
        </references>
      </pivotArea>
    </format>
    <format dxfId="1820">
      <pivotArea dataOnly="0" labelOnly="1" fieldPosition="0">
        <references count="2">
          <reference field="0" count="1" selected="0">
            <x v="148"/>
          </reference>
          <reference field="1" count="1">
            <x v="208"/>
          </reference>
        </references>
      </pivotArea>
    </format>
    <format dxfId="1819">
      <pivotArea dataOnly="0" labelOnly="1" fieldPosition="0">
        <references count="2">
          <reference field="0" count="1" selected="0">
            <x v="20"/>
          </reference>
          <reference field="1" count="1">
            <x v="172"/>
          </reference>
        </references>
      </pivotArea>
    </format>
    <format dxfId="1818">
      <pivotArea dataOnly="0" labelOnly="1" fieldPosition="0">
        <references count="2">
          <reference field="0" count="1" selected="0">
            <x v="2"/>
          </reference>
          <reference field="1" count="1">
            <x v="177"/>
          </reference>
        </references>
      </pivotArea>
    </format>
    <format dxfId="1817">
      <pivotArea dataOnly="0" labelOnly="1" fieldPosition="0">
        <references count="2">
          <reference field="0" count="1" selected="0">
            <x v="22"/>
          </reference>
          <reference field="1" count="1">
            <x v="13"/>
          </reference>
        </references>
      </pivotArea>
    </format>
    <format dxfId="1816">
      <pivotArea dataOnly="0" labelOnly="1" fieldPosition="0">
        <references count="2">
          <reference field="0" count="1" selected="0">
            <x v="189"/>
          </reference>
          <reference field="1" count="1">
            <x v="235"/>
          </reference>
        </references>
      </pivotArea>
    </format>
    <format dxfId="1815">
      <pivotArea dataOnly="0" labelOnly="1" fieldPosition="0">
        <references count="2">
          <reference field="0" count="1" selected="0">
            <x v="42"/>
          </reference>
          <reference field="1" count="1">
            <x v="198"/>
          </reference>
        </references>
      </pivotArea>
    </format>
    <format dxfId="1814">
      <pivotArea dataOnly="0" labelOnly="1" fieldPosition="0">
        <references count="2">
          <reference field="0" count="1" selected="0">
            <x v="95"/>
          </reference>
          <reference field="1" count="1">
            <x v="157"/>
          </reference>
        </references>
      </pivotArea>
    </format>
    <format dxfId="1813">
      <pivotArea dataOnly="0" labelOnly="1" fieldPosition="0">
        <references count="2">
          <reference field="0" count="1" selected="0">
            <x v="139"/>
          </reference>
          <reference field="1" count="1">
            <x v="104"/>
          </reference>
        </references>
      </pivotArea>
    </format>
    <format dxfId="1812">
      <pivotArea dataOnly="0" labelOnly="1" fieldPosition="0">
        <references count="2">
          <reference field="0" count="1" selected="0">
            <x v="60"/>
          </reference>
          <reference field="1" count="1">
            <x v="238"/>
          </reference>
        </references>
      </pivotArea>
    </format>
    <format dxfId="1811">
      <pivotArea dataOnly="0" labelOnly="1" fieldPosition="0">
        <references count="2">
          <reference field="0" count="1" selected="0">
            <x v="39"/>
          </reference>
          <reference field="1" count="1">
            <x v="22"/>
          </reference>
        </references>
      </pivotArea>
    </format>
    <format dxfId="1810">
      <pivotArea dataOnly="0" labelOnly="1" fieldPosition="0">
        <references count="2">
          <reference field="0" count="1" selected="0">
            <x v="16"/>
          </reference>
          <reference field="1" count="1">
            <x v="243"/>
          </reference>
        </references>
      </pivotArea>
    </format>
    <format dxfId="1809">
      <pivotArea dataOnly="0" labelOnly="1" fieldPosition="0">
        <references count="2">
          <reference field="0" count="1" selected="0">
            <x v="181"/>
          </reference>
          <reference field="1" count="1">
            <x v="118"/>
          </reference>
        </references>
      </pivotArea>
    </format>
    <format dxfId="1808">
      <pivotArea dataOnly="0" labelOnly="1" fieldPosition="0">
        <references count="2">
          <reference field="0" count="1" selected="0">
            <x v="196"/>
          </reference>
          <reference field="1" count="1">
            <x v="125"/>
          </reference>
        </references>
      </pivotArea>
    </format>
    <format dxfId="1807">
      <pivotArea dataOnly="0" labelOnly="1" fieldPosition="0">
        <references count="2">
          <reference field="0" count="1" selected="0">
            <x v="145"/>
          </reference>
          <reference field="1" count="1">
            <x v="254"/>
          </reference>
        </references>
      </pivotArea>
    </format>
    <format dxfId="1806">
      <pivotArea dataOnly="0" labelOnly="1" fieldPosition="0">
        <references count="2">
          <reference field="0" count="1" selected="0">
            <x v="208"/>
          </reference>
          <reference field="1" count="1">
            <x v="132"/>
          </reference>
        </references>
      </pivotArea>
    </format>
    <format dxfId="1805">
      <pivotArea dataOnly="0" labelOnly="1" fieldPosition="0">
        <references count="2">
          <reference field="0" count="1" selected="0">
            <x v="237"/>
          </reference>
          <reference field="1" count="1">
            <x v="164"/>
          </reference>
        </references>
      </pivotArea>
    </format>
    <format dxfId="1804">
      <pivotArea dataOnly="0" labelOnly="1" fieldPosition="0">
        <references count="2">
          <reference field="0" count="1" selected="0">
            <x v="111"/>
          </reference>
          <reference field="1" count="1">
            <x v="14"/>
          </reference>
        </references>
      </pivotArea>
    </format>
    <format dxfId="1803">
      <pivotArea dataOnly="0" labelOnly="1" fieldPosition="0">
        <references count="2">
          <reference field="0" count="1" selected="0">
            <x v="129"/>
          </reference>
          <reference field="1" count="1">
            <x v="213"/>
          </reference>
        </references>
      </pivotArea>
    </format>
    <format dxfId="1802">
      <pivotArea dataOnly="0" labelOnly="1" fieldPosition="0">
        <references count="2">
          <reference field="0" count="1" selected="0">
            <x v="223"/>
          </reference>
          <reference field="1" count="1">
            <x v="103"/>
          </reference>
        </references>
      </pivotArea>
    </format>
    <format dxfId="1801">
      <pivotArea dataOnly="0" labelOnly="1" fieldPosition="0">
        <references count="2">
          <reference field="0" count="1" selected="0">
            <x v="166"/>
          </reference>
          <reference field="1" count="1">
            <x v="137"/>
          </reference>
        </references>
      </pivotArea>
    </format>
    <format dxfId="1800">
      <pivotArea dataOnly="0" labelOnly="1" fieldPosition="0">
        <references count="2">
          <reference field="0" count="1" selected="0">
            <x v="101"/>
          </reference>
          <reference field="1" count="1">
            <x v="169"/>
          </reference>
        </references>
      </pivotArea>
    </format>
    <format dxfId="1799">
      <pivotArea dataOnly="0" labelOnly="1" fieldPosition="0">
        <references count="2">
          <reference field="0" count="1" selected="0">
            <x v="238"/>
          </reference>
          <reference field="1" count="1">
            <x v="83"/>
          </reference>
        </references>
      </pivotArea>
    </format>
    <format dxfId="1798">
      <pivotArea dataOnly="0" labelOnly="1" fieldPosition="0">
        <references count="2">
          <reference field="0" count="1" selected="0">
            <x v="68"/>
          </reference>
          <reference field="1" count="1">
            <x v="51"/>
          </reference>
        </references>
      </pivotArea>
    </format>
    <format dxfId="1797">
      <pivotArea dataOnly="0" labelOnly="1" fieldPosition="0">
        <references count="2">
          <reference field="0" count="1" selected="0">
            <x v="122"/>
          </reference>
          <reference field="1" count="1">
            <x v="255"/>
          </reference>
        </references>
      </pivotArea>
    </format>
    <format dxfId="1796">
      <pivotArea dataOnly="0" labelOnly="1" fieldPosition="0">
        <references count="2">
          <reference field="0" count="1" selected="0">
            <x v="225"/>
          </reference>
          <reference field="1" count="1">
            <x v="69"/>
          </reference>
        </references>
      </pivotArea>
    </format>
    <format dxfId="1795">
      <pivotArea dataOnly="0" labelOnly="1" fieldPosition="0">
        <references count="2">
          <reference field="0" count="1" selected="0">
            <x v="242"/>
          </reference>
          <reference field="1" count="1">
            <x v="185"/>
          </reference>
        </references>
      </pivotArea>
    </format>
    <format dxfId="1794">
      <pivotArea dataOnly="0" labelOnly="1" fieldPosition="0">
        <references count="2">
          <reference field="0" count="1" selected="0">
            <x v="97"/>
          </reference>
          <reference field="1" count="1">
            <x v="250"/>
          </reference>
        </references>
      </pivotArea>
    </format>
    <format dxfId="1793">
      <pivotArea dataOnly="0" labelOnly="1" fieldPosition="0">
        <references count="2">
          <reference field="0" count="1" selected="0">
            <x v="30"/>
          </reference>
          <reference field="1" count="1">
            <x v="211"/>
          </reference>
        </references>
      </pivotArea>
    </format>
    <format dxfId="1792">
      <pivotArea dataOnly="0" labelOnly="1" fieldPosition="0">
        <references count="2">
          <reference field="0" count="1" selected="0">
            <x v="59"/>
          </reference>
          <reference field="1" count="1">
            <x v="240"/>
          </reference>
        </references>
      </pivotArea>
    </format>
    <format dxfId="1791">
      <pivotArea dataOnly="0" labelOnly="1" fieldPosition="0">
        <references count="2">
          <reference field="0" count="1" selected="0">
            <x v="248"/>
          </reference>
          <reference field="1" count="1">
            <x v="234"/>
          </reference>
        </references>
      </pivotArea>
    </format>
    <format dxfId="1790">
      <pivotArea dataOnly="0" labelOnly="1" fieldPosition="0">
        <references count="2">
          <reference field="0" count="1" selected="0">
            <x v="185"/>
          </reference>
          <reference field="1" count="1">
            <x v="114"/>
          </reference>
        </references>
      </pivotArea>
    </format>
    <format dxfId="1789">
      <pivotArea dataOnly="0" labelOnly="1" fieldPosition="0">
        <references count="2">
          <reference field="0" count="1" selected="0">
            <x v="112"/>
          </reference>
          <reference field="1" count="1">
            <x v="158"/>
          </reference>
        </references>
      </pivotArea>
    </format>
    <format dxfId="1788">
      <pivotArea dataOnly="0" labelOnly="1" fieldPosition="0">
        <references count="2">
          <reference field="0" count="1" selected="0">
            <x v="190"/>
          </reference>
          <reference field="1" count="1">
            <x v="120"/>
          </reference>
        </references>
      </pivotArea>
    </format>
    <format dxfId="1787">
      <pivotArea dataOnly="0" labelOnly="1" fieldPosition="0">
        <references count="2">
          <reference field="0" count="1" selected="0">
            <x v="236"/>
          </reference>
          <reference field="1" count="1">
            <x v="146"/>
          </reference>
        </references>
      </pivotArea>
    </format>
    <format dxfId="1786">
      <pivotArea dataOnly="0" labelOnly="1" fieldPosition="0">
        <references count="2">
          <reference field="0" count="1" selected="0">
            <x v="243"/>
          </reference>
          <reference field="1" count="1">
            <x v="75"/>
          </reference>
        </references>
      </pivotArea>
    </format>
    <format dxfId="1785">
      <pivotArea dataOnly="0" labelOnly="1" fieldPosition="0">
        <references count="2">
          <reference field="0" count="1" selected="0">
            <x v="160"/>
          </reference>
          <reference field="1" count="1">
            <x v="130"/>
          </reference>
        </references>
      </pivotArea>
    </format>
    <format dxfId="1784">
      <pivotArea dataOnly="0" labelOnly="1" fieldPosition="0">
        <references count="2">
          <reference field="0" count="1" selected="0">
            <x v="113"/>
          </reference>
          <reference field="1" count="1">
            <x v="31"/>
          </reference>
        </references>
      </pivotArea>
    </format>
    <format dxfId="1783">
      <pivotArea dataOnly="0" labelOnly="1" fieldPosition="0">
        <references count="2">
          <reference field="0" count="1" selected="0">
            <x v="162"/>
          </reference>
          <reference field="1" count="1">
            <x v="35"/>
          </reference>
        </references>
      </pivotArea>
    </format>
    <format dxfId="1782">
      <pivotArea dataOnly="0" labelOnly="1" fieldPosition="0">
        <references count="2">
          <reference field="0" count="1" selected="0">
            <x v="209"/>
          </reference>
          <reference field="1" count="1">
            <x v="128"/>
          </reference>
        </references>
      </pivotArea>
    </format>
    <format dxfId="1781">
      <pivotArea dataOnly="0" labelOnly="1" fieldPosition="0">
        <references count="2">
          <reference field="0" count="1" selected="0">
            <x v="215"/>
          </reference>
          <reference field="1" count="1">
            <x v="184"/>
          </reference>
        </references>
      </pivotArea>
    </format>
    <format dxfId="1780">
      <pivotArea dataOnly="0" labelOnly="1" fieldPosition="0">
        <references count="2">
          <reference field="0" count="1" selected="0">
            <x v="227"/>
          </reference>
          <reference field="1" count="1">
            <x v="143"/>
          </reference>
        </references>
      </pivotArea>
    </format>
    <format dxfId="1779">
      <pivotArea dataOnly="0" labelOnly="1" fieldPosition="0">
        <references count="2">
          <reference field="0" count="1" selected="0">
            <x v="63"/>
          </reference>
          <reference field="1" count="1">
            <x v="231"/>
          </reference>
        </references>
      </pivotArea>
    </format>
    <format dxfId="1778">
      <pivotArea dataOnly="0" labelOnly="1" fieldPosition="0">
        <references count="2">
          <reference field="0" count="1" selected="0">
            <x v="72"/>
          </reference>
          <reference field="1" count="1">
            <x v="206"/>
          </reference>
        </references>
      </pivotArea>
    </format>
    <format dxfId="1777">
      <pivotArea dataOnly="0" labelOnly="1" fieldPosition="0">
        <references count="2">
          <reference field="0" count="1" selected="0">
            <x v="13"/>
          </reference>
          <reference field="1" count="1">
            <x v="107"/>
          </reference>
        </references>
      </pivotArea>
    </format>
    <format dxfId="1776">
      <pivotArea dataOnly="0" labelOnly="1" fieldPosition="0">
        <references count="2">
          <reference field="0" count="1" selected="0">
            <x v="253"/>
          </reference>
          <reference field="1" count="1">
            <x v="40"/>
          </reference>
        </references>
      </pivotArea>
    </format>
    <format dxfId="1775">
      <pivotArea dataOnly="0" labelOnly="1" fieldPosition="0">
        <references count="2">
          <reference field="0" count="1" selected="0">
            <x v="147"/>
          </reference>
          <reference field="1" count="1">
            <x v="188"/>
          </reference>
        </references>
      </pivotArea>
    </format>
    <format dxfId="1774">
      <pivotArea dataOnly="0" labelOnly="1" fieldPosition="0">
        <references count="2">
          <reference field="0" count="1" selected="0">
            <x v="29"/>
          </reference>
          <reference field="1" count="1">
            <x v="153"/>
          </reference>
        </references>
      </pivotArea>
    </format>
    <format dxfId="1773">
      <pivotArea dataOnly="0" labelOnly="1" fieldPosition="0">
        <references count="2">
          <reference field="0" count="1" selected="0">
            <x v="140"/>
          </reference>
          <reference field="1" count="1">
            <x v="195"/>
          </reference>
        </references>
      </pivotArea>
    </format>
    <format dxfId="1772">
      <pivotArea dataOnly="0" labelOnly="1" fieldPosition="0">
        <references count="2">
          <reference field="0" count="1" selected="0">
            <x v="78"/>
          </reference>
          <reference field="1" count="1">
            <x v="18"/>
          </reference>
        </references>
      </pivotArea>
    </format>
    <format dxfId="1771">
      <pivotArea dataOnly="0" labelOnly="1" fieldPosition="0">
        <references count="2">
          <reference field="0" count="1" selected="0">
            <x v="53"/>
          </reference>
          <reference field="1" count="1">
            <x v="45"/>
          </reference>
        </references>
      </pivotArea>
    </format>
    <format dxfId="1770">
      <pivotArea dataOnly="0" labelOnly="1" fieldPosition="0">
        <references count="2">
          <reference field="0" count="1" selected="0">
            <x v="91"/>
          </reference>
          <reference field="1" count="1">
            <x v="59"/>
          </reference>
        </references>
      </pivotArea>
    </format>
    <format dxfId="1769">
      <pivotArea dataOnly="0" labelOnly="1" fieldPosition="0">
        <references count="2">
          <reference field="0" count="1" selected="0">
            <x v="173"/>
          </reference>
          <reference field="1" count="1">
            <x v="119"/>
          </reference>
        </references>
      </pivotArea>
    </format>
    <format dxfId="1768">
      <pivotArea dataOnly="0" labelOnly="1" fieldPosition="0">
        <references count="2">
          <reference field="0" count="1" selected="0">
            <x v="89"/>
          </reference>
          <reference field="1" count="1">
            <x v="57"/>
          </reference>
        </references>
      </pivotArea>
    </format>
    <format dxfId="1767">
      <pivotArea dataOnly="0" labelOnly="1" fieldPosition="0">
        <references count="2">
          <reference field="0" count="1" selected="0">
            <x v="239"/>
          </reference>
          <reference field="1" count="1">
            <x v="72"/>
          </reference>
        </references>
      </pivotArea>
    </format>
    <format dxfId="1766">
      <pivotArea dataOnly="0" labelOnly="1" fieldPosition="0">
        <references count="2">
          <reference field="0" count="1" selected="0">
            <x v="83"/>
          </reference>
          <reference field="1" count="1">
            <x v="251"/>
          </reference>
        </references>
      </pivotArea>
    </format>
    <format dxfId="1765">
      <pivotArea dataOnly="0" labelOnly="1" fieldPosition="0">
        <references count="2">
          <reference field="0" count="1" selected="0">
            <x v="152"/>
          </reference>
          <reference field="1" count="1">
            <x v="150"/>
          </reference>
        </references>
      </pivotArea>
    </format>
    <format dxfId="1764">
      <pivotArea dataOnly="0" labelOnly="1" fieldPosition="0">
        <references count="2">
          <reference field="0" count="1" selected="0">
            <x v="12"/>
          </reference>
          <reference field="1" count="1">
            <x v="154"/>
          </reference>
        </references>
      </pivotArea>
    </format>
    <format dxfId="1763">
      <pivotArea dataOnly="0" labelOnly="1" fieldPosition="0">
        <references count="2">
          <reference field="0" count="1" selected="0">
            <x v="85"/>
          </reference>
          <reference field="1" count="1">
            <x v="182"/>
          </reference>
        </references>
      </pivotArea>
    </format>
    <format dxfId="1762">
      <pivotArea dataOnly="0" labelOnly="1" fieldPosition="0">
        <references count="2">
          <reference field="0" count="1" selected="0">
            <x v="75"/>
          </reference>
          <reference field="1" count="1">
            <x v="191"/>
          </reference>
        </references>
      </pivotArea>
    </format>
    <format dxfId="1761">
      <pivotArea dataOnly="0" labelOnly="1" fieldPosition="0">
        <references count="2">
          <reference field="0" count="1" selected="0">
            <x v="102"/>
          </reference>
          <reference field="1" count="1">
            <x v="6"/>
          </reference>
        </references>
      </pivotArea>
    </format>
    <format dxfId="1760">
      <pivotArea dataOnly="0" labelOnly="1" fieldPosition="0">
        <references count="2">
          <reference field="0" count="1" selected="0">
            <x v="38"/>
          </reference>
          <reference field="1" count="1">
            <x v="256"/>
          </reference>
        </references>
      </pivotArea>
    </format>
    <format dxfId="1759">
      <pivotArea dataOnly="0" labelOnly="1" fieldPosition="0">
        <references count="2">
          <reference field="0" count="1" selected="0">
            <x v="118"/>
          </reference>
          <reference field="1" count="1">
            <x v="93"/>
          </reference>
        </references>
      </pivotArea>
    </format>
    <format dxfId="1758">
      <pivotArea dataOnly="0" labelOnly="1" fieldPosition="0">
        <references count="2">
          <reference field="0" count="1" selected="0">
            <x v="99"/>
          </reference>
          <reference field="1" count="1">
            <x v="29"/>
          </reference>
        </references>
      </pivotArea>
    </format>
    <format dxfId="1757">
      <pivotArea dataOnly="0" labelOnly="1" fieldPosition="0">
        <references count="2">
          <reference field="0" count="1" selected="0">
            <x v="15"/>
          </reference>
          <reference field="1" count="1">
            <x v="147"/>
          </reference>
        </references>
      </pivotArea>
    </format>
    <format dxfId="1756">
      <pivotArea dataOnly="0" labelOnly="1" fieldPosition="0">
        <references count="2">
          <reference field="0" count="1" selected="0">
            <x v="65"/>
          </reference>
          <reference field="1" count="1">
            <x v="222"/>
          </reference>
        </references>
      </pivotArea>
    </format>
    <format dxfId="1755">
      <pivotArea dataOnly="0" labelOnly="1" fieldPosition="0">
        <references count="2">
          <reference field="0" count="1" selected="0">
            <x v="103"/>
          </reference>
          <reference field="1" count="1">
            <x v="8"/>
          </reference>
        </references>
      </pivotArea>
    </format>
    <format dxfId="1754">
      <pivotArea dataOnly="0" labelOnly="1" fieldPosition="0">
        <references count="2">
          <reference field="0" count="1" selected="0">
            <x v="234"/>
          </reference>
          <reference field="1" count="1">
            <x v="190"/>
          </reference>
        </references>
      </pivotArea>
    </format>
    <format dxfId="1753">
      <pivotArea dataOnly="0" labelOnly="1" fieldPosition="0">
        <references count="2">
          <reference field="0" count="1" selected="0">
            <x v="154"/>
          </reference>
          <reference field="1" count="1">
            <x v="1"/>
          </reference>
        </references>
      </pivotArea>
    </format>
    <format dxfId="1752">
      <pivotArea dataOnly="0" labelOnly="1" fieldPosition="0">
        <references count="2">
          <reference field="0" count="1" selected="0">
            <x v="187"/>
          </reference>
          <reference field="1" count="1">
            <x v="116"/>
          </reference>
        </references>
      </pivotArea>
    </format>
    <format dxfId="1751">
      <pivotArea dataOnly="0" labelOnly="1" fieldPosition="0">
        <references count="2">
          <reference field="0" count="1" selected="0">
            <x v="161"/>
          </reference>
          <reference field="1" count="1">
            <x v="121"/>
          </reference>
        </references>
      </pivotArea>
    </format>
    <format dxfId="1750">
      <pivotArea dataOnly="0" labelOnly="1" fieldPosition="0">
        <references count="2">
          <reference field="0" count="1" selected="0">
            <x v="67"/>
          </reference>
          <reference field="1" count="1">
            <x v="53"/>
          </reference>
        </references>
      </pivotArea>
    </format>
    <format dxfId="1749">
      <pivotArea dataOnly="0" labelOnly="1" fieldPosition="0">
        <references count="2">
          <reference field="0" count="1" selected="0">
            <x v="235"/>
          </reference>
          <reference field="1" count="1">
            <x v="193"/>
          </reference>
        </references>
      </pivotArea>
    </format>
    <format dxfId="1748">
      <pivotArea dataOnly="0" labelOnly="1" fieldPosition="0">
        <references count="2">
          <reference field="0" count="1" selected="0">
            <x v="229"/>
          </reference>
          <reference field="1" count="1">
            <x v="248"/>
          </reference>
        </references>
      </pivotArea>
    </format>
    <format dxfId="1747">
      <pivotArea dataOnly="0" labelOnly="1" fieldPosition="0">
        <references count="2">
          <reference field="0" count="1" selected="0">
            <x v="121"/>
          </reference>
          <reference field="1" count="1">
            <x v="209"/>
          </reference>
        </references>
      </pivotArea>
    </format>
    <format dxfId="1746">
      <pivotArea dataOnly="0" labelOnly="1" fieldPosition="0">
        <references count="2">
          <reference field="0" count="1" selected="0">
            <x v="98"/>
          </reference>
          <reference field="1" count="1">
            <x v="181"/>
          </reference>
        </references>
      </pivotArea>
    </format>
    <format dxfId="1745">
      <pivotArea dataOnly="0" labelOnly="1" fieldPosition="0">
        <references count="2">
          <reference field="0" count="1" selected="0">
            <x v="93"/>
          </reference>
          <reference field="1" count="1">
            <x v="152"/>
          </reference>
        </references>
      </pivotArea>
    </format>
    <format dxfId="1744">
      <pivotArea dataOnly="0" labelOnly="1" fieldPosition="0">
        <references count="2">
          <reference field="0" count="1" selected="0">
            <x v="158"/>
          </reference>
          <reference field="1" count="1">
            <x v="2"/>
          </reference>
        </references>
      </pivotArea>
    </format>
    <format dxfId="1743">
      <pivotArea dataOnly="0" labelOnly="1" fieldPosition="0">
        <references count="2">
          <reference field="0" count="1" selected="0">
            <x v="49"/>
          </reference>
          <reference field="1" count="1">
            <x v="49"/>
          </reference>
        </references>
      </pivotArea>
    </format>
    <format dxfId="1742">
      <pivotArea dataOnly="0" labelOnly="1" fieldPosition="0">
        <references count="2">
          <reference field="0" count="1" selected="0">
            <x v="105"/>
          </reference>
          <reference field="1" count="1">
            <x v="224"/>
          </reference>
        </references>
      </pivotArea>
    </format>
    <format dxfId="1741">
      <pivotArea dataOnly="0" labelOnly="1" fieldPosition="0">
        <references count="2">
          <reference field="0" count="1" selected="0">
            <x v="254"/>
          </reference>
          <reference field="1" count="1">
            <x v="79"/>
          </reference>
        </references>
      </pivotArea>
    </format>
    <format dxfId="1740">
      <pivotArea dataOnly="0" labelOnly="1" fieldPosition="0">
        <references count="2">
          <reference field="0" count="1" selected="0">
            <x v="257"/>
          </reference>
          <reference field="1" count="1">
            <x v="74"/>
          </reference>
        </references>
      </pivotArea>
    </format>
    <format dxfId="1739">
      <pivotArea dataOnly="0" labelOnly="1" fieldPosition="0">
        <references count="2">
          <reference field="0" count="1" selected="0">
            <x v="120"/>
          </reference>
          <reference field="1" count="1">
            <x v="218"/>
          </reference>
        </references>
      </pivotArea>
    </format>
    <format dxfId="1738">
      <pivotArea dataOnly="0" labelOnly="1" fieldPosition="0">
        <references count="2">
          <reference field="0" count="1" selected="0">
            <x v="164"/>
          </reference>
          <reference field="1" count="1">
            <x v="129"/>
          </reference>
        </references>
      </pivotArea>
    </format>
    <format dxfId="1737">
      <pivotArea dataOnly="0" labelOnly="1" fieldPosition="0">
        <references count="2">
          <reference field="0" count="1" selected="0">
            <x v="62"/>
          </reference>
          <reference field="1" count="1">
            <x v="197"/>
          </reference>
        </references>
      </pivotArea>
    </format>
    <format dxfId="1736">
      <pivotArea dataOnly="0" labelOnly="1" fieldPosition="0">
        <references count="2">
          <reference field="0" count="1" selected="0">
            <x v="142"/>
          </reference>
          <reference field="1" count="1">
            <x v="39"/>
          </reference>
        </references>
      </pivotArea>
    </format>
    <format dxfId="1735">
      <pivotArea dataOnly="0" labelOnly="1" fieldPosition="0">
        <references count="2">
          <reference field="0" count="1" selected="0">
            <x v="194"/>
          </reference>
          <reference field="1" count="1">
            <x v="156"/>
          </reference>
        </references>
      </pivotArea>
    </format>
    <format dxfId="1734">
      <pivotArea dataOnly="0" labelOnly="1" fieldPosition="0">
        <references count="2">
          <reference field="0" count="1" selected="0">
            <x v="100"/>
          </reference>
          <reference field="1" count="1">
            <x v="9"/>
          </reference>
        </references>
      </pivotArea>
    </format>
    <format dxfId="1733">
      <pivotArea dataOnly="0" labelOnly="1" fieldPosition="0">
        <references count="2">
          <reference field="0" count="1" selected="0">
            <x v="64"/>
          </reference>
          <reference field="1" count="1">
            <x v="55"/>
          </reference>
        </references>
      </pivotArea>
    </format>
    <format dxfId="1732">
      <pivotArea dataOnly="0" labelOnly="1" fieldPosition="0">
        <references count="2">
          <reference field="0" count="1" selected="0">
            <x v="96"/>
          </reference>
          <reference field="1" count="1">
            <x v="246"/>
          </reference>
        </references>
      </pivotArea>
    </format>
    <format dxfId="1731">
      <pivotArea dataOnly="0" labelOnly="1" fieldPosition="0">
        <references count="2">
          <reference field="0" count="1" selected="0">
            <x v="138"/>
          </reference>
          <reference field="1" count="1">
            <x v="97"/>
          </reference>
        </references>
      </pivotArea>
    </format>
    <format dxfId="1730">
      <pivotArea dataOnly="0" labelOnly="1" fieldPosition="0">
        <references count="2">
          <reference field="0" count="1" selected="0">
            <x v="23"/>
          </reference>
          <reference field="1" count="1">
            <x v="229"/>
          </reference>
        </references>
      </pivotArea>
    </format>
    <format dxfId="1729">
      <pivotArea dataOnly="0" labelOnly="1" fieldPosition="0">
        <references count="2">
          <reference field="0" count="1" selected="0">
            <x v="36"/>
          </reference>
          <reference field="1" count="1">
            <x v="89"/>
          </reference>
        </references>
      </pivotArea>
    </format>
    <format dxfId="1728">
      <pivotArea dataOnly="0" labelOnly="1" fieldPosition="0">
        <references count="2">
          <reference field="0" count="1" selected="0">
            <x v="107"/>
          </reference>
          <reference field="1" count="1">
            <x v="41"/>
          </reference>
        </references>
      </pivotArea>
    </format>
    <format dxfId="1727">
      <pivotArea dataOnly="0" labelOnly="1" fieldPosition="0">
        <references count="2">
          <reference field="0" count="1" selected="0">
            <x v="159"/>
          </reference>
          <reference field="1" count="1">
            <x v="136"/>
          </reference>
        </references>
      </pivotArea>
    </format>
    <format dxfId="1726">
      <pivotArea dataOnly="0" labelOnly="1" fieldPosition="0">
        <references count="2">
          <reference field="0" count="1" selected="0">
            <x v="127"/>
          </reference>
          <reference field="1" count="1">
            <x v="187"/>
          </reference>
        </references>
      </pivotArea>
    </format>
    <format dxfId="1725">
      <pivotArea dataOnly="0" labelOnly="1" fieldPosition="0">
        <references count="2">
          <reference field="0" count="1" selected="0">
            <x v="197"/>
          </reference>
          <reference field="1" count="1">
            <x v="135"/>
          </reference>
        </references>
      </pivotArea>
    </format>
    <format dxfId="1724">
      <pivotArea dataOnly="0" labelOnly="1" fieldPosition="0">
        <references count="2">
          <reference field="0" count="1" selected="0">
            <x v="50"/>
          </reference>
          <reference field="1" count="1">
            <x v="230"/>
          </reference>
        </references>
      </pivotArea>
    </format>
    <format dxfId="1723">
      <pivotArea dataOnly="0" labelOnly="1" fieldPosition="0">
        <references count="2">
          <reference field="0" count="1" selected="0">
            <x v="119"/>
          </reference>
          <reference field="1" count="1">
            <x v="52"/>
          </reference>
        </references>
      </pivotArea>
    </format>
    <format dxfId="1722">
      <pivotArea dataOnly="0" labelOnly="1" fieldPosition="0">
        <references count="2">
          <reference field="0" count="1" selected="0">
            <x v="104"/>
          </reference>
          <reference field="1" count="1">
            <x v="7"/>
          </reference>
        </references>
      </pivotArea>
    </format>
    <format dxfId="1721">
      <pivotArea dataOnly="0" labelOnly="1" fieldPosition="0">
        <references count="2">
          <reference field="0" count="1" selected="0">
            <x v="198"/>
          </reference>
          <reference field="1" count="1">
            <x v="24"/>
          </reference>
        </references>
      </pivotArea>
    </format>
    <format dxfId="1720">
      <pivotArea dataOnly="0" labelOnly="1" fieldPosition="0">
        <references count="2">
          <reference field="0" count="1" selected="0">
            <x v="24"/>
          </reference>
          <reference field="1" count="1">
            <x v="37"/>
          </reference>
        </references>
      </pivotArea>
    </format>
    <format dxfId="1719">
      <pivotArea dataOnly="0" labelOnly="1" fieldPosition="0">
        <references count="2">
          <reference field="0" count="1" selected="0">
            <x v="228"/>
          </reference>
          <reference field="1" count="1">
            <x v="212"/>
          </reference>
        </references>
      </pivotArea>
    </format>
    <format dxfId="1718">
      <pivotArea dataOnly="0" labelOnly="1" fieldPosition="0">
        <references count="2">
          <reference field="0" count="1" selected="0">
            <x v="126"/>
          </reference>
          <reference field="1" count="1">
            <x v="26"/>
          </reference>
        </references>
      </pivotArea>
    </format>
    <format dxfId="1717">
      <pivotArea dataOnly="0" labelOnly="1" fieldPosition="0">
        <references count="2">
          <reference field="0" count="1" selected="0">
            <x v="17"/>
          </reference>
          <reference field="1" count="1">
            <x v="94"/>
          </reference>
        </references>
      </pivotArea>
    </format>
    <format dxfId="1716">
      <pivotArea dataOnly="0" labelOnly="1" fieldPosition="0">
        <references count="2">
          <reference field="0" count="1" selected="0">
            <x v="76"/>
          </reference>
          <reference field="1" count="1">
            <x v="225"/>
          </reference>
        </references>
      </pivotArea>
    </format>
    <format dxfId="1715">
      <pivotArea dataOnly="0" labelOnly="1" fieldPosition="0">
        <references count="2">
          <reference field="0" count="1" selected="0">
            <x v="186"/>
          </reference>
          <reference field="1" count="1">
            <x v="115"/>
          </reference>
        </references>
      </pivotArea>
    </format>
    <format dxfId="1714">
      <pivotArea dataOnly="0" labelOnly="1" fieldPosition="0">
        <references count="2">
          <reference field="0" count="1" selected="0">
            <x v="92"/>
          </reference>
          <reference field="1" count="1">
            <x v="221"/>
          </reference>
        </references>
      </pivotArea>
    </format>
    <format dxfId="1713">
      <pivotArea dataOnly="0" labelOnly="1" fieldPosition="0">
        <references count="2">
          <reference field="0" count="1" selected="0">
            <x v="217"/>
          </reference>
          <reference field="1" count="1">
            <x v="247"/>
          </reference>
        </references>
      </pivotArea>
    </format>
    <format dxfId="1712">
      <pivotArea dataOnly="0" labelOnly="1" fieldPosition="0">
        <references count="2">
          <reference field="0" count="1" selected="0">
            <x v="256"/>
          </reference>
          <reference field="1" count="1">
            <x v="249"/>
          </reference>
        </references>
      </pivotArea>
    </format>
    <format dxfId="1711">
      <pivotArea dataOnly="0" labelOnly="1" fieldPosition="0">
        <references count="2">
          <reference field="0" count="1" selected="0">
            <x v="132"/>
          </reference>
          <reference field="1" count="1">
            <x v="102"/>
          </reference>
        </references>
      </pivotArea>
    </format>
    <format dxfId="1710">
      <pivotArea dataOnly="0" labelOnly="1" fieldPosition="0">
        <references count="2">
          <reference field="0" count="1" selected="0">
            <x v="230"/>
          </reference>
          <reference field="1" count="1">
            <x v="161"/>
          </reference>
        </references>
      </pivotArea>
    </format>
    <format dxfId="1709">
      <pivotArea dataOnly="0" labelOnly="1" fieldPosition="0">
        <references count="2">
          <reference field="0" count="1" selected="0">
            <x v="116"/>
          </reference>
          <reference field="1" count="1">
            <x v="91"/>
          </reference>
        </references>
      </pivotArea>
    </format>
    <format dxfId="1708">
      <pivotArea dataOnly="0" labelOnly="1" fieldPosition="0">
        <references count="2">
          <reference field="0" count="1" selected="0">
            <x v="58"/>
          </reference>
          <reference field="1" count="1">
            <x v="239"/>
          </reference>
        </references>
      </pivotArea>
    </format>
    <format dxfId="1707">
      <pivotArea dataOnly="0" labelOnly="1" fieldPosition="0">
        <references count="2">
          <reference field="0" count="1" selected="0">
            <x v="51"/>
          </reference>
          <reference field="1" count="1">
            <x v="228"/>
          </reference>
        </references>
      </pivotArea>
    </format>
    <format dxfId="1706">
      <pivotArea dataOnly="0" labelOnly="1" fieldPosition="0">
        <references count="2">
          <reference field="0" count="1" selected="0">
            <x v="218"/>
          </reference>
          <reference field="1" count="1">
            <x v="86"/>
          </reference>
        </references>
      </pivotArea>
    </format>
    <format dxfId="1705">
      <pivotArea dataOnly="0" labelOnly="1" fieldPosition="0">
        <references count="2">
          <reference field="0" count="1" selected="0">
            <x v="56"/>
          </reference>
          <reference field="1" count="1">
            <x v="241"/>
          </reference>
        </references>
      </pivotArea>
    </format>
    <format dxfId="1704">
      <pivotArea dataOnly="0" labelOnly="1" fieldPosition="0">
        <references count="2">
          <reference field="0" count="1" selected="0">
            <x v="94"/>
          </reference>
          <reference field="1" count="1">
            <x v="227"/>
          </reference>
        </references>
      </pivotArea>
    </format>
    <format dxfId="1703">
      <pivotArea dataOnly="0" labelOnly="1" fieldPosition="0">
        <references count="2">
          <reference field="0" count="1" selected="0">
            <x v="211"/>
          </reference>
          <reference field="1" count="1">
            <x v="68"/>
          </reference>
        </references>
      </pivotArea>
    </format>
    <format dxfId="1702">
      <pivotArea dataOnly="0" labelOnly="1" fieldPosition="0">
        <references count="2">
          <reference field="0" count="1" selected="0">
            <x v="207"/>
          </reference>
          <reference field="1" count="1">
            <x v="134"/>
          </reference>
        </references>
      </pivotArea>
    </format>
    <format dxfId="1701">
      <pivotArea dataOnly="0" labelOnly="1" fieldPosition="0">
        <references count="2">
          <reference field="0" count="1" selected="0">
            <x v="44"/>
          </reference>
          <reference field="1" count="1">
            <x v="199"/>
          </reference>
        </references>
      </pivotArea>
    </format>
    <format dxfId="1700">
      <pivotArea dataOnly="0" labelOnly="1" fieldPosition="0">
        <references count="2">
          <reference field="0" count="1" selected="0">
            <x v="222"/>
          </reference>
          <reference field="1" count="1">
            <x v="180"/>
          </reference>
        </references>
      </pivotArea>
    </format>
    <format dxfId="1699">
      <pivotArea dataOnly="0" labelOnly="1" fieldPosition="0">
        <references count="2">
          <reference field="0" count="1" selected="0">
            <x v="70"/>
          </reference>
          <reference field="1" count="1">
            <x v="151"/>
          </reference>
        </references>
      </pivotArea>
    </format>
    <format dxfId="1698">
      <pivotArea dataOnly="0" labelOnly="1" fieldPosition="0">
        <references count="2">
          <reference field="0" count="1" selected="0">
            <x v="34"/>
          </reference>
          <reference field="1" count="1">
            <x v="17"/>
          </reference>
        </references>
      </pivotArea>
    </format>
    <format dxfId="1697">
      <pivotArea dataOnly="0" labelOnly="1" fieldPosition="0">
        <references count="2">
          <reference field="0" count="1" selected="0">
            <x v="81"/>
          </reference>
          <reference field="1" count="1">
            <x v="63"/>
          </reference>
        </references>
      </pivotArea>
    </format>
    <format dxfId="1696">
      <pivotArea dataOnly="0" labelOnly="1" fieldPosition="0">
        <references count="2">
          <reference field="0" count="1" selected="0">
            <x v="45"/>
          </reference>
          <reference field="1" count="1">
            <x v="48"/>
          </reference>
        </references>
      </pivotArea>
    </format>
    <format dxfId="1695">
      <pivotArea dataOnly="0" labelOnly="1" fieldPosition="0">
        <references count="2">
          <reference field="0" count="1" selected="0">
            <x v="175"/>
          </reference>
          <reference field="1" count="1">
            <x v="124"/>
          </reference>
        </references>
      </pivotArea>
    </format>
    <format dxfId="1694">
      <pivotArea dataOnly="0" labelOnly="1" fieldPosition="0">
        <references count="2">
          <reference field="0" count="1" selected="0">
            <x v="69"/>
          </reference>
          <reference field="1" count="1">
            <x v="11"/>
          </reference>
        </references>
      </pivotArea>
    </format>
    <format dxfId="1693">
      <pivotArea dataOnly="0" labelOnly="1" fieldPosition="0">
        <references count="2">
          <reference field="0" count="1" selected="0">
            <x v="21"/>
          </reference>
          <reference field="1" count="1">
            <x v="32"/>
          </reference>
        </references>
      </pivotArea>
    </format>
    <format dxfId="1692">
      <pivotArea dataOnly="0" labelOnly="1" fieldPosition="0">
        <references count="2">
          <reference field="0" count="1" selected="0">
            <x v="114"/>
          </reference>
          <reference field="1" count="1">
            <x v="12"/>
          </reference>
        </references>
      </pivotArea>
    </format>
    <format dxfId="1691">
      <pivotArea dataOnly="0" labelOnly="1" fieldPosition="0">
        <references count="2">
          <reference field="0" count="1" selected="0">
            <x v="84"/>
          </reference>
          <reference field="1" count="1">
            <x v="140"/>
          </reference>
        </references>
      </pivotArea>
    </format>
    <format dxfId="1690">
      <pivotArea dataOnly="0" labelOnly="1" fieldPosition="0">
        <references count="2">
          <reference field="0" count="1" selected="0">
            <x v="110"/>
          </reference>
          <reference field="1" count="1">
            <x v="226"/>
          </reference>
        </references>
      </pivotArea>
    </format>
    <format dxfId="1689">
      <pivotArea dataOnly="0" labelOnly="1" fieldPosition="0">
        <references count="2">
          <reference field="0" count="1" selected="0">
            <x v="106"/>
          </reference>
          <reference field="1" count="1">
            <x v="196"/>
          </reference>
        </references>
      </pivotArea>
    </format>
    <format dxfId="1688">
      <pivotArea dataOnly="0" labelOnly="1" fieldPosition="0">
        <references count="2">
          <reference field="0" count="1" selected="0">
            <x v="77"/>
          </reference>
          <reference field="1" count="1">
            <x v="200"/>
          </reference>
        </references>
      </pivotArea>
    </format>
    <format dxfId="1687">
      <pivotArea dataOnly="0" labelOnly="1" fieldPosition="0">
        <references count="2">
          <reference field="0" count="1" selected="0">
            <x v="117"/>
          </reference>
          <reference field="1" count="1">
            <x v="33"/>
          </reference>
        </references>
      </pivotArea>
    </format>
    <format dxfId="1686">
      <pivotArea dataOnly="0" labelOnly="1" fieldPosition="0">
        <references count="2">
          <reference field="0" count="1" selected="0">
            <x v="124"/>
          </reference>
          <reference field="1" count="1">
            <x v="216"/>
          </reference>
        </references>
      </pivotArea>
    </format>
    <format dxfId="1685">
      <pivotArea dataOnly="0" labelOnly="1" fieldPosition="0">
        <references count="2">
          <reference field="0" count="1" selected="0">
            <x v="80"/>
          </reference>
          <reference field="1" count="1">
            <x v="58"/>
          </reference>
        </references>
      </pivotArea>
    </format>
    <format dxfId="1684">
      <pivotArea dataOnly="0" labelOnly="1" fieldPosition="0">
        <references count="2">
          <reference field="0" count="1" selected="0">
            <x v="172"/>
          </reference>
          <reference field="1" count="1">
            <x v="101"/>
          </reference>
        </references>
      </pivotArea>
    </format>
    <format dxfId="1683">
      <pivotArea dataOnly="0" labelOnly="1" fieldPosition="0">
        <references count="2">
          <reference field="0" count="1" selected="0">
            <x v="157"/>
          </reference>
          <reference field="1" count="1">
            <x v="183"/>
          </reference>
        </references>
      </pivotArea>
    </format>
    <format dxfId="1682">
      <pivotArea dataOnly="0" labelOnly="1" fieldPosition="0">
        <references count="2">
          <reference field="0" count="1" selected="0">
            <x v="109"/>
          </reference>
          <reference field="1" count="1">
            <x v="220"/>
          </reference>
        </references>
      </pivotArea>
    </format>
    <format dxfId="1681">
      <pivotArea dataOnly="0" labelOnly="1" fieldPosition="0">
        <references count="2">
          <reference field="0" count="1" selected="0">
            <x v="32"/>
          </reference>
          <reference field="1" count="1">
            <x v="159"/>
          </reference>
        </references>
      </pivotArea>
    </format>
    <format dxfId="1680">
      <pivotArea dataOnly="0" labelOnly="1" fieldPosition="0">
        <references count="2">
          <reference field="0" count="1" selected="0">
            <x v="40"/>
          </reference>
          <reference field="1" count="1">
            <x v="36"/>
          </reference>
        </references>
      </pivotArea>
    </format>
    <format dxfId="1679">
      <pivotArea dataOnly="0" labelOnly="1" fieldPosition="0">
        <references count="2">
          <reference field="0" count="1" selected="0">
            <x v="54"/>
          </reference>
          <reference field="1" count="1">
            <x v="207"/>
          </reference>
        </references>
      </pivotArea>
    </format>
    <format dxfId="1678">
      <pivotArea dataOnly="0" labelOnly="1" fieldPosition="0">
        <references count="2">
          <reference field="0" count="1" selected="0">
            <x v="108"/>
          </reference>
          <reference field="1" count="1">
            <x v="5"/>
          </reference>
        </references>
      </pivotArea>
    </format>
    <format dxfId="1677">
      <pivotArea dataOnly="0" labelOnly="1" fieldPosition="0">
        <references count="2">
          <reference field="0" count="1" selected="0">
            <x v="200"/>
          </reference>
          <reference field="1" count="1">
            <x v="123"/>
          </reference>
        </references>
      </pivotArea>
    </format>
    <format dxfId="1676">
      <pivotArea dataOnly="0" labelOnly="1" fieldPosition="0">
        <references count="2">
          <reference field="0" count="1" selected="0">
            <x v="156"/>
          </reference>
          <reference field="1" count="1">
            <x v="144"/>
          </reference>
        </references>
      </pivotArea>
    </format>
    <format dxfId="1675">
      <pivotArea dataOnly="0" labelOnly="1" fieldPosition="0">
        <references count="2">
          <reference field="0" count="1" selected="0">
            <x v="74"/>
          </reference>
          <reference field="1" count="1">
            <x v="219"/>
          </reference>
        </references>
      </pivotArea>
    </format>
    <format dxfId="1674">
      <pivotArea dataOnly="0" labelOnly="1" fieldPosition="0">
        <references count="2">
          <reference field="0" count="1" selected="0">
            <x v="27"/>
          </reference>
          <reference field="1" count="1">
            <x v="257"/>
          </reference>
        </references>
      </pivotArea>
    </format>
    <format dxfId="1673">
      <pivotArea dataOnly="0" labelOnly="1" fieldPosition="0">
        <references count="2">
          <reference field="0" count="1" selected="0">
            <x v="43"/>
          </reference>
          <reference field="1" count="1">
            <x v="46"/>
          </reference>
        </references>
      </pivotArea>
    </format>
    <format dxfId="1672">
      <pivotArea dataOnly="0" labelOnly="1" fieldPosition="0">
        <references count="2">
          <reference field="0" count="1" selected="0">
            <x v="66"/>
          </reference>
          <reference field="1" count="1">
            <x v="28"/>
          </reference>
        </references>
      </pivotArea>
    </format>
    <format dxfId="1671">
      <pivotArea dataOnly="0" labelOnly="1" fieldPosition="0">
        <references count="2">
          <reference field="0" count="1" selected="0">
            <x v="47"/>
          </reference>
          <reference field="1" count="1">
            <x v="99"/>
          </reference>
        </references>
      </pivotArea>
    </format>
    <format dxfId="1670">
      <pivotArea dataOnly="0" labelOnly="1" fieldPosition="0">
        <references count="2">
          <reference field="0" count="1" selected="0">
            <x v="33"/>
          </reference>
          <reference field="1" count="1">
            <x v="20"/>
          </reference>
        </references>
      </pivotArea>
    </format>
    <format dxfId="1669">
      <pivotArea dataOnly="0" labelOnly="1" fieldPosition="0">
        <references count="2">
          <reference field="0" count="1" selected="0">
            <x v="219"/>
          </reference>
          <reference field="1" count="1">
            <x v="71"/>
          </reference>
        </references>
      </pivotArea>
    </format>
    <format dxfId="1668">
      <pivotArea dataOnly="0" labelOnly="1" fieldPosition="0">
        <references count="2">
          <reference field="0" count="1" selected="0">
            <x v="191"/>
          </reference>
          <reference field="1" count="1">
            <x v="245"/>
          </reference>
        </references>
      </pivotArea>
    </format>
    <format dxfId="1667">
      <pivotArea dataOnly="0" labelOnly="1" fieldPosition="0">
        <references count="2">
          <reference field="0" count="1" selected="0">
            <x v="123"/>
          </reference>
          <reference field="1" count="1">
            <x v="155"/>
          </reference>
        </references>
      </pivotArea>
    </format>
    <format dxfId="1666">
      <pivotArea dataOnly="0" labelOnly="1" fieldPosition="0">
        <references count="2">
          <reference field="0" count="1" selected="0">
            <x v="192"/>
          </reference>
          <reference field="1" count="1">
            <x v="38"/>
          </reference>
        </references>
      </pivotArea>
    </format>
    <format dxfId="1665">
      <pivotArea dataOnly="0" labelOnly="1" fieldPosition="0">
        <references count="2">
          <reference field="0" count="1" selected="0">
            <x v="171"/>
          </reference>
          <reference field="1" count="1">
            <x v="126"/>
          </reference>
        </references>
      </pivotArea>
    </format>
    <format dxfId="1664">
      <pivotArea dataOnly="0" labelOnly="1" fieldPosition="0">
        <references count="2">
          <reference field="0" count="1" selected="0">
            <x v="46"/>
          </reference>
          <reference field="1" count="1">
            <x v="47"/>
          </reference>
        </references>
      </pivotArea>
    </format>
    <format dxfId="1663">
      <pivotArea dataOnly="0" labelOnly="1" fieldPosition="0">
        <references count="2">
          <reference field="0" count="1" selected="0">
            <x v="31"/>
          </reference>
          <reference field="1" count="1">
            <x v="16"/>
          </reference>
        </references>
      </pivotArea>
    </format>
    <format dxfId="1662">
      <pivotArea dataOnly="0" labelOnly="1" fieldPosition="0">
        <references count="2">
          <reference field="0" count="1" selected="0">
            <x v="52"/>
          </reference>
          <reference field="1" count="1">
            <x v="215"/>
          </reference>
        </references>
      </pivotArea>
    </format>
    <format dxfId="1661">
      <pivotArea dataOnly="0" labelOnly="1" fieldPosition="0">
        <references count="2">
          <reference field="0" count="1" selected="0">
            <x v="26"/>
          </reference>
          <reference field="1" count="1">
            <x v="148"/>
          </reference>
        </references>
      </pivotArea>
    </format>
    <format dxfId="1660">
      <pivotArea dataOnly="0" labelOnly="1" fieldPosition="0">
        <references count="2">
          <reference field="0" count="1" selected="0">
            <x v="14"/>
          </reference>
          <reference field="1" count="1">
            <x v="252"/>
          </reference>
        </references>
      </pivotArea>
    </format>
    <format dxfId="1659">
      <pivotArea dataOnly="0" labelOnly="1" fieldPosition="0">
        <references count="2">
          <reference field="0" count="1" selected="0">
            <x v="125"/>
          </reference>
          <reference field="1" count="1">
            <x v="43"/>
          </reference>
        </references>
      </pivotArea>
    </format>
    <format dxfId="1658">
      <pivotArea dataOnly="0" labelOnly="1" fieldPosition="0">
        <references count="2">
          <reference field="0" count="1" selected="0">
            <x v="115"/>
          </reference>
          <reference field="1" count="1">
            <x v="90"/>
          </reference>
        </references>
      </pivotArea>
    </format>
    <format dxfId="1657">
      <pivotArea dataOnly="0" labelOnly="1" fieldPosition="0">
        <references count="2">
          <reference field="0" count="1" selected="0">
            <x v="35"/>
          </reference>
          <reference field="1" count="1">
            <x v="15"/>
          </reference>
        </references>
      </pivotArea>
    </format>
    <format dxfId="1656">
      <pivotArea field="0" type="button" dataOnly="0" labelOnly="1" outline="0" axis="axisRow" fieldPosition="0"/>
    </format>
    <format dxfId="1655">
      <pivotArea dataOnly="0" labelOnly="1" fieldPosition="0">
        <references count="1">
          <reference field="0" count="50">
            <x v="0"/>
            <x v="1"/>
            <x v="3"/>
            <x v="5"/>
            <x v="6"/>
            <x v="8"/>
            <x v="11"/>
            <x v="25"/>
            <x v="71"/>
            <x v="79"/>
            <x v="82"/>
            <x v="87"/>
            <x v="130"/>
            <x v="131"/>
            <x v="133"/>
            <x v="134"/>
            <x v="135"/>
            <x v="136"/>
            <x v="143"/>
            <x v="150"/>
            <x v="151"/>
            <x v="153"/>
            <x v="165"/>
            <x v="167"/>
            <x v="168"/>
            <x v="176"/>
            <x v="177"/>
            <x v="179"/>
            <x v="180"/>
            <x v="182"/>
            <x v="184"/>
            <x v="188"/>
            <x v="199"/>
            <x v="201"/>
            <x v="203"/>
            <x v="204"/>
            <x v="205"/>
            <x v="210"/>
            <x v="213"/>
            <x v="216"/>
            <x v="220"/>
            <x v="224"/>
            <x v="226"/>
            <x v="233"/>
            <x v="240"/>
            <x v="244"/>
            <x v="245"/>
            <x v="246"/>
            <x v="249"/>
            <x v="250"/>
          </reference>
        </references>
      </pivotArea>
    </format>
    <format dxfId="1654">
      <pivotArea dataOnly="0" labelOnly="1" fieldPosition="0">
        <references count="1">
          <reference field="0" count="50">
            <x v="2"/>
            <x v="4"/>
            <x v="7"/>
            <x v="9"/>
            <x v="10"/>
            <x v="18"/>
            <x v="19"/>
            <x v="20"/>
            <x v="22"/>
            <x v="28"/>
            <x v="37"/>
            <x v="41"/>
            <x v="42"/>
            <x v="48"/>
            <x v="55"/>
            <x v="57"/>
            <x v="61"/>
            <x v="73"/>
            <x v="86"/>
            <x v="88"/>
            <x v="90"/>
            <x v="128"/>
            <x v="137"/>
            <x v="141"/>
            <x v="144"/>
            <x v="146"/>
            <x v="148"/>
            <x v="149"/>
            <x v="155"/>
            <x v="163"/>
            <x v="169"/>
            <x v="170"/>
            <x v="174"/>
            <x v="178"/>
            <x v="183"/>
            <x v="189"/>
            <x v="193"/>
            <x v="195"/>
            <x v="202"/>
            <x v="206"/>
            <x v="212"/>
            <x v="214"/>
            <x v="221"/>
            <x v="231"/>
            <x v="232"/>
            <x v="241"/>
            <x v="247"/>
            <x v="251"/>
            <x v="252"/>
            <x v="255"/>
          </reference>
        </references>
      </pivotArea>
    </format>
    <format dxfId="1653">
      <pivotArea dataOnly="0" labelOnly="1" fieldPosition="0">
        <references count="1">
          <reference field="0" count="50">
            <x v="13"/>
            <x v="16"/>
            <x v="29"/>
            <x v="30"/>
            <x v="39"/>
            <x v="53"/>
            <x v="59"/>
            <x v="60"/>
            <x v="63"/>
            <x v="68"/>
            <x v="72"/>
            <x v="78"/>
            <x v="83"/>
            <x v="89"/>
            <x v="91"/>
            <x v="95"/>
            <x v="97"/>
            <x v="101"/>
            <x v="111"/>
            <x v="112"/>
            <x v="113"/>
            <x v="122"/>
            <x v="129"/>
            <x v="139"/>
            <x v="140"/>
            <x v="145"/>
            <x v="147"/>
            <x v="152"/>
            <x v="160"/>
            <x v="162"/>
            <x v="166"/>
            <x v="173"/>
            <x v="181"/>
            <x v="185"/>
            <x v="190"/>
            <x v="196"/>
            <x v="208"/>
            <x v="209"/>
            <x v="215"/>
            <x v="223"/>
            <x v="225"/>
            <x v="227"/>
            <x v="236"/>
            <x v="237"/>
            <x v="238"/>
            <x v="239"/>
            <x v="242"/>
            <x v="243"/>
            <x v="248"/>
            <x v="253"/>
          </reference>
        </references>
      </pivotArea>
    </format>
    <format dxfId="1652">
      <pivotArea dataOnly="0" labelOnly="1" fieldPosition="0">
        <references count="1">
          <reference field="0" count="50">
            <x v="12"/>
            <x v="15"/>
            <x v="17"/>
            <x v="23"/>
            <x v="24"/>
            <x v="36"/>
            <x v="38"/>
            <x v="49"/>
            <x v="50"/>
            <x v="62"/>
            <x v="64"/>
            <x v="65"/>
            <x v="67"/>
            <x v="75"/>
            <x v="76"/>
            <x v="85"/>
            <x v="93"/>
            <x v="96"/>
            <x v="98"/>
            <x v="99"/>
            <x v="100"/>
            <x v="102"/>
            <x v="103"/>
            <x v="104"/>
            <x v="105"/>
            <x v="107"/>
            <x v="118"/>
            <x v="119"/>
            <x v="120"/>
            <x v="121"/>
            <x v="126"/>
            <x v="127"/>
            <x v="138"/>
            <x v="142"/>
            <x v="154"/>
            <x v="158"/>
            <x v="159"/>
            <x v="161"/>
            <x v="164"/>
            <x v="186"/>
            <x v="187"/>
            <x v="194"/>
            <x v="197"/>
            <x v="198"/>
            <x v="228"/>
            <x v="229"/>
            <x v="234"/>
            <x v="235"/>
            <x v="254"/>
            <x v="257"/>
          </reference>
        </references>
      </pivotArea>
    </format>
    <format dxfId="1651">
      <pivotArea dataOnly="0" labelOnly="1" fieldPosition="0">
        <references count="1">
          <reference field="0" count="50">
            <x v="21"/>
            <x v="27"/>
            <x v="32"/>
            <x v="33"/>
            <x v="34"/>
            <x v="40"/>
            <x v="43"/>
            <x v="44"/>
            <x v="45"/>
            <x v="47"/>
            <x v="51"/>
            <x v="54"/>
            <x v="56"/>
            <x v="58"/>
            <x v="66"/>
            <x v="69"/>
            <x v="70"/>
            <x v="74"/>
            <x v="77"/>
            <x v="80"/>
            <x v="81"/>
            <x v="84"/>
            <x v="92"/>
            <x v="94"/>
            <x v="106"/>
            <x v="108"/>
            <x v="109"/>
            <x v="110"/>
            <x v="114"/>
            <x v="116"/>
            <x v="117"/>
            <x v="123"/>
            <x v="124"/>
            <x v="132"/>
            <x v="156"/>
            <x v="157"/>
            <x v="171"/>
            <x v="172"/>
            <x v="175"/>
            <x v="191"/>
            <x v="192"/>
            <x v="200"/>
            <x v="207"/>
            <x v="211"/>
            <x v="217"/>
            <x v="218"/>
            <x v="219"/>
            <x v="222"/>
            <x v="230"/>
            <x v="256"/>
          </reference>
        </references>
      </pivotArea>
    </format>
    <format dxfId="1650">
      <pivotArea dataOnly="0" labelOnly="1" fieldPosition="0">
        <references count="1">
          <reference field="0" count="8">
            <x v="14"/>
            <x v="26"/>
            <x v="31"/>
            <x v="35"/>
            <x v="46"/>
            <x v="52"/>
            <x v="115"/>
            <x v="125"/>
          </reference>
        </references>
      </pivotArea>
    </format>
    <format dxfId="1649">
      <pivotArea dataOnly="0" labelOnly="1" grandRow="1" outline="0" fieldPosition="0"/>
    </format>
    <format dxfId="1648">
      <pivotArea dataOnly="0" labelOnly="1" fieldPosition="0">
        <references count="2">
          <reference field="0" count="1" selected="0">
            <x v="82"/>
          </reference>
          <reference field="1" count="1">
            <x v="62"/>
          </reference>
        </references>
      </pivotArea>
    </format>
    <format dxfId="1647">
      <pivotArea dataOnly="0" labelOnly="1" fieldPosition="0">
        <references count="2">
          <reference field="0" count="1" selected="0">
            <x v="3"/>
          </reference>
          <reference field="1" count="1">
            <x v="179"/>
          </reference>
        </references>
      </pivotArea>
    </format>
    <format dxfId="1646">
      <pivotArea dataOnly="0" labelOnly="1" fieldPosition="0">
        <references count="2">
          <reference field="0" count="1" selected="0">
            <x v="250"/>
          </reference>
          <reference field="1" count="1">
            <x v="87"/>
          </reference>
        </references>
      </pivotArea>
    </format>
    <format dxfId="1645">
      <pivotArea dataOnly="0" labelOnly="1" fieldPosition="0">
        <references count="2">
          <reference field="0" count="1" selected="0">
            <x v="201"/>
          </reference>
          <reference field="1" count="1">
            <x v="133"/>
          </reference>
        </references>
      </pivotArea>
    </format>
    <format dxfId="1644">
      <pivotArea dataOnly="0" labelOnly="1" fieldPosition="0">
        <references count="2">
          <reference field="0" count="1" selected="0">
            <x v="133"/>
          </reference>
          <reference field="1" count="1">
            <x v="244"/>
          </reference>
        </references>
      </pivotArea>
    </format>
    <format dxfId="1643">
      <pivotArea dataOnly="0" labelOnly="1" fieldPosition="0">
        <references count="2">
          <reference field="0" count="1" selected="0">
            <x v="244"/>
          </reference>
          <reference field="1" count="1">
            <x v="76"/>
          </reference>
        </references>
      </pivotArea>
    </format>
    <format dxfId="1642">
      <pivotArea dataOnly="0" labelOnly="1" fieldPosition="0">
        <references count="2">
          <reference field="0" count="1" selected="0">
            <x v="249"/>
          </reference>
          <reference field="1" count="1">
            <x v="204"/>
          </reference>
        </references>
      </pivotArea>
    </format>
    <format dxfId="1641">
      <pivotArea dataOnly="0" labelOnly="1" fieldPosition="0">
        <references count="2">
          <reference field="0" count="1" selected="0">
            <x v="179"/>
          </reference>
          <reference field="1" count="1">
            <x v="139"/>
          </reference>
        </references>
      </pivotArea>
    </format>
    <format dxfId="1640">
      <pivotArea dataOnly="0" labelOnly="1" fieldPosition="0">
        <references count="2">
          <reference field="0" count="1" selected="0">
            <x v="165"/>
          </reference>
          <reference field="1" count="1">
            <x v="186"/>
          </reference>
        </references>
      </pivotArea>
    </format>
    <format dxfId="1639">
      <pivotArea dataOnly="0" labelOnly="1" fieldPosition="0">
        <references count="2">
          <reference field="0" count="1" selected="0">
            <x v="131"/>
          </reference>
          <reference field="1" count="1">
            <x v="165"/>
          </reference>
        </references>
      </pivotArea>
    </format>
    <format dxfId="1638">
      <pivotArea dataOnly="0" labelOnly="1" fieldPosition="0">
        <references count="2">
          <reference field="0" count="1" selected="0">
            <x v="143"/>
          </reference>
          <reference field="1" count="1">
            <x v="44"/>
          </reference>
        </references>
      </pivotArea>
    </format>
    <format dxfId="1637">
      <pivotArea dataOnly="0" labelOnly="1" fieldPosition="0">
        <references count="2">
          <reference field="0" count="1" selected="0">
            <x v="203"/>
          </reference>
          <reference field="1" count="1">
            <x v="232"/>
          </reference>
        </references>
      </pivotArea>
    </format>
    <format dxfId="1636">
      <pivotArea dataOnly="0" labelOnly="1" fieldPosition="0">
        <references count="2">
          <reference field="0" count="1" selected="0">
            <x v="204"/>
          </reference>
          <reference field="1" count="1">
            <x v="27"/>
          </reference>
        </references>
      </pivotArea>
    </format>
    <format dxfId="1635">
      <pivotArea dataOnly="0" labelOnly="1" fieldPosition="0">
        <references count="2">
          <reference field="0" count="1" selected="0">
            <x v="168"/>
          </reference>
          <reference field="1" count="1">
            <x v="253"/>
          </reference>
        </references>
      </pivotArea>
    </format>
    <format dxfId="1634">
      <pivotArea dataOnly="0" labelOnly="1" fieldPosition="0">
        <references count="2">
          <reference field="0" count="1" selected="0">
            <x v="71"/>
          </reference>
          <reference field="1" count="1">
            <x v="201"/>
          </reference>
        </references>
      </pivotArea>
    </format>
    <format dxfId="1633">
      <pivotArea dataOnly="0" labelOnly="1" fieldPosition="0">
        <references count="2">
          <reference field="0" count="1" selected="0">
            <x v="245"/>
          </reference>
          <reference field="1" count="1">
            <x v="34"/>
          </reference>
        </references>
      </pivotArea>
    </format>
    <format dxfId="1632">
      <pivotArea dataOnly="0" labelOnly="1" fieldPosition="0">
        <references count="2">
          <reference field="0" count="1" selected="0">
            <x v="135"/>
          </reference>
          <reference field="1" count="1">
            <x v="189"/>
          </reference>
        </references>
      </pivotArea>
    </format>
    <format dxfId="1631">
      <pivotArea dataOnly="0" labelOnly="1" fieldPosition="0">
        <references count="2">
          <reference field="0" count="1" selected="0">
            <x v="184"/>
          </reference>
          <reference field="1" count="1">
            <x v="117"/>
          </reference>
        </references>
      </pivotArea>
    </format>
    <format dxfId="1630">
      <pivotArea dataOnly="0" labelOnly="1" fieldPosition="0">
        <references count="2">
          <reference field="0" count="1" selected="0">
            <x v="224"/>
          </reference>
          <reference field="1" count="1">
            <x v="73"/>
          </reference>
        </references>
      </pivotArea>
    </format>
    <format dxfId="1629">
      <pivotArea dataOnly="0" labelOnly="1" fieldPosition="0">
        <references count="2">
          <reference field="0" count="1" selected="0">
            <x v="87"/>
          </reference>
          <reference field="1" count="1">
            <x v="61"/>
          </reference>
        </references>
      </pivotArea>
    </format>
    <format dxfId="1628">
      <pivotArea dataOnly="0" labelOnly="1" fieldPosition="0">
        <references count="2">
          <reference field="0" count="1" selected="0">
            <x v="199"/>
          </reference>
          <reference field="1" count="1">
            <x v="127"/>
          </reference>
        </references>
      </pivotArea>
    </format>
    <format dxfId="1627">
      <pivotArea dataOnly="0" labelOnly="1" fieldPosition="0">
        <references count="2">
          <reference field="0" count="1" selected="0">
            <x v="220"/>
          </reference>
          <reference field="1" count="1">
            <x v="78"/>
          </reference>
        </references>
      </pivotArea>
    </format>
    <format dxfId="1626">
      <pivotArea dataOnly="0" labelOnly="1" fieldPosition="0">
        <references count="2">
          <reference field="0" count="1" selected="0">
            <x v="213"/>
          </reference>
          <reference field="1" count="1">
            <x v="84"/>
          </reference>
        </references>
      </pivotArea>
    </format>
    <format dxfId="1625">
      <pivotArea dataOnly="0" labelOnly="1" fieldPosition="0">
        <references count="2">
          <reference field="0" count="1" selected="0">
            <x v="5"/>
          </reference>
          <reference field="1" count="1">
            <x v="0"/>
          </reference>
        </references>
      </pivotArea>
    </format>
    <format dxfId="1624">
      <pivotArea dataOnly="0" labelOnly="1" fieldPosition="0">
        <references count="2">
          <reference field="0" count="1" selected="0">
            <x v="136"/>
          </reference>
          <reference field="1" count="1">
            <x v="4"/>
          </reference>
        </references>
      </pivotArea>
    </format>
    <format dxfId="1623">
      <pivotArea dataOnly="0" labelOnly="1" fieldPosition="0">
        <references count="2">
          <reference field="0" count="1" selected="0">
            <x v="8"/>
          </reference>
          <reference field="1" count="1">
            <x v="10"/>
          </reference>
        </references>
      </pivotArea>
    </format>
    <format dxfId="1622">
      <pivotArea dataOnly="0" labelOnly="1" fieldPosition="0">
        <references count="2">
          <reference field="0" count="1" selected="0">
            <x v="240"/>
          </reference>
          <reference field="1" count="1">
            <x v="77"/>
          </reference>
        </references>
      </pivotArea>
    </format>
    <format dxfId="1621">
      <pivotArea dataOnly="0" labelOnly="1" fieldPosition="0">
        <references count="2">
          <reference field="0" count="1" selected="0">
            <x v="153"/>
          </reference>
          <reference field="1" count="1">
            <x v="167"/>
          </reference>
        </references>
      </pivotArea>
    </format>
    <format dxfId="1620">
      <pivotArea dataOnly="0" labelOnly="1" fieldPosition="0">
        <references count="2">
          <reference field="0" count="1" selected="0">
            <x v="167"/>
          </reference>
          <reference field="1" count="1">
            <x v="138"/>
          </reference>
        </references>
      </pivotArea>
    </format>
    <format dxfId="1619">
      <pivotArea dataOnly="0" labelOnly="1" fieldPosition="0">
        <references count="2">
          <reference field="0" count="1" selected="0">
            <x v="151"/>
          </reference>
          <reference field="1" count="1">
            <x v="203"/>
          </reference>
        </references>
      </pivotArea>
    </format>
    <format dxfId="1618">
      <pivotArea dataOnly="0" labelOnly="1" fieldPosition="0">
        <references count="2">
          <reference field="0" count="1" selected="0">
            <x v="188"/>
          </reference>
          <reference field="1" count="1">
            <x v="162"/>
          </reference>
        </references>
      </pivotArea>
    </format>
    <format dxfId="1617">
      <pivotArea dataOnly="0" labelOnly="1" fieldPosition="0">
        <references count="2">
          <reference field="0" count="1" selected="0">
            <x v="205"/>
          </reference>
          <reference field="1" count="1">
            <x v="237"/>
          </reference>
        </references>
      </pivotArea>
    </format>
    <format dxfId="1616">
      <pivotArea dataOnly="0" labelOnly="1" fieldPosition="0">
        <references count="2">
          <reference field="0" count="1" selected="0">
            <x v="210"/>
          </reference>
          <reference field="1" count="1">
            <x v="70"/>
          </reference>
        </references>
      </pivotArea>
    </format>
    <format dxfId="1615">
      <pivotArea dataOnly="0" labelOnly="1" fieldPosition="0">
        <references count="2">
          <reference field="0" count="1" selected="0">
            <x v="0"/>
          </reference>
          <reference field="1" count="1">
            <x v="175"/>
          </reference>
        </references>
      </pivotArea>
    </format>
    <format dxfId="1614">
      <pivotArea dataOnly="0" labelOnly="1" fieldPosition="0">
        <references count="2">
          <reference field="0" count="1" selected="0">
            <x v="216"/>
          </reference>
          <reference field="1" count="1">
            <x v="66"/>
          </reference>
        </references>
      </pivotArea>
    </format>
    <format dxfId="1613">
      <pivotArea dataOnly="0" labelOnly="1" fieldPosition="0">
        <references count="2">
          <reference field="0" count="1" selected="0">
            <x v="130"/>
          </reference>
          <reference field="1" count="1">
            <x v="54"/>
          </reference>
        </references>
      </pivotArea>
    </format>
    <format dxfId="1612">
      <pivotArea dataOnly="0" labelOnly="1" fieldPosition="0">
        <references count="2">
          <reference field="0" count="1" selected="0">
            <x v="79"/>
          </reference>
          <reference field="1" count="1">
            <x v="19"/>
          </reference>
        </references>
      </pivotArea>
    </format>
    <format dxfId="1611">
      <pivotArea dataOnly="0" labelOnly="1" fieldPosition="0">
        <references count="2">
          <reference field="0" count="1" selected="0">
            <x v="25"/>
          </reference>
          <reference field="1" count="1">
            <x v="21"/>
          </reference>
        </references>
      </pivotArea>
    </format>
    <format dxfId="1610">
      <pivotArea dataOnly="0" labelOnly="1" fieldPosition="0">
        <references count="2">
          <reference field="0" count="1" selected="0">
            <x v="11"/>
          </reference>
          <reference field="1" count="1">
            <x v="42"/>
          </reference>
        </references>
      </pivotArea>
    </format>
    <format dxfId="1609">
      <pivotArea dataOnly="0" labelOnly="1" fieldPosition="0">
        <references count="2">
          <reference field="0" count="1" selected="0">
            <x v="246"/>
          </reference>
          <reference field="1" count="1">
            <x v="166"/>
          </reference>
        </references>
      </pivotArea>
    </format>
    <format dxfId="1608">
      <pivotArea dataOnly="0" labelOnly="1" fieldPosition="0">
        <references count="2">
          <reference field="0" count="1" selected="0">
            <x v="182"/>
          </reference>
          <reference field="1" count="1">
            <x v="111"/>
          </reference>
        </references>
      </pivotArea>
    </format>
    <format dxfId="1607">
      <pivotArea dataOnly="0" labelOnly="1" fieldPosition="0">
        <references count="2">
          <reference field="0" count="1" selected="0">
            <x v="177"/>
          </reference>
          <reference field="1" count="1">
            <x v="142"/>
          </reference>
        </references>
      </pivotArea>
    </format>
    <format dxfId="1606">
      <pivotArea dataOnly="0" labelOnly="1" fieldPosition="0">
        <references count="2">
          <reference field="0" count="1" selected="0">
            <x v="1"/>
          </reference>
          <reference field="1" count="1">
            <x v="176"/>
          </reference>
        </references>
      </pivotArea>
    </format>
    <format dxfId="1605">
      <pivotArea dataOnly="0" labelOnly="1" fieldPosition="0">
        <references count="2">
          <reference field="0" count="1" selected="0">
            <x v="150"/>
          </reference>
          <reference field="1" count="1">
            <x v="110"/>
          </reference>
        </references>
      </pivotArea>
    </format>
    <format dxfId="1604">
      <pivotArea dataOnly="0" labelOnly="1" fieldPosition="0">
        <references count="2">
          <reference field="0" count="1" selected="0">
            <x v="6"/>
          </reference>
          <reference field="1" count="1">
            <x v="173"/>
          </reference>
        </references>
      </pivotArea>
    </format>
    <format dxfId="1603">
      <pivotArea dataOnly="0" labelOnly="1" fieldPosition="0">
        <references count="2">
          <reference field="0" count="1" selected="0">
            <x v="226"/>
          </reference>
          <reference field="1" count="1">
            <x v="233"/>
          </reference>
        </references>
      </pivotArea>
    </format>
    <format dxfId="1602">
      <pivotArea dataOnly="0" labelOnly="1" fieldPosition="0">
        <references count="2">
          <reference field="0" count="1" selected="0">
            <x v="233"/>
          </reference>
          <reference field="1" count="1">
            <x v="236"/>
          </reference>
        </references>
      </pivotArea>
    </format>
    <format dxfId="1601">
      <pivotArea dataOnly="0" labelOnly="1" fieldPosition="0">
        <references count="2">
          <reference field="0" count="1" selected="0">
            <x v="180"/>
          </reference>
          <reference field="1" count="1">
            <x v="109"/>
          </reference>
        </references>
      </pivotArea>
    </format>
    <format dxfId="1600">
      <pivotArea dataOnly="0" labelOnly="1" fieldPosition="0">
        <references count="2">
          <reference field="0" count="1" selected="0">
            <x v="176"/>
          </reference>
          <reference field="1" count="1">
            <x v="56"/>
          </reference>
        </references>
      </pivotArea>
    </format>
    <format dxfId="1599">
      <pivotArea dataOnly="0" labelOnly="1" fieldPosition="0">
        <references count="2">
          <reference field="0" count="1" selected="0">
            <x v="134"/>
          </reference>
          <reference field="1" count="1">
            <x v="88"/>
          </reference>
        </references>
      </pivotArea>
    </format>
    <format dxfId="1598">
      <pivotArea dataOnly="0" labelOnly="1" fieldPosition="0">
        <references count="2">
          <reference field="0" count="1" selected="0">
            <x v="252"/>
          </reference>
          <reference field="1" count="1">
            <x v="105"/>
          </reference>
        </references>
      </pivotArea>
    </format>
    <format dxfId="1597">
      <pivotArea dataOnly="0" labelOnly="1" fieldPosition="0">
        <references count="2">
          <reference field="0" count="1" selected="0">
            <x v="255"/>
          </reference>
          <reference field="1" count="1">
            <x v="106"/>
          </reference>
        </references>
      </pivotArea>
    </format>
    <format dxfId="1596">
      <pivotArea dataOnly="0" labelOnly="1" fieldPosition="0">
        <references count="2">
          <reference field="0" count="1" selected="0">
            <x v="57"/>
          </reference>
          <reference field="1" count="1">
            <x v="242"/>
          </reference>
        </references>
      </pivotArea>
    </format>
    <format dxfId="1595">
      <pivotArea dataOnly="0" labelOnly="1" fieldPosition="0">
        <references count="2">
          <reference field="0" count="1" selected="0">
            <x v="55"/>
          </reference>
          <reference field="1" count="1">
            <x v="192"/>
          </reference>
        </references>
      </pivotArea>
    </format>
    <format dxfId="1594">
      <pivotArea dataOnly="0" labelOnly="1" fieldPosition="0">
        <references count="2">
          <reference field="0" count="1" selected="0">
            <x v="251"/>
          </reference>
          <reference field="1" count="1">
            <x v="81"/>
          </reference>
        </references>
      </pivotArea>
    </format>
    <format dxfId="1593">
      <pivotArea dataOnly="0" labelOnly="1" fieldPosition="0">
        <references count="2">
          <reference field="0" count="1" selected="0">
            <x v="155"/>
          </reference>
          <reference field="1" count="1">
            <x v="100"/>
          </reference>
        </references>
      </pivotArea>
    </format>
    <format dxfId="1592">
      <pivotArea dataOnly="0" labelOnly="1" fieldPosition="0">
        <references count="2">
          <reference field="0" count="1" selected="0">
            <x v="137"/>
          </reference>
          <reference field="1" count="1">
            <x v="3"/>
          </reference>
        </references>
      </pivotArea>
    </format>
    <format dxfId="1591">
      <pivotArea dataOnly="0" labelOnly="1" fieldPosition="0">
        <references count="2">
          <reference field="0" count="1" selected="0">
            <x v="19"/>
          </reference>
          <reference field="1" count="1">
            <x v="171"/>
          </reference>
        </references>
      </pivotArea>
    </format>
    <format dxfId="1590">
      <pivotArea dataOnly="0" labelOnly="1" fieldPosition="0">
        <references count="2">
          <reference field="0" count="1" selected="0">
            <x v="232"/>
          </reference>
          <reference field="1" count="1">
            <x v="92"/>
          </reference>
        </references>
      </pivotArea>
    </format>
    <format dxfId="1589">
      <pivotArea dataOnly="0" labelOnly="1" fieldPosition="0">
        <references count="2">
          <reference field="0" count="1" selected="0">
            <x v="183"/>
          </reference>
          <reference field="1" count="1">
            <x v="112"/>
          </reference>
        </references>
      </pivotArea>
    </format>
    <format dxfId="1588">
      <pivotArea dataOnly="0" labelOnly="1" fieldPosition="0">
        <references count="2">
          <reference field="0" count="1" selected="0">
            <x v="170"/>
          </reference>
          <reference field="1" count="1">
            <x v="25"/>
          </reference>
        </references>
      </pivotArea>
    </format>
    <format dxfId="1587">
      <pivotArea dataOnly="0" labelOnly="1" fieldPosition="0">
        <references count="2">
          <reference field="0" count="1" selected="0">
            <x v="18"/>
          </reference>
          <reference field="1" count="1">
            <x v="202"/>
          </reference>
        </references>
      </pivotArea>
    </format>
    <format dxfId="1586">
      <pivotArea dataOnly="0" labelOnly="1" fieldPosition="0">
        <references count="2">
          <reference field="0" count="1" selected="0">
            <x v="241"/>
          </reference>
          <reference field="1" count="1">
            <x v="82"/>
          </reference>
        </references>
      </pivotArea>
    </format>
    <format dxfId="1585">
      <pivotArea dataOnly="0" labelOnly="1" fieldPosition="0">
        <references count="2">
          <reference field="0" count="1" selected="0">
            <x v="212"/>
          </reference>
          <reference field="1" count="1">
            <x v="163"/>
          </reference>
        </references>
      </pivotArea>
    </format>
    <format dxfId="1584">
      <pivotArea dataOnly="0" labelOnly="1" fieldPosition="0">
        <references count="2">
          <reference field="0" count="1" selected="0">
            <x v="146"/>
          </reference>
          <reference field="1" count="1">
            <x v="141"/>
          </reference>
        </references>
      </pivotArea>
    </format>
    <format dxfId="1583">
      <pivotArea dataOnly="0" labelOnly="1" fieldPosition="0">
        <references count="2">
          <reference field="0" count="1" selected="0">
            <x v="193"/>
          </reference>
          <reference field="1" count="1">
            <x v="23"/>
          </reference>
        </references>
      </pivotArea>
    </format>
    <format dxfId="1582">
      <pivotArea dataOnly="0" labelOnly="1" fieldPosition="0">
        <references count="2">
          <reference field="0" count="1" selected="0">
            <x v="88"/>
          </reference>
          <reference field="1" count="1">
            <x v="170"/>
          </reference>
        </references>
      </pivotArea>
    </format>
    <format dxfId="1581">
      <pivotArea dataOnly="0" labelOnly="1" fieldPosition="0">
        <references count="2">
          <reference field="0" count="1" selected="0">
            <x v="10"/>
          </reference>
          <reference field="1" count="1">
            <x v="168"/>
          </reference>
        </references>
      </pivotArea>
    </format>
    <format dxfId="1580">
      <pivotArea dataOnly="0" labelOnly="1" fieldPosition="0">
        <references count="2">
          <reference field="0" count="1" selected="0">
            <x v="231"/>
          </reference>
          <reference field="1" count="1">
            <x v="64"/>
          </reference>
        </references>
      </pivotArea>
    </format>
    <format dxfId="1579">
      <pivotArea dataOnly="0" labelOnly="1" fieldPosition="0">
        <references count="2">
          <reference field="0" count="1" selected="0">
            <x v="221"/>
          </reference>
          <reference field="1" count="1">
            <x v="80"/>
          </reference>
        </references>
      </pivotArea>
    </format>
    <format dxfId="1578">
      <pivotArea dataOnly="0" labelOnly="1" fieldPosition="0">
        <references count="2">
          <reference field="0" count="1" selected="0">
            <x v="178"/>
          </reference>
          <reference field="1" count="1">
            <x v="113"/>
          </reference>
        </references>
      </pivotArea>
    </format>
    <format dxfId="1577">
      <pivotArea dataOnly="0" labelOnly="1" fieldPosition="0">
        <references count="2">
          <reference field="0" count="1" selected="0">
            <x v="141"/>
          </reference>
          <reference field="1" count="1">
            <x v="131"/>
          </reference>
        </references>
      </pivotArea>
    </format>
    <format dxfId="1576">
      <pivotArea dataOnly="0" labelOnly="1" fieldPosition="0">
        <references count="2">
          <reference field="0" count="1" selected="0">
            <x v="169"/>
          </reference>
          <reference field="1" count="1">
            <x v="108"/>
          </reference>
        </references>
      </pivotArea>
    </format>
    <format dxfId="1575">
      <pivotArea dataOnly="0" labelOnly="1" fieldPosition="0">
        <references count="2">
          <reference field="0" count="1" selected="0">
            <x v="4"/>
          </reference>
          <reference field="1" count="1">
            <x v="178"/>
          </reference>
        </references>
      </pivotArea>
    </format>
    <format dxfId="1574">
      <pivotArea dataOnly="0" labelOnly="1" fieldPosition="0">
        <references count="2">
          <reference field="0" count="1" selected="0">
            <x v="214"/>
          </reference>
          <reference field="1" count="1">
            <x v="85"/>
          </reference>
        </references>
      </pivotArea>
    </format>
    <format dxfId="1573">
      <pivotArea dataOnly="0" labelOnly="1" fieldPosition="0">
        <references count="2">
          <reference field="0" count="1" selected="0">
            <x v="28"/>
          </reference>
          <reference field="1" count="1">
            <x v="145"/>
          </reference>
        </references>
      </pivotArea>
    </format>
    <format dxfId="1572">
      <pivotArea dataOnly="0" labelOnly="1" fieldPosition="0">
        <references count="2">
          <reference field="0" count="1" selected="0">
            <x v="195"/>
          </reference>
          <reference field="1" count="1">
            <x v="160"/>
          </reference>
        </references>
      </pivotArea>
    </format>
    <format dxfId="1571">
      <pivotArea dataOnly="0" labelOnly="1" fieldPosition="0">
        <references count="2">
          <reference field="0" count="1" selected="0">
            <x v="37"/>
          </reference>
          <reference field="1" count="1">
            <x v="96"/>
          </reference>
        </references>
      </pivotArea>
    </format>
    <format dxfId="1570">
      <pivotArea dataOnly="0" labelOnly="1" fieldPosition="0">
        <references count="2">
          <reference field="0" count="1" selected="0">
            <x v="202"/>
          </reference>
          <reference field="1" count="1">
            <x v="149"/>
          </reference>
        </references>
      </pivotArea>
    </format>
    <format dxfId="1569">
      <pivotArea dataOnly="0" labelOnly="1" fieldPosition="0">
        <references count="2">
          <reference field="0" count="1" selected="0">
            <x v="163"/>
          </reference>
          <reference field="1" count="1">
            <x v="122"/>
          </reference>
        </references>
      </pivotArea>
    </format>
    <format dxfId="1568">
      <pivotArea dataOnly="0" labelOnly="1" fieldPosition="0">
        <references count="2">
          <reference field="0" count="1" selected="0">
            <x v="48"/>
          </reference>
          <reference field="1" count="1">
            <x v="50"/>
          </reference>
        </references>
      </pivotArea>
    </format>
    <format dxfId="1567">
      <pivotArea dataOnly="0" labelOnly="1" fieldPosition="0">
        <references count="2">
          <reference field="0" count="1" selected="0">
            <x v="61"/>
          </reference>
          <reference field="1" count="1">
            <x v="223"/>
          </reference>
        </references>
      </pivotArea>
    </format>
    <format dxfId="1566">
      <pivotArea dataOnly="0" labelOnly="1" fieldPosition="0">
        <references count="2">
          <reference field="0" count="1" selected="0">
            <x v="7"/>
          </reference>
          <reference field="1" count="1">
            <x v="174"/>
          </reference>
        </references>
      </pivotArea>
    </format>
    <format dxfId="1565">
      <pivotArea dataOnly="0" labelOnly="1" fieldPosition="0">
        <references count="2">
          <reference field="0" count="1" selected="0">
            <x v="144"/>
          </reference>
          <reference field="1" count="1">
            <x v="65"/>
          </reference>
        </references>
      </pivotArea>
    </format>
    <format dxfId="1564">
      <pivotArea dataOnly="0" labelOnly="1" fieldPosition="0">
        <references count="2">
          <reference field="0" count="1" selected="0">
            <x v="9"/>
          </reference>
          <reference field="1" count="1">
            <x v="210"/>
          </reference>
        </references>
      </pivotArea>
    </format>
    <format dxfId="1563">
      <pivotArea dataOnly="0" labelOnly="1" fieldPosition="0">
        <references count="2">
          <reference field="0" count="1" selected="0">
            <x v="247"/>
          </reference>
          <reference field="1" count="1">
            <x v="67"/>
          </reference>
        </references>
      </pivotArea>
    </format>
    <format dxfId="1562">
      <pivotArea dataOnly="0" labelOnly="1" fieldPosition="0">
        <references count="2">
          <reference field="0" count="1" selected="0">
            <x v="41"/>
          </reference>
          <reference field="1" count="1">
            <x v="194"/>
          </reference>
        </references>
      </pivotArea>
    </format>
    <format dxfId="1561">
      <pivotArea dataOnly="0" labelOnly="1" fieldPosition="0">
        <references count="2">
          <reference field="0" count="1" selected="0">
            <x v="73"/>
          </reference>
          <reference field="1" count="1">
            <x v="214"/>
          </reference>
        </references>
      </pivotArea>
    </format>
    <format dxfId="1560">
      <pivotArea dataOnly="0" labelOnly="1" fieldPosition="0">
        <references count="2">
          <reference field="0" count="1" selected="0">
            <x v="128"/>
          </reference>
          <reference field="1" count="1">
            <x v="217"/>
          </reference>
        </references>
      </pivotArea>
    </format>
    <format dxfId="1559">
      <pivotArea dataOnly="0" labelOnly="1" fieldPosition="0">
        <references count="2">
          <reference field="0" count="1" selected="0">
            <x v="174"/>
          </reference>
          <reference field="1" count="1">
            <x v="205"/>
          </reference>
        </references>
      </pivotArea>
    </format>
    <format dxfId="1558">
      <pivotArea dataOnly="0" labelOnly="1" fieldPosition="0">
        <references count="2">
          <reference field="0" count="1" selected="0">
            <x v="149"/>
          </reference>
          <reference field="1" count="1">
            <x v="95"/>
          </reference>
        </references>
      </pivotArea>
    </format>
    <format dxfId="1557">
      <pivotArea dataOnly="0" labelOnly="1" fieldPosition="0">
        <references count="2">
          <reference field="0" count="1" selected="0">
            <x v="90"/>
          </reference>
          <reference field="1" count="1">
            <x v="60"/>
          </reference>
        </references>
      </pivotArea>
    </format>
    <format dxfId="1556">
      <pivotArea dataOnly="0" labelOnly="1" fieldPosition="0">
        <references count="2">
          <reference field="0" count="1" selected="0">
            <x v="206"/>
          </reference>
          <reference field="1" count="1">
            <x v="98"/>
          </reference>
        </references>
      </pivotArea>
    </format>
    <format dxfId="1555">
      <pivotArea dataOnly="0" labelOnly="1" fieldPosition="0">
        <references count="2">
          <reference field="0" count="1" selected="0">
            <x v="86"/>
          </reference>
          <reference field="1" count="1">
            <x v="30"/>
          </reference>
        </references>
      </pivotArea>
    </format>
    <format dxfId="1554">
      <pivotArea dataOnly="0" labelOnly="1" fieldPosition="0">
        <references count="2">
          <reference field="0" count="1" selected="0">
            <x v="148"/>
          </reference>
          <reference field="1" count="1">
            <x v="208"/>
          </reference>
        </references>
      </pivotArea>
    </format>
    <format dxfId="1553">
      <pivotArea dataOnly="0" labelOnly="1" fieldPosition="0">
        <references count="2">
          <reference field="0" count="1" selected="0">
            <x v="20"/>
          </reference>
          <reference field="1" count="1">
            <x v="172"/>
          </reference>
        </references>
      </pivotArea>
    </format>
    <format dxfId="1552">
      <pivotArea dataOnly="0" labelOnly="1" fieldPosition="0">
        <references count="2">
          <reference field="0" count="1" selected="0">
            <x v="2"/>
          </reference>
          <reference field="1" count="1">
            <x v="177"/>
          </reference>
        </references>
      </pivotArea>
    </format>
    <format dxfId="1551">
      <pivotArea dataOnly="0" labelOnly="1" fieldPosition="0">
        <references count="2">
          <reference field="0" count="1" selected="0">
            <x v="22"/>
          </reference>
          <reference field="1" count="1">
            <x v="13"/>
          </reference>
        </references>
      </pivotArea>
    </format>
    <format dxfId="1550">
      <pivotArea dataOnly="0" labelOnly="1" fieldPosition="0">
        <references count="2">
          <reference field="0" count="1" selected="0">
            <x v="189"/>
          </reference>
          <reference field="1" count="1">
            <x v="235"/>
          </reference>
        </references>
      </pivotArea>
    </format>
    <format dxfId="1549">
      <pivotArea dataOnly="0" labelOnly="1" fieldPosition="0">
        <references count="2">
          <reference field="0" count="1" selected="0">
            <x v="42"/>
          </reference>
          <reference field="1" count="1">
            <x v="198"/>
          </reference>
        </references>
      </pivotArea>
    </format>
    <format dxfId="1548">
      <pivotArea dataOnly="0" labelOnly="1" fieldPosition="0">
        <references count="2">
          <reference field="0" count="1" selected="0">
            <x v="95"/>
          </reference>
          <reference field="1" count="1">
            <x v="157"/>
          </reference>
        </references>
      </pivotArea>
    </format>
    <format dxfId="1547">
      <pivotArea dataOnly="0" labelOnly="1" fieldPosition="0">
        <references count="2">
          <reference field="0" count="1" selected="0">
            <x v="139"/>
          </reference>
          <reference field="1" count="1">
            <x v="104"/>
          </reference>
        </references>
      </pivotArea>
    </format>
    <format dxfId="1546">
      <pivotArea dataOnly="0" labelOnly="1" fieldPosition="0">
        <references count="2">
          <reference field="0" count="1" selected="0">
            <x v="60"/>
          </reference>
          <reference field="1" count="1">
            <x v="238"/>
          </reference>
        </references>
      </pivotArea>
    </format>
    <format dxfId="1545">
      <pivotArea dataOnly="0" labelOnly="1" fieldPosition="0">
        <references count="2">
          <reference field="0" count="1" selected="0">
            <x v="39"/>
          </reference>
          <reference field="1" count="1">
            <x v="22"/>
          </reference>
        </references>
      </pivotArea>
    </format>
    <format dxfId="1544">
      <pivotArea dataOnly="0" labelOnly="1" fieldPosition="0">
        <references count="2">
          <reference field="0" count="1" selected="0">
            <x v="16"/>
          </reference>
          <reference field="1" count="1">
            <x v="243"/>
          </reference>
        </references>
      </pivotArea>
    </format>
    <format dxfId="1543">
      <pivotArea dataOnly="0" labelOnly="1" fieldPosition="0">
        <references count="2">
          <reference field="0" count="1" selected="0">
            <x v="181"/>
          </reference>
          <reference field="1" count="1">
            <x v="118"/>
          </reference>
        </references>
      </pivotArea>
    </format>
    <format dxfId="1542">
      <pivotArea dataOnly="0" labelOnly="1" fieldPosition="0">
        <references count="2">
          <reference field="0" count="1" selected="0">
            <x v="196"/>
          </reference>
          <reference field="1" count="1">
            <x v="125"/>
          </reference>
        </references>
      </pivotArea>
    </format>
    <format dxfId="1541">
      <pivotArea dataOnly="0" labelOnly="1" fieldPosition="0">
        <references count="2">
          <reference field="0" count="1" selected="0">
            <x v="145"/>
          </reference>
          <reference field="1" count="1">
            <x v="254"/>
          </reference>
        </references>
      </pivotArea>
    </format>
    <format dxfId="1540">
      <pivotArea dataOnly="0" labelOnly="1" fieldPosition="0">
        <references count="2">
          <reference field="0" count="1" selected="0">
            <x v="208"/>
          </reference>
          <reference field="1" count="1">
            <x v="132"/>
          </reference>
        </references>
      </pivotArea>
    </format>
    <format dxfId="1539">
      <pivotArea dataOnly="0" labelOnly="1" fieldPosition="0">
        <references count="2">
          <reference field="0" count="1" selected="0">
            <x v="237"/>
          </reference>
          <reference field="1" count="1">
            <x v="164"/>
          </reference>
        </references>
      </pivotArea>
    </format>
    <format dxfId="1538">
      <pivotArea dataOnly="0" labelOnly="1" fieldPosition="0">
        <references count="2">
          <reference field="0" count="1" selected="0">
            <x v="111"/>
          </reference>
          <reference field="1" count="1">
            <x v="14"/>
          </reference>
        </references>
      </pivotArea>
    </format>
    <format dxfId="1537">
      <pivotArea dataOnly="0" labelOnly="1" fieldPosition="0">
        <references count="2">
          <reference field="0" count="1" selected="0">
            <x v="129"/>
          </reference>
          <reference field="1" count="1">
            <x v="213"/>
          </reference>
        </references>
      </pivotArea>
    </format>
    <format dxfId="1536">
      <pivotArea dataOnly="0" labelOnly="1" fieldPosition="0">
        <references count="2">
          <reference field="0" count="1" selected="0">
            <x v="223"/>
          </reference>
          <reference field="1" count="1">
            <x v="103"/>
          </reference>
        </references>
      </pivotArea>
    </format>
    <format dxfId="1535">
      <pivotArea dataOnly="0" labelOnly="1" fieldPosition="0">
        <references count="2">
          <reference field="0" count="1" selected="0">
            <x v="166"/>
          </reference>
          <reference field="1" count="1">
            <x v="137"/>
          </reference>
        </references>
      </pivotArea>
    </format>
    <format dxfId="1534">
      <pivotArea dataOnly="0" labelOnly="1" fieldPosition="0">
        <references count="2">
          <reference field="0" count="1" selected="0">
            <x v="101"/>
          </reference>
          <reference field="1" count="1">
            <x v="169"/>
          </reference>
        </references>
      </pivotArea>
    </format>
    <format dxfId="1533">
      <pivotArea dataOnly="0" labelOnly="1" fieldPosition="0">
        <references count="2">
          <reference field="0" count="1" selected="0">
            <x v="238"/>
          </reference>
          <reference field="1" count="1">
            <x v="83"/>
          </reference>
        </references>
      </pivotArea>
    </format>
    <format dxfId="1532">
      <pivotArea dataOnly="0" labelOnly="1" fieldPosition="0">
        <references count="2">
          <reference field="0" count="1" selected="0">
            <x v="68"/>
          </reference>
          <reference field="1" count="1">
            <x v="51"/>
          </reference>
        </references>
      </pivotArea>
    </format>
    <format dxfId="1531">
      <pivotArea dataOnly="0" labelOnly="1" fieldPosition="0">
        <references count="2">
          <reference field="0" count="1" selected="0">
            <x v="122"/>
          </reference>
          <reference field="1" count="1">
            <x v="255"/>
          </reference>
        </references>
      </pivotArea>
    </format>
    <format dxfId="1530">
      <pivotArea dataOnly="0" labelOnly="1" fieldPosition="0">
        <references count="2">
          <reference field="0" count="1" selected="0">
            <x v="225"/>
          </reference>
          <reference field="1" count="1">
            <x v="69"/>
          </reference>
        </references>
      </pivotArea>
    </format>
    <format dxfId="1529">
      <pivotArea dataOnly="0" labelOnly="1" fieldPosition="0">
        <references count="2">
          <reference field="0" count="1" selected="0">
            <x v="242"/>
          </reference>
          <reference field="1" count="1">
            <x v="185"/>
          </reference>
        </references>
      </pivotArea>
    </format>
    <format dxfId="1528">
      <pivotArea dataOnly="0" labelOnly="1" fieldPosition="0">
        <references count="2">
          <reference field="0" count="1" selected="0">
            <x v="97"/>
          </reference>
          <reference field="1" count="1">
            <x v="250"/>
          </reference>
        </references>
      </pivotArea>
    </format>
    <format dxfId="1527">
      <pivotArea dataOnly="0" labelOnly="1" fieldPosition="0">
        <references count="2">
          <reference field="0" count="1" selected="0">
            <x v="30"/>
          </reference>
          <reference field="1" count="1">
            <x v="211"/>
          </reference>
        </references>
      </pivotArea>
    </format>
    <format dxfId="1526">
      <pivotArea dataOnly="0" labelOnly="1" fieldPosition="0">
        <references count="2">
          <reference field="0" count="1" selected="0">
            <x v="59"/>
          </reference>
          <reference field="1" count="1">
            <x v="240"/>
          </reference>
        </references>
      </pivotArea>
    </format>
    <format dxfId="1525">
      <pivotArea dataOnly="0" labelOnly="1" fieldPosition="0">
        <references count="2">
          <reference field="0" count="1" selected="0">
            <x v="248"/>
          </reference>
          <reference field="1" count="1">
            <x v="234"/>
          </reference>
        </references>
      </pivotArea>
    </format>
    <format dxfId="1524">
      <pivotArea dataOnly="0" labelOnly="1" fieldPosition="0">
        <references count="2">
          <reference field="0" count="1" selected="0">
            <x v="185"/>
          </reference>
          <reference field="1" count="1">
            <x v="114"/>
          </reference>
        </references>
      </pivotArea>
    </format>
    <format dxfId="1523">
      <pivotArea dataOnly="0" labelOnly="1" fieldPosition="0">
        <references count="2">
          <reference field="0" count="1" selected="0">
            <x v="112"/>
          </reference>
          <reference field="1" count="1">
            <x v="158"/>
          </reference>
        </references>
      </pivotArea>
    </format>
    <format dxfId="1522">
      <pivotArea dataOnly="0" labelOnly="1" fieldPosition="0">
        <references count="2">
          <reference field="0" count="1" selected="0">
            <x v="190"/>
          </reference>
          <reference field="1" count="1">
            <x v="120"/>
          </reference>
        </references>
      </pivotArea>
    </format>
    <format dxfId="1521">
      <pivotArea dataOnly="0" labelOnly="1" fieldPosition="0">
        <references count="2">
          <reference field="0" count="1" selected="0">
            <x v="236"/>
          </reference>
          <reference field="1" count="1">
            <x v="146"/>
          </reference>
        </references>
      </pivotArea>
    </format>
    <format dxfId="1520">
      <pivotArea dataOnly="0" labelOnly="1" fieldPosition="0">
        <references count="2">
          <reference field="0" count="1" selected="0">
            <x v="243"/>
          </reference>
          <reference field="1" count="1">
            <x v="75"/>
          </reference>
        </references>
      </pivotArea>
    </format>
    <format dxfId="1519">
      <pivotArea dataOnly="0" labelOnly="1" fieldPosition="0">
        <references count="2">
          <reference field="0" count="1" selected="0">
            <x v="160"/>
          </reference>
          <reference field="1" count="1">
            <x v="130"/>
          </reference>
        </references>
      </pivotArea>
    </format>
    <format dxfId="1518">
      <pivotArea dataOnly="0" labelOnly="1" fieldPosition="0">
        <references count="2">
          <reference field="0" count="1" selected="0">
            <x v="113"/>
          </reference>
          <reference field="1" count="1">
            <x v="31"/>
          </reference>
        </references>
      </pivotArea>
    </format>
    <format dxfId="1517">
      <pivotArea dataOnly="0" labelOnly="1" fieldPosition="0">
        <references count="2">
          <reference field="0" count="1" selected="0">
            <x v="162"/>
          </reference>
          <reference field="1" count="1">
            <x v="35"/>
          </reference>
        </references>
      </pivotArea>
    </format>
    <format dxfId="1516">
      <pivotArea dataOnly="0" labelOnly="1" fieldPosition="0">
        <references count="2">
          <reference field="0" count="1" selected="0">
            <x v="209"/>
          </reference>
          <reference field="1" count="1">
            <x v="128"/>
          </reference>
        </references>
      </pivotArea>
    </format>
    <format dxfId="1515">
      <pivotArea dataOnly="0" labelOnly="1" fieldPosition="0">
        <references count="2">
          <reference field="0" count="1" selected="0">
            <x v="215"/>
          </reference>
          <reference field="1" count="1">
            <x v="184"/>
          </reference>
        </references>
      </pivotArea>
    </format>
    <format dxfId="1514">
      <pivotArea dataOnly="0" labelOnly="1" fieldPosition="0">
        <references count="2">
          <reference field="0" count="1" selected="0">
            <x v="227"/>
          </reference>
          <reference field="1" count="1">
            <x v="143"/>
          </reference>
        </references>
      </pivotArea>
    </format>
    <format dxfId="1513">
      <pivotArea dataOnly="0" labelOnly="1" fieldPosition="0">
        <references count="2">
          <reference field="0" count="1" selected="0">
            <x v="63"/>
          </reference>
          <reference field="1" count="1">
            <x v="231"/>
          </reference>
        </references>
      </pivotArea>
    </format>
    <format dxfId="1512">
      <pivotArea dataOnly="0" labelOnly="1" fieldPosition="0">
        <references count="2">
          <reference field="0" count="1" selected="0">
            <x v="72"/>
          </reference>
          <reference field="1" count="1">
            <x v="206"/>
          </reference>
        </references>
      </pivotArea>
    </format>
    <format dxfId="1511">
      <pivotArea dataOnly="0" labelOnly="1" fieldPosition="0">
        <references count="2">
          <reference field="0" count="1" selected="0">
            <x v="13"/>
          </reference>
          <reference field="1" count="1">
            <x v="107"/>
          </reference>
        </references>
      </pivotArea>
    </format>
    <format dxfId="1510">
      <pivotArea dataOnly="0" labelOnly="1" fieldPosition="0">
        <references count="2">
          <reference field="0" count="1" selected="0">
            <x v="253"/>
          </reference>
          <reference field="1" count="1">
            <x v="40"/>
          </reference>
        </references>
      </pivotArea>
    </format>
    <format dxfId="1509">
      <pivotArea dataOnly="0" labelOnly="1" fieldPosition="0">
        <references count="2">
          <reference field="0" count="1" selected="0">
            <x v="147"/>
          </reference>
          <reference field="1" count="1">
            <x v="188"/>
          </reference>
        </references>
      </pivotArea>
    </format>
    <format dxfId="1508">
      <pivotArea dataOnly="0" labelOnly="1" fieldPosition="0">
        <references count="2">
          <reference field="0" count="1" selected="0">
            <x v="29"/>
          </reference>
          <reference field="1" count="1">
            <x v="153"/>
          </reference>
        </references>
      </pivotArea>
    </format>
    <format dxfId="1507">
      <pivotArea dataOnly="0" labelOnly="1" fieldPosition="0">
        <references count="2">
          <reference field="0" count="1" selected="0">
            <x v="140"/>
          </reference>
          <reference field="1" count="1">
            <x v="195"/>
          </reference>
        </references>
      </pivotArea>
    </format>
    <format dxfId="1506">
      <pivotArea dataOnly="0" labelOnly="1" fieldPosition="0">
        <references count="2">
          <reference field="0" count="1" selected="0">
            <x v="78"/>
          </reference>
          <reference field="1" count="1">
            <x v="18"/>
          </reference>
        </references>
      </pivotArea>
    </format>
    <format dxfId="1505">
      <pivotArea dataOnly="0" labelOnly="1" fieldPosition="0">
        <references count="2">
          <reference field="0" count="1" selected="0">
            <x v="53"/>
          </reference>
          <reference field="1" count="1">
            <x v="45"/>
          </reference>
        </references>
      </pivotArea>
    </format>
    <format dxfId="1504">
      <pivotArea dataOnly="0" labelOnly="1" fieldPosition="0">
        <references count="2">
          <reference field="0" count="1" selected="0">
            <x v="91"/>
          </reference>
          <reference field="1" count="1">
            <x v="59"/>
          </reference>
        </references>
      </pivotArea>
    </format>
    <format dxfId="1503">
      <pivotArea dataOnly="0" labelOnly="1" fieldPosition="0">
        <references count="2">
          <reference field="0" count="1" selected="0">
            <x v="173"/>
          </reference>
          <reference field="1" count="1">
            <x v="119"/>
          </reference>
        </references>
      </pivotArea>
    </format>
    <format dxfId="1502">
      <pivotArea dataOnly="0" labelOnly="1" fieldPosition="0">
        <references count="2">
          <reference field="0" count="1" selected="0">
            <x v="89"/>
          </reference>
          <reference field="1" count="1">
            <x v="57"/>
          </reference>
        </references>
      </pivotArea>
    </format>
    <format dxfId="1501">
      <pivotArea dataOnly="0" labelOnly="1" fieldPosition="0">
        <references count="2">
          <reference field="0" count="1" selected="0">
            <x v="239"/>
          </reference>
          <reference field="1" count="1">
            <x v="72"/>
          </reference>
        </references>
      </pivotArea>
    </format>
    <format dxfId="1500">
      <pivotArea dataOnly="0" labelOnly="1" fieldPosition="0">
        <references count="2">
          <reference field="0" count="1" selected="0">
            <x v="83"/>
          </reference>
          <reference field="1" count="1">
            <x v="251"/>
          </reference>
        </references>
      </pivotArea>
    </format>
    <format dxfId="1499">
      <pivotArea dataOnly="0" labelOnly="1" fieldPosition="0">
        <references count="2">
          <reference field="0" count="1" selected="0">
            <x v="152"/>
          </reference>
          <reference field="1" count="1">
            <x v="150"/>
          </reference>
        </references>
      </pivotArea>
    </format>
    <format dxfId="1498">
      <pivotArea dataOnly="0" labelOnly="1" fieldPosition="0">
        <references count="2">
          <reference field="0" count="1" selected="0">
            <x v="12"/>
          </reference>
          <reference field="1" count="1">
            <x v="154"/>
          </reference>
        </references>
      </pivotArea>
    </format>
    <format dxfId="1497">
      <pivotArea dataOnly="0" labelOnly="1" fieldPosition="0">
        <references count="2">
          <reference field="0" count="1" selected="0">
            <x v="85"/>
          </reference>
          <reference field="1" count="1">
            <x v="182"/>
          </reference>
        </references>
      </pivotArea>
    </format>
    <format dxfId="1496">
      <pivotArea dataOnly="0" labelOnly="1" fieldPosition="0">
        <references count="2">
          <reference field="0" count="1" selected="0">
            <x v="75"/>
          </reference>
          <reference field="1" count="1">
            <x v="191"/>
          </reference>
        </references>
      </pivotArea>
    </format>
    <format dxfId="1495">
      <pivotArea dataOnly="0" labelOnly="1" fieldPosition="0">
        <references count="2">
          <reference field="0" count="1" selected="0">
            <x v="102"/>
          </reference>
          <reference field="1" count="1">
            <x v="6"/>
          </reference>
        </references>
      </pivotArea>
    </format>
    <format dxfId="1494">
      <pivotArea dataOnly="0" labelOnly="1" fieldPosition="0">
        <references count="2">
          <reference field="0" count="1" selected="0">
            <x v="38"/>
          </reference>
          <reference field="1" count="1">
            <x v="256"/>
          </reference>
        </references>
      </pivotArea>
    </format>
    <format dxfId="1493">
      <pivotArea dataOnly="0" labelOnly="1" fieldPosition="0">
        <references count="2">
          <reference field="0" count="1" selected="0">
            <x v="118"/>
          </reference>
          <reference field="1" count="1">
            <x v="93"/>
          </reference>
        </references>
      </pivotArea>
    </format>
    <format dxfId="1492">
      <pivotArea dataOnly="0" labelOnly="1" fieldPosition="0">
        <references count="2">
          <reference field="0" count="1" selected="0">
            <x v="99"/>
          </reference>
          <reference field="1" count="1">
            <x v="29"/>
          </reference>
        </references>
      </pivotArea>
    </format>
    <format dxfId="1491">
      <pivotArea dataOnly="0" labelOnly="1" fieldPosition="0">
        <references count="2">
          <reference field="0" count="1" selected="0">
            <x v="15"/>
          </reference>
          <reference field="1" count="1">
            <x v="147"/>
          </reference>
        </references>
      </pivotArea>
    </format>
    <format dxfId="1490">
      <pivotArea dataOnly="0" labelOnly="1" fieldPosition="0">
        <references count="2">
          <reference field="0" count="1" selected="0">
            <x v="65"/>
          </reference>
          <reference field="1" count="1">
            <x v="222"/>
          </reference>
        </references>
      </pivotArea>
    </format>
    <format dxfId="1489">
      <pivotArea dataOnly="0" labelOnly="1" fieldPosition="0">
        <references count="2">
          <reference field="0" count="1" selected="0">
            <x v="103"/>
          </reference>
          <reference field="1" count="1">
            <x v="8"/>
          </reference>
        </references>
      </pivotArea>
    </format>
    <format dxfId="1488">
      <pivotArea dataOnly="0" labelOnly="1" fieldPosition="0">
        <references count="2">
          <reference field="0" count="1" selected="0">
            <x v="234"/>
          </reference>
          <reference field="1" count="1">
            <x v="190"/>
          </reference>
        </references>
      </pivotArea>
    </format>
    <format dxfId="1487">
      <pivotArea dataOnly="0" labelOnly="1" fieldPosition="0">
        <references count="2">
          <reference field="0" count="1" selected="0">
            <x v="154"/>
          </reference>
          <reference field="1" count="1">
            <x v="1"/>
          </reference>
        </references>
      </pivotArea>
    </format>
    <format dxfId="1486">
      <pivotArea dataOnly="0" labelOnly="1" fieldPosition="0">
        <references count="2">
          <reference field="0" count="1" selected="0">
            <x v="187"/>
          </reference>
          <reference field="1" count="1">
            <x v="116"/>
          </reference>
        </references>
      </pivotArea>
    </format>
    <format dxfId="1485">
      <pivotArea dataOnly="0" labelOnly="1" fieldPosition="0">
        <references count="2">
          <reference field="0" count="1" selected="0">
            <x v="161"/>
          </reference>
          <reference field="1" count="1">
            <x v="121"/>
          </reference>
        </references>
      </pivotArea>
    </format>
    <format dxfId="1484">
      <pivotArea dataOnly="0" labelOnly="1" fieldPosition="0">
        <references count="2">
          <reference field="0" count="1" selected="0">
            <x v="67"/>
          </reference>
          <reference field="1" count="1">
            <x v="53"/>
          </reference>
        </references>
      </pivotArea>
    </format>
    <format dxfId="1483">
      <pivotArea dataOnly="0" labelOnly="1" fieldPosition="0">
        <references count="2">
          <reference field="0" count="1" selected="0">
            <x v="235"/>
          </reference>
          <reference field="1" count="1">
            <x v="193"/>
          </reference>
        </references>
      </pivotArea>
    </format>
    <format dxfId="1482">
      <pivotArea dataOnly="0" labelOnly="1" fieldPosition="0">
        <references count="2">
          <reference field="0" count="1" selected="0">
            <x v="229"/>
          </reference>
          <reference field="1" count="1">
            <x v="248"/>
          </reference>
        </references>
      </pivotArea>
    </format>
    <format dxfId="1481">
      <pivotArea dataOnly="0" labelOnly="1" fieldPosition="0">
        <references count="2">
          <reference field="0" count="1" selected="0">
            <x v="121"/>
          </reference>
          <reference field="1" count="1">
            <x v="209"/>
          </reference>
        </references>
      </pivotArea>
    </format>
    <format dxfId="1480">
      <pivotArea dataOnly="0" labelOnly="1" fieldPosition="0">
        <references count="2">
          <reference field="0" count="1" selected="0">
            <x v="98"/>
          </reference>
          <reference field="1" count="1">
            <x v="181"/>
          </reference>
        </references>
      </pivotArea>
    </format>
    <format dxfId="1479">
      <pivotArea dataOnly="0" labelOnly="1" fieldPosition="0">
        <references count="2">
          <reference field="0" count="1" selected="0">
            <x v="93"/>
          </reference>
          <reference field="1" count="1">
            <x v="152"/>
          </reference>
        </references>
      </pivotArea>
    </format>
    <format dxfId="1478">
      <pivotArea dataOnly="0" labelOnly="1" fieldPosition="0">
        <references count="2">
          <reference field="0" count="1" selected="0">
            <x v="158"/>
          </reference>
          <reference field="1" count="1">
            <x v="2"/>
          </reference>
        </references>
      </pivotArea>
    </format>
    <format dxfId="1477">
      <pivotArea dataOnly="0" labelOnly="1" fieldPosition="0">
        <references count="2">
          <reference field="0" count="1" selected="0">
            <x v="49"/>
          </reference>
          <reference field="1" count="1">
            <x v="49"/>
          </reference>
        </references>
      </pivotArea>
    </format>
    <format dxfId="1476">
      <pivotArea dataOnly="0" labelOnly="1" fieldPosition="0">
        <references count="2">
          <reference field="0" count="1" selected="0">
            <x v="105"/>
          </reference>
          <reference field="1" count="1">
            <x v="224"/>
          </reference>
        </references>
      </pivotArea>
    </format>
    <format dxfId="1475">
      <pivotArea dataOnly="0" labelOnly="1" fieldPosition="0">
        <references count="2">
          <reference field="0" count="1" selected="0">
            <x v="254"/>
          </reference>
          <reference field="1" count="1">
            <x v="79"/>
          </reference>
        </references>
      </pivotArea>
    </format>
    <format dxfId="1474">
      <pivotArea dataOnly="0" labelOnly="1" fieldPosition="0">
        <references count="2">
          <reference field="0" count="1" selected="0">
            <x v="257"/>
          </reference>
          <reference field="1" count="1">
            <x v="74"/>
          </reference>
        </references>
      </pivotArea>
    </format>
    <format dxfId="1473">
      <pivotArea dataOnly="0" labelOnly="1" fieldPosition="0">
        <references count="2">
          <reference field="0" count="1" selected="0">
            <x v="120"/>
          </reference>
          <reference field="1" count="1">
            <x v="218"/>
          </reference>
        </references>
      </pivotArea>
    </format>
    <format dxfId="1472">
      <pivotArea dataOnly="0" labelOnly="1" fieldPosition="0">
        <references count="2">
          <reference field="0" count="1" selected="0">
            <x v="164"/>
          </reference>
          <reference field="1" count="1">
            <x v="129"/>
          </reference>
        </references>
      </pivotArea>
    </format>
    <format dxfId="1471">
      <pivotArea dataOnly="0" labelOnly="1" fieldPosition="0">
        <references count="2">
          <reference field="0" count="1" selected="0">
            <x v="62"/>
          </reference>
          <reference field="1" count="1">
            <x v="197"/>
          </reference>
        </references>
      </pivotArea>
    </format>
    <format dxfId="1470">
      <pivotArea dataOnly="0" labelOnly="1" fieldPosition="0">
        <references count="2">
          <reference field="0" count="1" selected="0">
            <x v="142"/>
          </reference>
          <reference field="1" count="1">
            <x v="39"/>
          </reference>
        </references>
      </pivotArea>
    </format>
    <format dxfId="1469">
      <pivotArea dataOnly="0" labelOnly="1" fieldPosition="0">
        <references count="2">
          <reference field="0" count="1" selected="0">
            <x v="194"/>
          </reference>
          <reference field="1" count="1">
            <x v="156"/>
          </reference>
        </references>
      </pivotArea>
    </format>
    <format dxfId="1468">
      <pivotArea dataOnly="0" labelOnly="1" fieldPosition="0">
        <references count="2">
          <reference field="0" count="1" selected="0">
            <x v="100"/>
          </reference>
          <reference field="1" count="1">
            <x v="9"/>
          </reference>
        </references>
      </pivotArea>
    </format>
    <format dxfId="1467">
      <pivotArea dataOnly="0" labelOnly="1" fieldPosition="0">
        <references count="2">
          <reference field="0" count="1" selected="0">
            <x v="64"/>
          </reference>
          <reference field="1" count="1">
            <x v="55"/>
          </reference>
        </references>
      </pivotArea>
    </format>
    <format dxfId="1466">
      <pivotArea dataOnly="0" labelOnly="1" fieldPosition="0">
        <references count="2">
          <reference field="0" count="1" selected="0">
            <x v="96"/>
          </reference>
          <reference field="1" count="1">
            <x v="246"/>
          </reference>
        </references>
      </pivotArea>
    </format>
    <format dxfId="1465">
      <pivotArea dataOnly="0" labelOnly="1" fieldPosition="0">
        <references count="2">
          <reference field="0" count="1" selected="0">
            <x v="138"/>
          </reference>
          <reference field="1" count="1">
            <x v="97"/>
          </reference>
        </references>
      </pivotArea>
    </format>
    <format dxfId="1464">
      <pivotArea dataOnly="0" labelOnly="1" fieldPosition="0">
        <references count="2">
          <reference field="0" count="1" selected="0">
            <x v="23"/>
          </reference>
          <reference field="1" count="1">
            <x v="229"/>
          </reference>
        </references>
      </pivotArea>
    </format>
    <format dxfId="1463">
      <pivotArea dataOnly="0" labelOnly="1" fieldPosition="0">
        <references count="2">
          <reference field="0" count="1" selected="0">
            <x v="36"/>
          </reference>
          <reference field="1" count="1">
            <x v="89"/>
          </reference>
        </references>
      </pivotArea>
    </format>
    <format dxfId="1462">
      <pivotArea dataOnly="0" labelOnly="1" fieldPosition="0">
        <references count="2">
          <reference field="0" count="1" selected="0">
            <x v="107"/>
          </reference>
          <reference field="1" count="1">
            <x v="41"/>
          </reference>
        </references>
      </pivotArea>
    </format>
    <format dxfId="1461">
      <pivotArea dataOnly="0" labelOnly="1" fieldPosition="0">
        <references count="2">
          <reference field="0" count="1" selected="0">
            <x v="159"/>
          </reference>
          <reference field="1" count="1">
            <x v="136"/>
          </reference>
        </references>
      </pivotArea>
    </format>
    <format dxfId="1460">
      <pivotArea dataOnly="0" labelOnly="1" fieldPosition="0">
        <references count="2">
          <reference field="0" count="1" selected="0">
            <x v="127"/>
          </reference>
          <reference field="1" count="1">
            <x v="187"/>
          </reference>
        </references>
      </pivotArea>
    </format>
    <format dxfId="1459">
      <pivotArea dataOnly="0" labelOnly="1" fieldPosition="0">
        <references count="2">
          <reference field="0" count="1" selected="0">
            <x v="197"/>
          </reference>
          <reference field="1" count="1">
            <x v="135"/>
          </reference>
        </references>
      </pivotArea>
    </format>
    <format dxfId="1458">
      <pivotArea dataOnly="0" labelOnly="1" fieldPosition="0">
        <references count="2">
          <reference field="0" count="1" selected="0">
            <x v="50"/>
          </reference>
          <reference field="1" count="1">
            <x v="230"/>
          </reference>
        </references>
      </pivotArea>
    </format>
    <format dxfId="1457">
      <pivotArea dataOnly="0" labelOnly="1" fieldPosition="0">
        <references count="2">
          <reference field="0" count="1" selected="0">
            <x v="119"/>
          </reference>
          <reference field="1" count="1">
            <x v="52"/>
          </reference>
        </references>
      </pivotArea>
    </format>
    <format dxfId="1456">
      <pivotArea dataOnly="0" labelOnly="1" fieldPosition="0">
        <references count="2">
          <reference field="0" count="1" selected="0">
            <x v="104"/>
          </reference>
          <reference field="1" count="1">
            <x v="7"/>
          </reference>
        </references>
      </pivotArea>
    </format>
    <format dxfId="1455">
      <pivotArea dataOnly="0" labelOnly="1" fieldPosition="0">
        <references count="2">
          <reference field="0" count="1" selected="0">
            <x v="198"/>
          </reference>
          <reference field="1" count="1">
            <x v="24"/>
          </reference>
        </references>
      </pivotArea>
    </format>
    <format dxfId="1454">
      <pivotArea dataOnly="0" labelOnly="1" fieldPosition="0">
        <references count="2">
          <reference field="0" count="1" selected="0">
            <x v="24"/>
          </reference>
          <reference field="1" count="1">
            <x v="37"/>
          </reference>
        </references>
      </pivotArea>
    </format>
    <format dxfId="1453">
      <pivotArea dataOnly="0" labelOnly="1" fieldPosition="0">
        <references count="2">
          <reference field="0" count="1" selected="0">
            <x v="228"/>
          </reference>
          <reference field="1" count="1">
            <x v="212"/>
          </reference>
        </references>
      </pivotArea>
    </format>
    <format dxfId="1452">
      <pivotArea dataOnly="0" labelOnly="1" fieldPosition="0">
        <references count="2">
          <reference field="0" count="1" selected="0">
            <x v="126"/>
          </reference>
          <reference field="1" count="1">
            <x v="26"/>
          </reference>
        </references>
      </pivotArea>
    </format>
    <format dxfId="1451">
      <pivotArea dataOnly="0" labelOnly="1" fieldPosition="0">
        <references count="2">
          <reference field="0" count="1" selected="0">
            <x v="17"/>
          </reference>
          <reference field="1" count="1">
            <x v="94"/>
          </reference>
        </references>
      </pivotArea>
    </format>
    <format dxfId="1450">
      <pivotArea dataOnly="0" labelOnly="1" fieldPosition="0">
        <references count="2">
          <reference field="0" count="1" selected="0">
            <x v="76"/>
          </reference>
          <reference field="1" count="1">
            <x v="225"/>
          </reference>
        </references>
      </pivotArea>
    </format>
    <format dxfId="1449">
      <pivotArea dataOnly="0" labelOnly="1" fieldPosition="0">
        <references count="2">
          <reference field="0" count="1" selected="0">
            <x v="186"/>
          </reference>
          <reference field="1" count="1">
            <x v="115"/>
          </reference>
        </references>
      </pivotArea>
    </format>
    <format dxfId="1448">
      <pivotArea dataOnly="0" labelOnly="1" fieldPosition="0">
        <references count="2">
          <reference field="0" count="1" selected="0">
            <x v="92"/>
          </reference>
          <reference field="1" count="1">
            <x v="221"/>
          </reference>
        </references>
      </pivotArea>
    </format>
    <format dxfId="1447">
      <pivotArea dataOnly="0" labelOnly="1" fieldPosition="0">
        <references count="2">
          <reference field="0" count="1" selected="0">
            <x v="217"/>
          </reference>
          <reference field="1" count="1">
            <x v="247"/>
          </reference>
        </references>
      </pivotArea>
    </format>
    <format dxfId="1446">
      <pivotArea dataOnly="0" labelOnly="1" fieldPosition="0">
        <references count="2">
          <reference field="0" count="1" selected="0">
            <x v="256"/>
          </reference>
          <reference field="1" count="1">
            <x v="249"/>
          </reference>
        </references>
      </pivotArea>
    </format>
    <format dxfId="1445">
      <pivotArea dataOnly="0" labelOnly="1" fieldPosition="0">
        <references count="2">
          <reference field="0" count="1" selected="0">
            <x v="132"/>
          </reference>
          <reference field="1" count="1">
            <x v="102"/>
          </reference>
        </references>
      </pivotArea>
    </format>
    <format dxfId="1444">
      <pivotArea dataOnly="0" labelOnly="1" fieldPosition="0">
        <references count="2">
          <reference field="0" count="1" selected="0">
            <x v="230"/>
          </reference>
          <reference field="1" count="1">
            <x v="161"/>
          </reference>
        </references>
      </pivotArea>
    </format>
    <format dxfId="1443">
      <pivotArea dataOnly="0" labelOnly="1" fieldPosition="0">
        <references count="2">
          <reference field="0" count="1" selected="0">
            <x v="116"/>
          </reference>
          <reference field="1" count="1">
            <x v="91"/>
          </reference>
        </references>
      </pivotArea>
    </format>
    <format dxfId="1442">
      <pivotArea dataOnly="0" labelOnly="1" fieldPosition="0">
        <references count="2">
          <reference field="0" count="1" selected="0">
            <x v="58"/>
          </reference>
          <reference field="1" count="1">
            <x v="239"/>
          </reference>
        </references>
      </pivotArea>
    </format>
    <format dxfId="1441">
      <pivotArea dataOnly="0" labelOnly="1" fieldPosition="0">
        <references count="2">
          <reference field="0" count="1" selected="0">
            <x v="51"/>
          </reference>
          <reference field="1" count="1">
            <x v="228"/>
          </reference>
        </references>
      </pivotArea>
    </format>
    <format dxfId="1440">
      <pivotArea dataOnly="0" labelOnly="1" fieldPosition="0">
        <references count="2">
          <reference field="0" count="1" selected="0">
            <x v="218"/>
          </reference>
          <reference field="1" count="1">
            <x v="86"/>
          </reference>
        </references>
      </pivotArea>
    </format>
    <format dxfId="1439">
      <pivotArea dataOnly="0" labelOnly="1" fieldPosition="0">
        <references count="2">
          <reference field="0" count="1" selected="0">
            <x v="56"/>
          </reference>
          <reference field="1" count="1">
            <x v="241"/>
          </reference>
        </references>
      </pivotArea>
    </format>
    <format dxfId="1438">
      <pivotArea dataOnly="0" labelOnly="1" fieldPosition="0">
        <references count="2">
          <reference field="0" count="1" selected="0">
            <x v="94"/>
          </reference>
          <reference field="1" count="1">
            <x v="227"/>
          </reference>
        </references>
      </pivotArea>
    </format>
    <format dxfId="1437">
      <pivotArea dataOnly="0" labelOnly="1" fieldPosition="0">
        <references count="2">
          <reference field="0" count="1" selected="0">
            <x v="211"/>
          </reference>
          <reference field="1" count="1">
            <x v="68"/>
          </reference>
        </references>
      </pivotArea>
    </format>
    <format dxfId="1436">
      <pivotArea dataOnly="0" labelOnly="1" fieldPosition="0">
        <references count="2">
          <reference field="0" count="1" selected="0">
            <x v="207"/>
          </reference>
          <reference field="1" count="1">
            <x v="134"/>
          </reference>
        </references>
      </pivotArea>
    </format>
    <format dxfId="1435">
      <pivotArea dataOnly="0" labelOnly="1" fieldPosition="0">
        <references count="2">
          <reference field="0" count="1" selected="0">
            <x v="44"/>
          </reference>
          <reference field="1" count="1">
            <x v="199"/>
          </reference>
        </references>
      </pivotArea>
    </format>
    <format dxfId="1434">
      <pivotArea dataOnly="0" labelOnly="1" fieldPosition="0">
        <references count="2">
          <reference field="0" count="1" selected="0">
            <x v="222"/>
          </reference>
          <reference field="1" count="1">
            <x v="180"/>
          </reference>
        </references>
      </pivotArea>
    </format>
    <format dxfId="1433">
      <pivotArea dataOnly="0" labelOnly="1" fieldPosition="0">
        <references count="2">
          <reference field="0" count="1" selected="0">
            <x v="70"/>
          </reference>
          <reference field="1" count="1">
            <x v="151"/>
          </reference>
        </references>
      </pivotArea>
    </format>
    <format dxfId="1432">
      <pivotArea dataOnly="0" labelOnly="1" fieldPosition="0">
        <references count="2">
          <reference field="0" count="1" selected="0">
            <x v="34"/>
          </reference>
          <reference field="1" count="1">
            <x v="17"/>
          </reference>
        </references>
      </pivotArea>
    </format>
    <format dxfId="1431">
      <pivotArea dataOnly="0" labelOnly="1" fieldPosition="0">
        <references count="2">
          <reference field="0" count="1" selected="0">
            <x v="81"/>
          </reference>
          <reference field="1" count="1">
            <x v="63"/>
          </reference>
        </references>
      </pivotArea>
    </format>
    <format dxfId="1430">
      <pivotArea dataOnly="0" labelOnly="1" fieldPosition="0">
        <references count="2">
          <reference field="0" count="1" selected="0">
            <x v="45"/>
          </reference>
          <reference field="1" count="1">
            <x v="48"/>
          </reference>
        </references>
      </pivotArea>
    </format>
    <format dxfId="1429">
      <pivotArea dataOnly="0" labelOnly="1" fieldPosition="0">
        <references count="2">
          <reference field="0" count="1" selected="0">
            <x v="175"/>
          </reference>
          <reference field="1" count="1">
            <x v="124"/>
          </reference>
        </references>
      </pivotArea>
    </format>
    <format dxfId="1428">
      <pivotArea dataOnly="0" labelOnly="1" fieldPosition="0">
        <references count="2">
          <reference field="0" count="1" selected="0">
            <x v="69"/>
          </reference>
          <reference field="1" count="1">
            <x v="11"/>
          </reference>
        </references>
      </pivotArea>
    </format>
    <format dxfId="1427">
      <pivotArea dataOnly="0" labelOnly="1" fieldPosition="0">
        <references count="2">
          <reference field="0" count="1" selected="0">
            <x v="21"/>
          </reference>
          <reference field="1" count="1">
            <x v="32"/>
          </reference>
        </references>
      </pivotArea>
    </format>
    <format dxfId="1426">
      <pivotArea dataOnly="0" labelOnly="1" fieldPosition="0">
        <references count="2">
          <reference field="0" count="1" selected="0">
            <x v="114"/>
          </reference>
          <reference field="1" count="1">
            <x v="12"/>
          </reference>
        </references>
      </pivotArea>
    </format>
    <format dxfId="1425">
      <pivotArea dataOnly="0" labelOnly="1" fieldPosition="0">
        <references count="2">
          <reference field="0" count="1" selected="0">
            <x v="84"/>
          </reference>
          <reference field="1" count="1">
            <x v="140"/>
          </reference>
        </references>
      </pivotArea>
    </format>
    <format dxfId="1424">
      <pivotArea dataOnly="0" labelOnly="1" fieldPosition="0">
        <references count="2">
          <reference field="0" count="1" selected="0">
            <x v="110"/>
          </reference>
          <reference field="1" count="1">
            <x v="226"/>
          </reference>
        </references>
      </pivotArea>
    </format>
    <format dxfId="1423">
      <pivotArea dataOnly="0" labelOnly="1" fieldPosition="0">
        <references count="2">
          <reference field="0" count="1" selected="0">
            <x v="106"/>
          </reference>
          <reference field="1" count="1">
            <x v="196"/>
          </reference>
        </references>
      </pivotArea>
    </format>
    <format dxfId="1422">
      <pivotArea dataOnly="0" labelOnly="1" fieldPosition="0">
        <references count="2">
          <reference field="0" count="1" selected="0">
            <x v="77"/>
          </reference>
          <reference field="1" count="1">
            <x v="200"/>
          </reference>
        </references>
      </pivotArea>
    </format>
    <format dxfId="1421">
      <pivotArea dataOnly="0" labelOnly="1" fieldPosition="0">
        <references count="2">
          <reference field="0" count="1" selected="0">
            <x v="117"/>
          </reference>
          <reference field="1" count="1">
            <x v="33"/>
          </reference>
        </references>
      </pivotArea>
    </format>
    <format dxfId="1420">
      <pivotArea dataOnly="0" labelOnly="1" fieldPosition="0">
        <references count="2">
          <reference field="0" count="1" selected="0">
            <x v="124"/>
          </reference>
          <reference field="1" count="1">
            <x v="216"/>
          </reference>
        </references>
      </pivotArea>
    </format>
    <format dxfId="1419">
      <pivotArea dataOnly="0" labelOnly="1" fieldPosition="0">
        <references count="2">
          <reference field="0" count="1" selected="0">
            <x v="80"/>
          </reference>
          <reference field="1" count="1">
            <x v="58"/>
          </reference>
        </references>
      </pivotArea>
    </format>
    <format dxfId="1418">
      <pivotArea dataOnly="0" labelOnly="1" fieldPosition="0">
        <references count="2">
          <reference field="0" count="1" selected="0">
            <x v="172"/>
          </reference>
          <reference field="1" count="1">
            <x v="101"/>
          </reference>
        </references>
      </pivotArea>
    </format>
    <format dxfId="1417">
      <pivotArea dataOnly="0" labelOnly="1" fieldPosition="0">
        <references count="2">
          <reference field="0" count="1" selected="0">
            <x v="157"/>
          </reference>
          <reference field="1" count="1">
            <x v="183"/>
          </reference>
        </references>
      </pivotArea>
    </format>
    <format dxfId="1416">
      <pivotArea dataOnly="0" labelOnly="1" fieldPosition="0">
        <references count="2">
          <reference field="0" count="1" selected="0">
            <x v="109"/>
          </reference>
          <reference field="1" count="1">
            <x v="220"/>
          </reference>
        </references>
      </pivotArea>
    </format>
    <format dxfId="1415">
      <pivotArea dataOnly="0" labelOnly="1" fieldPosition="0">
        <references count="2">
          <reference field="0" count="1" selected="0">
            <x v="32"/>
          </reference>
          <reference field="1" count="1">
            <x v="159"/>
          </reference>
        </references>
      </pivotArea>
    </format>
    <format dxfId="1414">
      <pivotArea dataOnly="0" labelOnly="1" fieldPosition="0">
        <references count="2">
          <reference field="0" count="1" selected="0">
            <x v="40"/>
          </reference>
          <reference field="1" count="1">
            <x v="36"/>
          </reference>
        </references>
      </pivotArea>
    </format>
    <format dxfId="1413">
      <pivotArea dataOnly="0" labelOnly="1" fieldPosition="0">
        <references count="2">
          <reference field="0" count="1" selected="0">
            <x v="54"/>
          </reference>
          <reference field="1" count="1">
            <x v="207"/>
          </reference>
        </references>
      </pivotArea>
    </format>
    <format dxfId="1412">
      <pivotArea dataOnly="0" labelOnly="1" fieldPosition="0">
        <references count="2">
          <reference field="0" count="1" selected="0">
            <x v="108"/>
          </reference>
          <reference field="1" count="1">
            <x v="5"/>
          </reference>
        </references>
      </pivotArea>
    </format>
    <format dxfId="1411">
      <pivotArea dataOnly="0" labelOnly="1" fieldPosition="0">
        <references count="2">
          <reference field="0" count="1" selected="0">
            <x v="200"/>
          </reference>
          <reference field="1" count="1">
            <x v="123"/>
          </reference>
        </references>
      </pivotArea>
    </format>
    <format dxfId="1410">
      <pivotArea dataOnly="0" labelOnly="1" fieldPosition="0">
        <references count="2">
          <reference field="0" count="1" selected="0">
            <x v="156"/>
          </reference>
          <reference field="1" count="1">
            <x v="144"/>
          </reference>
        </references>
      </pivotArea>
    </format>
    <format dxfId="1409">
      <pivotArea dataOnly="0" labelOnly="1" fieldPosition="0">
        <references count="2">
          <reference field="0" count="1" selected="0">
            <x v="74"/>
          </reference>
          <reference field="1" count="1">
            <x v="219"/>
          </reference>
        </references>
      </pivotArea>
    </format>
    <format dxfId="1408">
      <pivotArea dataOnly="0" labelOnly="1" fieldPosition="0">
        <references count="2">
          <reference field="0" count="1" selected="0">
            <x v="27"/>
          </reference>
          <reference field="1" count="1">
            <x v="257"/>
          </reference>
        </references>
      </pivotArea>
    </format>
    <format dxfId="1407">
      <pivotArea dataOnly="0" labelOnly="1" fieldPosition="0">
        <references count="2">
          <reference field="0" count="1" selected="0">
            <x v="43"/>
          </reference>
          <reference field="1" count="1">
            <x v="46"/>
          </reference>
        </references>
      </pivotArea>
    </format>
    <format dxfId="1406">
      <pivotArea dataOnly="0" labelOnly="1" fieldPosition="0">
        <references count="2">
          <reference field="0" count="1" selected="0">
            <x v="66"/>
          </reference>
          <reference field="1" count="1">
            <x v="28"/>
          </reference>
        </references>
      </pivotArea>
    </format>
    <format dxfId="1405">
      <pivotArea dataOnly="0" labelOnly="1" fieldPosition="0">
        <references count="2">
          <reference field="0" count="1" selected="0">
            <x v="47"/>
          </reference>
          <reference field="1" count="1">
            <x v="99"/>
          </reference>
        </references>
      </pivotArea>
    </format>
    <format dxfId="1404">
      <pivotArea dataOnly="0" labelOnly="1" fieldPosition="0">
        <references count="2">
          <reference field="0" count="1" selected="0">
            <x v="33"/>
          </reference>
          <reference field="1" count="1">
            <x v="20"/>
          </reference>
        </references>
      </pivotArea>
    </format>
    <format dxfId="1403">
      <pivotArea dataOnly="0" labelOnly="1" fieldPosition="0">
        <references count="2">
          <reference field="0" count="1" selected="0">
            <x v="219"/>
          </reference>
          <reference field="1" count="1">
            <x v="71"/>
          </reference>
        </references>
      </pivotArea>
    </format>
    <format dxfId="1402">
      <pivotArea dataOnly="0" labelOnly="1" fieldPosition="0">
        <references count="2">
          <reference field="0" count="1" selected="0">
            <x v="191"/>
          </reference>
          <reference field="1" count="1">
            <x v="245"/>
          </reference>
        </references>
      </pivotArea>
    </format>
    <format dxfId="1401">
      <pivotArea dataOnly="0" labelOnly="1" fieldPosition="0">
        <references count="2">
          <reference field="0" count="1" selected="0">
            <x v="123"/>
          </reference>
          <reference field="1" count="1">
            <x v="155"/>
          </reference>
        </references>
      </pivotArea>
    </format>
    <format dxfId="1400">
      <pivotArea dataOnly="0" labelOnly="1" fieldPosition="0">
        <references count="2">
          <reference field="0" count="1" selected="0">
            <x v="192"/>
          </reference>
          <reference field="1" count="1">
            <x v="38"/>
          </reference>
        </references>
      </pivotArea>
    </format>
    <format dxfId="1399">
      <pivotArea dataOnly="0" labelOnly="1" fieldPosition="0">
        <references count="2">
          <reference field="0" count="1" selected="0">
            <x v="171"/>
          </reference>
          <reference field="1" count="1">
            <x v="126"/>
          </reference>
        </references>
      </pivotArea>
    </format>
    <format dxfId="1398">
      <pivotArea dataOnly="0" labelOnly="1" fieldPosition="0">
        <references count="2">
          <reference field="0" count="1" selected="0">
            <x v="46"/>
          </reference>
          <reference field="1" count="1">
            <x v="47"/>
          </reference>
        </references>
      </pivotArea>
    </format>
    <format dxfId="1397">
      <pivotArea dataOnly="0" labelOnly="1" fieldPosition="0">
        <references count="2">
          <reference field="0" count="1" selected="0">
            <x v="31"/>
          </reference>
          <reference field="1" count="1">
            <x v="16"/>
          </reference>
        </references>
      </pivotArea>
    </format>
    <format dxfId="1396">
      <pivotArea dataOnly="0" labelOnly="1" fieldPosition="0">
        <references count="2">
          <reference field="0" count="1" selected="0">
            <x v="52"/>
          </reference>
          <reference field="1" count="1">
            <x v="215"/>
          </reference>
        </references>
      </pivotArea>
    </format>
    <format dxfId="1395">
      <pivotArea dataOnly="0" labelOnly="1" fieldPosition="0">
        <references count="2">
          <reference field="0" count="1" selected="0">
            <x v="26"/>
          </reference>
          <reference field="1" count="1">
            <x v="148"/>
          </reference>
        </references>
      </pivotArea>
    </format>
    <format dxfId="1394">
      <pivotArea dataOnly="0" labelOnly="1" fieldPosition="0">
        <references count="2">
          <reference field="0" count="1" selected="0">
            <x v="14"/>
          </reference>
          <reference field="1" count="1">
            <x v="252"/>
          </reference>
        </references>
      </pivotArea>
    </format>
    <format dxfId="1393">
      <pivotArea dataOnly="0" labelOnly="1" fieldPosition="0">
        <references count="2">
          <reference field="0" count="1" selected="0">
            <x v="125"/>
          </reference>
          <reference field="1" count="1">
            <x v="43"/>
          </reference>
        </references>
      </pivotArea>
    </format>
    <format dxfId="1392">
      <pivotArea dataOnly="0" labelOnly="1" fieldPosition="0">
        <references count="2">
          <reference field="0" count="1" selected="0">
            <x v="115"/>
          </reference>
          <reference field="1" count="1">
            <x v="90"/>
          </reference>
        </references>
      </pivotArea>
    </format>
    <format dxfId="1391">
      <pivotArea dataOnly="0" labelOnly="1" fieldPosition="0">
        <references count="2">
          <reference field="0" count="1" selected="0">
            <x v="35"/>
          </reference>
          <reference field="1" count="1">
            <x v="15"/>
          </reference>
        </references>
      </pivotArea>
    </format>
    <format dxfId="1390">
      <pivotArea field="0" type="button" dataOnly="0" labelOnly="1" outline="0" axis="axisRow" fieldPosition="0"/>
    </format>
    <format dxfId="1389">
      <pivotArea dataOnly="0" labelOnly="1" fieldPosition="0">
        <references count="1">
          <reference field="0" count="50">
            <x v="0"/>
            <x v="1"/>
            <x v="3"/>
            <x v="5"/>
            <x v="6"/>
            <x v="8"/>
            <x v="11"/>
            <x v="25"/>
            <x v="71"/>
            <x v="79"/>
            <x v="82"/>
            <x v="87"/>
            <x v="130"/>
            <x v="131"/>
            <x v="133"/>
            <x v="134"/>
            <x v="135"/>
            <x v="136"/>
            <x v="143"/>
            <x v="150"/>
            <x v="151"/>
            <x v="153"/>
            <x v="165"/>
            <x v="167"/>
            <x v="168"/>
            <x v="176"/>
            <x v="177"/>
            <x v="179"/>
            <x v="180"/>
            <x v="182"/>
            <x v="184"/>
            <x v="188"/>
            <x v="199"/>
            <x v="201"/>
            <x v="203"/>
            <x v="204"/>
            <x v="205"/>
            <x v="210"/>
            <x v="213"/>
            <x v="216"/>
            <x v="220"/>
            <x v="224"/>
            <x v="226"/>
            <x v="233"/>
            <x v="240"/>
            <x v="244"/>
            <x v="245"/>
            <x v="246"/>
            <x v="249"/>
            <x v="250"/>
          </reference>
        </references>
      </pivotArea>
    </format>
    <format dxfId="1388">
      <pivotArea dataOnly="0" labelOnly="1" fieldPosition="0">
        <references count="1">
          <reference field="0" count="50">
            <x v="2"/>
            <x v="4"/>
            <x v="7"/>
            <x v="9"/>
            <x v="10"/>
            <x v="18"/>
            <x v="19"/>
            <x v="20"/>
            <x v="22"/>
            <x v="28"/>
            <x v="37"/>
            <x v="41"/>
            <x v="42"/>
            <x v="48"/>
            <x v="55"/>
            <x v="57"/>
            <x v="61"/>
            <x v="73"/>
            <x v="86"/>
            <x v="88"/>
            <x v="90"/>
            <x v="128"/>
            <x v="137"/>
            <x v="141"/>
            <x v="144"/>
            <x v="146"/>
            <x v="148"/>
            <x v="149"/>
            <x v="155"/>
            <x v="163"/>
            <x v="169"/>
            <x v="170"/>
            <x v="174"/>
            <x v="178"/>
            <x v="183"/>
            <x v="189"/>
            <x v="193"/>
            <x v="195"/>
            <x v="202"/>
            <x v="206"/>
            <x v="212"/>
            <x v="214"/>
            <x v="221"/>
            <x v="231"/>
            <x v="232"/>
            <x v="241"/>
            <x v="247"/>
            <x v="251"/>
            <x v="252"/>
            <x v="255"/>
          </reference>
        </references>
      </pivotArea>
    </format>
    <format dxfId="1387">
      <pivotArea dataOnly="0" labelOnly="1" fieldPosition="0">
        <references count="1">
          <reference field="0" count="50">
            <x v="13"/>
            <x v="16"/>
            <x v="29"/>
            <x v="30"/>
            <x v="39"/>
            <x v="53"/>
            <x v="59"/>
            <x v="60"/>
            <x v="63"/>
            <x v="68"/>
            <x v="72"/>
            <x v="78"/>
            <x v="83"/>
            <x v="89"/>
            <x v="91"/>
            <x v="95"/>
            <x v="97"/>
            <x v="101"/>
            <x v="111"/>
            <x v="112"/>
            <x v="113"/>
            <x v="122"/>
            <x v="129"/>
            <x v="139"/>
            <x v="140"/>
            <x v="145"/>
            <x v="147"/>
            <x v="152"/>
            <x v="160"/>
            <x v="162"/>
            <x v="166"/>
            <x v="173"/>
            <x v="181"/>
            <x v="185"/>
            <x v="190"/>
            <x v="196"/>
            <x v="208"/>
            <x v="209"/>
            <x v="215"/>
            <x v="223"/>
            <x v="225"/>
            <x v="227"/>
            <x v="236"/>
            <x v="237"/>
            <x v="238"/>
            <x v="239"/>
            <x v="242"/>
            <x v="243"/>
            <x v="248"/>
            <x v="253"/>
          </reference>
        </references>
      </pivotArea>
    </format>
    <format dxfId="1386">
      <pivotArea dataOnly="0" labelOnly="1" fieldPosition="0">
        <references count="1">
          <reference field="0" count="50">
            <x v="12"/>
            <x v="15"/>
            <x v="17"/>
            <x v="23"/>
            <x v="24"/>
            <x v="36"/>
            <x v="38"/>
            <x v="49"/>
            <x v="50"/>
            <x v="62"/>
            <x v="64"/>
            <x v="65"/>
            <x v="67"/>
            <x v="75"/>
            <x v="76"/>
            <x v="85"/>
            <x v="93"/>
            <x v="96"/>
            <x v="98"/>
            <x v="99"/>
            <x v="100"/>
            <x v="102"/>
            <x v="103"/>
            <x v="104"/>
            <x v="105"/>
            <x v="107"/>
            <x v="118"/>
            <x v="119"/>
            <x v="120"/>
            <x v="121"/>
            <x v="126"/>
            <x v="127"/>
            <x v="138"/>
            <x v="142"/>
            <x v="154"/>
            <x v="158"/>
            <x v="159"/>
            <x v="161"/>
            <x v="164"/>
            <x v="186"/>
            <x v="187"/>
            <x v="194"/>
            <x v="197"/>
            <x v="198"/>
            <x v="228"/>
            <x v="229"/>
            <x v="234"/>
            <x v="235"/>
            <x v="254"/>
            <x v="257"/>
          </reference>
        </references>
      </pivotArea>
    </format>
    <format dxfId="1385">
      <pivotArea dataOnly="0" labelOnly="1" fieldPosition="0">
        <references count="1">
          <reference field="0" count="50">
            <x v="21"/>
            <x v="27"/>
            <x v="32"/>
            <x v="33"/>
            <x v="34"/>
            <x v="40"/>
            <x v="43"/>
            <x v="44"/>
            <x v="45"/>
            <x v="47"/>
            <x v="51"/>
            <x v="54"/>
            <x v="56"/>
            <x v="58"/>
            <x v="66"/>
            <x v="69"/>
            <x v="70"/>
            <x v="74"/>
            <x v="77"/>
            <x v="80"/>
            <x v="81"/>
            <x v="84"/>
            <x v="92"/>
            <x v="94"/>
            <x v="106"/>
            <x v="108"/>
            <x v="109"/>
            <x v="110"/>
            <x v="114"/>
            <x v="116"/>
            <x v="117"/>
            <x v="123"/>
            <x v="124"/>
            <x v="132"/>
            <x v="156"/>
            <x v="157"/>
            <x v="171"/>
            <x v="172"/>
            <x v="175"/>
            <x v="191"/>
            <x v="192"/>
            <x v="200"/>
            <x v="207"/>
            <x v="211"/>
            <x v="217"/>
            <x v="218"/>
            <x v="219"/>
            <x v="222"/>
            <x v="230"/>
            <x v="256"/>
          </reference>
        </references>
      </pivotArea>
    </format>
    <format dxfId="1384">
      <pivotArea dataOnly="0" labelOnly="1" fieldPosition="0">
        <references count="1">
          <reference field="0" count="8">
            <x v="14"/>
            <x v="26"/>
            <x v="31"/>
            <x v="35"/>
            <x v="46"/>
            <x v="52"/>
            <x v="115"/>
            <x v="125"/>
          </reference>
        </references>
      </pivotArea>
    </format>
    <format dxfId="1383">
      <pivotArea dataOnly="0" labelOnly="1" grandRow="1" outline="0" fieldPosition="0"/>
    </format>
    <format dxfId="1382">
      <pivotArea dataOnly="0" labelOnly="1" fieldPosition="0">
        <references count="2">
          <reference field="0" count="1" selected="0">
            <x v="82"/>
          </reference>
          <reference field="1" count="1">
            <x v="62"/>
          </reference>
        </references>
      </pivotArea>
    </format>
    <format dxfId="1381">
      <pivotArea dataOnly="0" labelOnly="1" fieldPosition="0">
        <references count="2">
          <reference field="0" count="1" selected="0">
            <x v="3"/>
          </reference>
          <reference field="1" count="1">
            <x v="179"/>
          </reference>
        </references>
      </pivotArea>
    </format>
    <format dxfId="1380">
      <pivotArea dataOnly="0" labelOnly="1" fieldPosition="0">
        <references count="2">
          <reference field="0" count="1" selected="0">
            <x v="250"/>
          </reference>
          <reference field="1" count="1">
            <x v="87"/>
          </reference>
        </references>
      </pivotArea>
    </format>
    <format dxfId="1379">
      <pivotArea dataOnly="0" labelOnly="1" fieldPosition="0">
        <references count="2">
          <reference field="0" count="1" selected="0">
            <x v="201"/>
          </reference>
          <reference field="1" count="1">
            <x v="133"/>
          </reference>
        </references>
      </pivotArea>
    </format>
    <format dxfId="1378">
      <pivotArea dataOnly="0" labelOnly="1" fieldPosition="0">
        <references count="2">
          <reference field="0" count="1" selected="0">
            <x v="133"/>
          </reference>
          <reference field="1" count="1">
            <x v="244"/>
          </reference>
        </references>
      </pivotArea>
    </format>
    <format dxfId="1377">
      <pivotArea dataOnly="0" labelOnly="1" fieldPosition="0">
        <references count="2">
          <reference field="0" count="1" selected="0">
            <x v="244"/>
          </reference>
          <reference field="1" count="1">
            <x v="76"/>
          </reference>
        </references>
      </pivotArea>
    </format>
    <format dxfId="1376">
      <pivotArea dataOnly="0" labelOnly="1" fieldPosition="0">
        <references count="2">
          <reference field="0" count="1" selected="0">
            <x v="249"/>
          </reference>
          <reference field="1" count="1">
            <x v="204"/>
          </reference>
        </references>
      </pivotArea>
    </format>
    <format dxfId="1375">
      <pivotArea dataOnly="0" labelOnly="1" fieldPosition="0">
        <references count="2">
          <reference field="0" count="1" selected="0">
            <x v="179"/>
          </reference>
          <reference field="1" count="1">
            <x v="139"/>
          </reference>
        </references>
      </pivotArea>
    </format>
    <format dxfId="1374">
      <pivotArea dataOnly="0" labelOnly="1" fieldPosition="0">
        <references count="2">
          <reference field="0" count="1" selected="0">
            <x v="165"/>
          </reference>
          <reference field="1" count="1">
            <x v="186"/>
          </reference>
        </references>
      </pivotArea>
    </format>
    <format dxfId="1373">
      <pivotArea dataOnly="0" labelOnly="1" fieldPosition="0">
        <references count="2">
          <reference field="0" count="1" selected="0">
            <x v="131"/>
          </reference>
          <reference field="1" count="1">
            <x v="165"/>
          </reference>
        </references>
      </pivotArea>
    </format>
    <format dxfId="1372">
      <pivotArea dataOnly="0" labelOnly="1" fieldPosition="0">
        <references count="2">
          <reference field="0" count="1" selected="0">
            <x v="143"/>
          </reference>
          <reference field="1" count="1">
            <x v="44"/>
          </reference>
        </references>
      </pivotArea>
    </format>
    <format dxfId="1371">
      <pivotArea dataOnly="0" labelOnly="1" fieldPosition="0">
        <references count="2">
          <reference field="0" count="1" selected="0">
            <x v="203"/>
          </reference>
          <reference field="1" count="1">
            <x v="232"/>
          </reference>
        </references>
      </pivotArea>
    </format>
    <format dxfId="1370">
      <pivotArea dataOnly="0" labelOnly="1" fieldPosition="0">
        <references count="2">
          <reference field="0" count="1" selected="0">
            <x v="204"/>
          </reference>
          <reference field="1" count="1">
            <x v="27"/>
          </reference>
        </references>
      </pivotArea>
    </format>
    <format dxfId="1369">
      <pivotArea dataOnly="0" labelOnly="1" fieldPosition="0">
        <references count="2">
          <reference field="0" count="1" selected="0">
            <x v="168"/>
          </reference>
          <reference field="1" count="1">
            <x v="253"/>
          </reference>
        </references>
      </pivotArea>
    </format>
    <format dxfId="1368">
      <pivotArea dataOnly="0" labelOnly="1" fieldPosition="0">
        <references count="2">
          <reference field="0" count="1" selected="0">
            <x v="71"/>
          </reference>
          <reference field="1" count="1">
            <x v="201"/>
          </reference>
        </references>
      </pivotArea>
    </format>
    <format dxfId="1367">
      <pivotArea dataOnly="0" labelOnly="1" fieldPosition="0">
        <references count="2">
          <reference field="0" count="1" selected="0">
            <x v="245"/>
          </reference>
          <reference field="1" count="1">
            <x v="34"/>
          </reference>
        </references>
      </pivotArea>
    </format>
    <format dxfId="1366">
      <pivotArea dataOnly="0" labelOnly="1" fieldPosition="0">
        <references count="2">
          <reference field="0" count="1" selected="0">
            <x v="135"/>
          </reference>
          <reference field="1" count="1">
            <x v="189"/>
          </reference>
        </references>
      </pivotArea>
    </format>
    <format dxfId="1365">
      <pivotArea dataOnly="0" labelOnly="1" fieldPosition="0">
        <references count="2">
          <reference field="0" count="1" selected="0">
            <x v="184"/>
          </reference>
          <reference field="1" count="1">
            <x v="117"/>
          </reference>
        </references>
      </pivotArea>
    </format>
    <format dxfId="1364">
      <pivotArea dataOnly="0" labelOnly="1" fieldPosition="0">
        <references count="2">
          <reference field="0" count="1" selected="0">
            <x v="224"/>
          </reference>
          <reference field="1" count="1">
            <x v="73"/>
          </reference>
        </references>
      </pivotArea>
    </format>
    <format dxfId="1363">
      <pivotArea dataOnly="0" labelOnly="1" fieldPosition="0">
        <references count="2">
          <reference field="0" count="1" selected="0">
            <x v="87"/>
          </reference>
          <reference field="1" count="1">
            <x v="61"/>
          </reference>
        </references>
      </pivotArea>
    </format>
    <format dxfId="1362">
      <pivotArea dataOnly="0" labelOnly="1" fieldPosition="0">
        <references count="2">
          <reference field="0" count="1" selected="0">
            <x v="199"/>
          </reference>
          <reference field="1" count="1">
            <x v="127"/>
          </reference>
        </references>
      </pivotArea>
    </format>
    <format dxfId="1361">
      <pivotArea dataOnly="0" labelOnly="1" fieldPosition="0">
        <references count="2">
          <reference field="0" count="1" selected="0">
            <x v="220"/>
          </reference>
          <reference field="1" count="1">
            <x v="78"/>
          </reference>
        </references>
      </pivotArea>
    </format>
    <format dxfId="1360">
      <pivotArea dataOnly="0" labelOnly="1" fieldPosition="0">
        <references count="2">
          <reference field="0" count="1" selected="0">
            <x v="213"/>
          </reference>
          <reference field="1" count="1">
            <x v="84"/>
          </reference>
        </references>
      </pivotArea>
    </format>
    <format dxfId="1359">
      <pivotArea dataOnly="0" labelOnly="1" fieldPosition="0">
        <references count="2">
          <reference field="0" count="1" selected="0">
            <x v="5"/>
          </reference>
          <reference field="1" count="1">
            <x v="0"/>
          </reference>
        </references>
      </pivotArea>
    </format>
    <format dxfId="1358">
      <pivotArea dataOnly="0" labelOnly="1" fieldPosition="0">
        <references count="2">
          <reference field="0" count="1" selected="0">
            <x v="136"/>
          </reference>
          <reference field="1" count="1">
            <x v="4"/>
          </reference>
        </references>
      </pivotArea>
    </format>
    <format dxfId="1357">
      <pivotArea dataOnly="0" labelOnly="1" fieldPosition="0">
        <references count="2">
          <reference field="0" count="1" selected="0">
            <x v="8"/>
          </reference>
          <reference field="1" count="1">
            <x v="10"/>
          </reference>
        </references>
      </pivotArea>
    </format>
    <format dxfId="1356">
      <pivotArea dataOnly="0" labelOnly="1" fieldPosition="0">
        <references count="2">
          <reference field="0" count="1" selected="0">
            <x v="240"/>
          </reference>
          <reference field="1" count="1">
            <x v="77"/>
          </reference>
        </references>
      </pivotArea>
    </format>
    <format dxfId="1355">
      <pivotArea dataOnly="0" labelOnly="1" fieldPosition="0">
        <references count="2">
          <reference field="0" count="1" selected="0">
            <x v="153"/>
          </reference>
          <reference field="1" count="1">
            <x v="167"/>
          </reference>
        </references>
      </pivotArea>
    </format>
    <format dxfId="1354">
      <pivotArea dataOnly="0" labelOnly="1" fieldPosition="0">
        <references count="2">
          <reference field="0" count="1" selected="0">
            <x v="167"/>
          </reference>
          <reference field="1" count="1">
            <x v="138"/>
          </reference>
        </references>
      </pivotArea>
    </format>
    <format dxfId="1353">
      <pivotArea dataOnly="0" labelOnly="1" fieldPosition="0">
        <references count="2">
          <reference field="0" count="1" selected="0">
            <x v="151"/>
          </reference>
          <reference field="1" count="1">
            <x v="203"/>
          </reference>
        </references>
      </pivotArea>
    </format>
    <format dxfId="1352">
      <pivotArea dataOnly="0" labelOnly="1" fieldPosition="0">
        <references count="2">
          <reference field="0" count="1" selected="0">
            <x v="188"/>
          </reference>
          <reference field="1" count="1">
            <x v="162"/>
          </reference>
        </references>
      </pivotArea>
    </format>
    <format dxfId="1351">
      <pivotArea dataOnly="0" labelOnly="1" fieldPosition="0">
        <references count="2">
          <reference field="0" count="1" selected="0">
            <x v="205"/>
          </reference>
          <reference field="1" count="1">
            <x v="237"/>
          </reference>
        </references>
      </pivotArea>
    </format>
    <format dxfId="1350">
      <pivotArea dataOnly="0" labelOnly="1" fieldPosition="0">
        <references count="2">
          <reference field="0" count="1" selected="0">
            <x v="210"/>
          </reference>
          <reference field="1" count="1">
            <x v="70"/>
          </reference>
        </references>
      </pivotArea>
    </format>
    <format dxfId="1349">
      <pivotArea dataOnly="0" labelOnly="1" fieldPosition="0">
        <references count="2">
          <reference field="0" count="1" selected="0">
            <x v="0"/>
          </reference>
          <reference field="1" count="1">
            <x v="175"/>
          </reference>
        </references>
      </pivotArea>
    </format>
    <format dxfId="1348">
      <pivotArea dataOnly="0" labelOnly="1" fieldPosition="0">
        <references count="2">
          <reference field="0" count="1" selected="0">
            <x v="216"/>
          </reference>
          <reference field="1" count="1">
            <x v="66"/>
          </reference>
        </references>
      </pivotArea>
    </format>
    <format dxfId="1347">
      <pivotArea dataOnly="0" labelOnly="1" fieldPosition="0">
        <references count="2">
          <reference field="0" count="1" selected="0">
            <x v="130"/>
          </reference>
          <reference field="1" count="1">
            <x v="54"/>
          </reference>
        </references>
      </pivotArea>
    </format>
    <format dxfId="1346">
      <pivotArea dataOnly="0" labelOnly="1" fieldPosition="0">
        <references count="2">
          <reference field="0" count="1" selected="0">
            <x v="79"/>
          </reference>
          <reference field="1" count="1">
            <x v="19"/>
          </reference>
        </references>
      </pivotArea>
    </format>
    <format dxfId="1345">
      <pivotArea dataOnly="0" labelOnly="1" fieldPosition="0">
        <references count="2">
          <reference field="0" count="1" selected="0">
            <x v="25"/>
          </reference>
          <reference field="1" count="1">
            <x v="21"/>
          </reference>
        </references>
      </pivotArea>
    </format>
    <format dxfId="1344">
      <pivotArea dataOnly="0" labelOnly="1" fieldPosition="0">
        <references count="2">
          <reference field="0" count="1" selected="0">
            <x v="11"/>
          </reference>
          <reference field="1" count="1">
            <x v="42"/>
          </reference>
        </references>
      </pivotArea>
    </format>
    <format dxfId="1343">
      <pivotArea dataOnly="0" labelOnly="1" fieldPosition="0">
        <references count="2">
          <reference field="0" count="1" selected="0">
            <x v="246"/>
          </reference>
          <reference field="1" count="1">
            <x v="166"/>
          </reference>
        </references>
      </pivotArea>
    </format>
    <format dxfId="1342">
      <pivotArea dataOnly="0" labelOnly="1" fieldPosition="0">
        <references count="2">
          <reference field="0" count="1" selected="0">
            <x v="182"/>
          </reference>
          <reference field="1" count="1">
            <x v="111"/>
          </reference>
        </references>
      </pivotArea>
    </format>
    <format dxfId="1341">
      <pivotArea dataOnly="0" labelOnly="1" fieldPosition="0">
        <references count="2">
          <reference field="0" count="1" selected="0">
            <x v="177"/>
          </reference>
          <reference field="1" count="1">
            <x v="142"/>
          </reference>
        </references>
      </pivotArea>
    </format>
    <format dxfId="1340">
      <pivotArea dataOnly="0" labelOnly="1" fieldPosition="0">
        <references count="2">
          <reference field="0" count="1" selected="0">
            <x v="1"/>
          </reference>
          <reference field="1" count="1">
            <x v="176"/>
          </reference>
        </references>
      </pivotArea>
    </format>
    <format dxfId="1339">
      <pivotArea dataOnly="0" labelOnly="1" fieldPosition="0">
        <references count="2">
          <reference field="0" count="1" selected="0">
            <x v="150"/>
          </reference>
          <reference field="1" count="1">
            <x v="110"/>
          </reference>
        </references>
      </pivotArea>
    </format>
    <format dxfId="1338">
      <pivotArea dataOnly="0" labelOnly="1" fieldPosition="0">
        <references count="2">
          <reference field="0" count="1" selected="0">
            <x v="6"/>
          </reference>
          <reference field="1" count="1">
            <x v="173"/>
          </reference>
        </references>
      </pivotArea>
    </format>
    <format dxfId="1337">
      <pivotArea dataOnly="0" labelOnly="1" fieldPosition="0">
        <references count="2">
          <reference field="0" count="1" selected="0">
            <x v="226"/>
          </reference>
          <reference field="1" count="1">
            <x v="233"/>
          </reference>
        </references>
      </pivotArea>
    </format>
    <format dxfId="1336">
      <pivotArea dataOnly="0" labelOnly="1" fieldPosition="0">
        <references count="2">
          <reference field="0" count="1" selected="0">
            <x v="233"/>
          </reference>
          <reference field="1" count="1">
            <x v="236"/>
          </reference>
        </references>
      </pivotArea>
    </format>
    <format dxfId="1335">
      <pivotArea dataOnly="0" labelOnly="1" fieldPosition="0">
        <references count="2">
          <reference field="0" count="1" selected="0">
            <x v="180"/>
          </reference>
          <reference field="1" count="1">
            <x v="109"/>
          </reference>
        </references>
      </pivotArea>
    </format>
    <format dxfId="1334">
      <pivotArea dataOnly="0" labelOnly="1" fieldPosition="0">
        <references count="2">
          <reference field="0" count="1" selected="0">
            <x v="176"/>
          </reference>
          <reference field="1" count="1">
            <x v="56"/>
          </reference>
        </references>
      </pivotArea>
    </format>
    <format dxfId="1333">
      <pivotArea dataOnly="0" labelOnly="1" fieldPosition="0">
        <references count="2">
          <reference field="0" count="1" selected="0">
            <x v="134"/>
          </reference>
          <reference field="1" count="1">
            <x v="88"/>
          </reference>
        </references>
      </pivotArea>
    </format>
    <format dxfId="1332">
      <pivotArea dataOnly="0" labelOnly="1" fieldPosition="0">
        <references count="2">
          <reference field="0" count="1" selected="0">
            <x v="252"/>
          </reference>
          <reference field="1" count="1">
            <x v="105"/>
          </reference>
        </references>
      </pivotArea>
    </format>
    <format dxfId="1331">
      <pivotArea dataOnly="0" labelOnly="1" fieldPosition="0">
        <references count="2">
          <reference field="0" count="1" selected="0">
            <x v="255"/>
          </reference>
          <reference field="1" count="1">
            <x v="106"/>
          </reference>
        </references>
      </pivotArea>
    </format>
    <format dxfId="1330">
      <pivotArea dataOnly="0" labelOnly="1" fieldPosition="0">
        <references count="2">
          <reference field="0" count="1" selected="0">
            <x v="57"/>
          </reference>
          <reference field="1" count="1">
            <x v="242"/>
          </reference>
        </references>
      </pivotArea>
    </format>
    <format dxfId="1329">
      <pivotArea dataOnly="0" labelOnly="1" fieldPosition="0">
        <references count="2">
          <reference field="0" count="1" selected="0">
            <x v="55"/>
          </reference>
          <reference field="1" count="1">
            <x v="192"/>
          </reference>
        </references>
      </pivotArea>
    </format>
    <format dxfId="1328">
      <pivotArea dataOnly="0" labelOnly="1" fieldPosition="0">
        <references count="2">
          <reference field="0" count="1" selected="0">
            <x v="251"/>
          </reference>
          <reference field="1" count="1">
            <x v="81"/>
          </reference>
        </references>
      </pivotArea>
    </format>
    <format dxfId="1327">
      <pivotArea dataOnly="0" labelOnly="1" fieldPosition="0">
        <references count="2">
          <reference field="0" count="1" selected="0">
            <x v="155"/>
          </reference>
          <reference field="1" count="1">
            <x v="100"/>
          </reference>
        </references>
      </pivotArea>
    </format>
    <format dxfId="1326">
      <pivotArea dataOnly="0" labelOnly="1" fieldPosition="0">
        <references count="2">
          <reference field="0" count="1" selected="0">
            <x v="137"/>
          </reference>
          <reference field="1" count="1">
            <x v="3"/>
          </reference>
        </references>
      </pivotArea>
    </format>
    <format dxfId="1325">
      <pivotArea dataOnly="0" labelOnly="1" fieldPosition="0">
        <references count="2">
          <reference field="0" count="1" selected="0">
            <x v="19"/>
          </reference>
          <reference field="1" count="1">
            <x v="171"/>
          </reference>
        </references>
      </pivotArea>
    </format>
    <format dxfId="1324">
      <pivotArea dataOnly="0" labelOnly="1" fieldPosition="0">
        <references count="2">
          <reference field="0" count="1" selected="0">
            <x v="232"/>
          </reference>
          <reference field="1" count="1">
            <x v="92"/>
          </reference>
        </references>
      </pivotArea>
    </format>
    <format dxfId="1323">
      <pivotArea dataOnly="0" labelOnly="1" fieldPosition="0">
        <references count="2">
          <reference field="0" count="1" selected="0">
            <x v="183"/>
          </reference>
          <reference field="1" count="1">
            <x v="112"/>
          </reference>
        </references>
      </pivotArea>
    </format>
    <format dxfId="1322">
      <pivotArea dataOnly="0" labelOnly="1" fieldPosition="0">
        <references count="2">
          <reference field="0" count="1" selected="0">
            <x v="170"/>
          </reference>
          <reference field="1" count="1">
            <x v="25"/>
          </reference>
        </references>
      </pivotArea>
    </format>
    <format dxfId="1321">
      <pivotArea dataOnly="0" labelOnly="1" fieldPosition="0">
        <references count="2">
          <reference field="0" count="1" selected="0">
            <x v="18"/>
          </reference>
          <reference field="1" count="1">
            <x v="202"/>
          </reference>
        </references>
      </pivotArea>
    </format>
    <format dxfId="1320">
      <pivotArea dataOnly="0" labelOnly="1" fieldPosition="0">
        <references count="2">
          <reference field="0" count="1" selected="0">
            <x v="241"/>
          </reference>
          <reference field="1" count="1">
            <x v="82"/>
          </reference>
        </references>
      </pivotArea>
    </format>
    <format dxfId="1319">
      <pivotArea dataOnly="0" labelOnly="1" fieldPosition="0">
        <references count="2">
          <reference field="0" count="1" selected="0">
            <x v="212"/>
          </reference>
          <reference field="1" count="1">
            <x v="163"/>
          </reference>
        </references>
      </pivotArea>
    </format>
    <format dxfId="1318">
      <pivotArea dataOnly="0" labelOnly="1" fieldPosition="0">
        <references count="2">
          <reference field="0" count="1" selected="0">
            <x v="146"/>
          </reference>
          <reference field="1" count="1">
            <x v="141"/>
          </reference>
        </references>
      </pivotArea>
    </format>
    <format dxfId="1317">
      <pivotArea dataOnly="0" labelOnly="1" fieldPosition="0">
        <references count="2">
          <reference field="0" count="1" selected="0">
            <x v="193"/>
          </reference>
          <reference field="1" count="1">
            <x v="23"/>
          </reference>
        </references>
      </pivotArea>
    </format>
    <format dxfId="1316">
      <pivotArea dataOnly="0" labelOnly="1" fieldPosition="0">
        <references count="2">
          <reference field="0" count="1" selected="0">
            <x v="88"/>
          </reference>
          <reference field="1" count="1">
            <x v="170"/>
          </reference>
        </references>
      </pivotArea>
    </format>
    <format dxfId="1315">
      <pivotArea dataOnly="0" labelOnly="1" fieldPosition="0">
        <references count="2">
          <reference field="0" count="1" selected="0">
            <x v="10"/>
          </reference>
          <reference field="1" count="1">
            <x v="168"/>
          </reference>
        </references>
      </pivotArea>
    </format>
    <format dxfId="1314">
      <pivotArea dataOnly="0" labelOnly="1" fieldPosition="0">
        <references count="2">
          <reference field="0" count="1" selected="0">
            <x v="231"/>
          </reference>
          <reference field="1" count="1">
            <x v="64"/>
          </reference>
        </references>
      </pivotArea>
    </format>
    <format dxfId="1313">
      <pivotArea dataOnly="0" labelOnly="1" fieldPosition="0">
        <references count="2">
          <reference field="0" count="1" selected="0">
            <x v="221"/>
          </reference>
          <reference field="1" count="1">
            <x v="80"/>
          </reference>
        </references>
      </pivotArea>
    </format>
    <format dxfId="1312">
      <pivotArea dataOnly="0" labelOnly="1" fieldPosition="0">
        <references count="2">
          <reference field="0" count="1" selected="0">
            <x v="178"/>
          </reference>
          <reference field="1" count="1">
            <x v="113"/>
          </reference>
        </references>
      </pivotArea>
    </format>
    <format dxfId="1311">
      <pivotArea dataOnly="0" labelOnly="1" fieldPosition="0">
        <references count="2">
          <reference field="0" count="1" selected="0">
            <x v="141"/>
          </reference>
          <reference field="1" count="1">
            <x v="131"/>
          </reference>
        </references>
      </pivotArea>
    </format>
    <format dxfId="1310">
      <pivotArea dataOnly="0" labelOnly="1" fieldPosition="0">
        <references count="2">
          <reference field="0" count="1" selected="0">
            <x v="169"/>
          </reference>
          <reference field="1" count="1">
            <x v="108"/>
          </reference>
        </references>
      </pivotArea>
    </format>
    <format dxfId="1309">
      <pivotArea dataOnly="0" labelOnly="1" fieldPosition="0">
        <references count="2">
          <reference field="0" count="1" selected="0">
            <x v="4"/>
          </reference>
          <reference field="1" count="1">
            <x v="178"/>
          </reference>
        </references>
      </pivotArea>
    </format>
    <format dxfId="1308">
      <pivotArea dataOnly="0" labelOnly="1" fieldPosition="0">
        <references count="2">
          <reference field="0" count="1" selected="0">
            <x v="214"/>
          </reference>
          <reference field="1" count="1">
            <x v="85"/>
          </reference>
        </references>
      </pivotArea>
    </format>
    <format dxfId="1307">
      <pivotArea dataOnly="0" labelOnly="1" fieldPosition="0">
        <references count="2">
          <reference field="0" count="1" selected="0">
            <x v="28"/>
          </reference>
          <reference field="1" count="1">
            <x v="145"/>
          </reference>
        </references>
      </pivotArea>
    </format>
    <format dxfId="1306">
      <pivotArea dataOnly="0" labelOnly="1" fieldPosition="0">
        <references count="2">
          <reference field="0" count="1" selected="0">
            <x v="195"/>
          </reference>
          <reference field="1" count="1">
            <x v="160"/>
          </reference>
        </references>
      </pivotArea>
    </format>
    <format dxfId="1305">
      <pivotArea dataOnly="0" labelOnly="1" fieldPosition="0">
        <references count="2">
          <reference field="0" count="1" selected="0">
            <x v="37"/>
          </reference>
          <reference field="1" count="1">
            <x v="96"/>
          </reference>
        </references>
      </pivotArea>
    </format>
    <format dxfId="1304">
      <pivotArea dataOnly="0" labelOnly="1" fieldPosition="0">
        <references count="2">
          <reference field="0" count="1" selected="0">
            <x v="202"/>
          </reference>
          <reference field="1" count="1">
            <x v="149"/>
          </reference>
        </references>
      </pivotArea>
    </format>
    <format dxfId="1303">
      <pivotArea dataOnly="0" labelOnly="1" fieldPosition="0">
        <references count="2">
          <reference field="0" count="1" selected="0">
            <x v="163"/>
          </reference>
          <reference field="1" count="1">
            <x v="122"/>
          </reference>
        </references>
      </pivotArea>
    </format>
    <format dxfId="1302">
      <pivotArea dataOnly="0" labelOnly="1" fieldPosition="0">
        <references count="2">
          <reference field="0" count="1" selected="0">
            <x v="48"/>
          </reference>
          <reference field="1" count="1">
            <x v="50"/>
          </reference>
        </references>
      </pivotArea>
    </format>
    <format dxfId="1301">
      <pivotArea dataOnly="0" labelOnly="1" fieldPosition="0">
        <references count="2">
          <reference field="0" count="1" selected="0">
            <x v="61"/>
          </reference>
          <reference field="1" count="1">
            <x v="223"/>
          </reference>
        </references>
      </pivotArea>
    </format>
    <format dxfId="1300">
      <pivotArea dataOnly="0" labelOnly="1" fieldPosition="0">
        <references count="2">
          <reference field="0" count="1" selected="0">
            <x v="7"/>
          </reference>
          <reference field="1" count="1">
            <x v="174"/>
          </reference>
        </references>
      </pivotArea>
    </format>
    <format dxfId="1299">
      <pivotArea dataOnly="0" labelOnly="1" fieldPosition="0">
        <references count="2">
          <reference field="0" count="1" selected="0">
            <x v="144"/>
          </reference>
          <reference field="1" count="1">
            <x v="65"/>
          </reference>
        </references>
      </pivotArea>
    </format>
    <format dxfId="1298">
      <pivotArea dataOnly="0" labelOnly="1" fieldPosition="0">
        <references count="2">
          <reference field="0" count="1" selected="0">
            <x v="9"/>
          </reference>
          <reference field="1" count="1">
            <x v="210"/>
          </reference>
        </references>
      </pivotArea>
    </format>
    <format dxfId="1297">
      <pivotArea dataOnly="0" labelOnly="1" fieldPosition="0">
        <references count="2">
          <reference field="0" count="1" selected="0">
            <x v="247"/>
          </reference>
          <reference field="1" count="1">
            <x v="67"/>
          </reference>
        </references>
      </pivotArea>
    </format>
    <format dxfId="1296">
      <pivotArea dataOnly="0" labelOnly="1" fieldPosition="0">
        <references count="2">
          <reference field="0" count="1" selected="0">
            <x v="41"/>
          </reference>
          <reference field="1" count="1">
            <x v="194"/>
          </reference>
        </references>
      </pivotArea>
    </format>
    <format dxfId="1295">
      <pivotArea dataOnly="0" labelOnly="1" fieldPosition="0">
        <references count="2">
          <reference field="0" count="1" selected="0">
            <x v="73"/>
          </reference>
          <reference field="1" count="1">
            <x v="214"/>
          </reference>
        </references>
      </pivotArea>
    </format>
    <format dxfId="1294">
      <pivotArea dataOnly="0" labelOnly="1" fieldPosition="0">
        <references count="2">
          <reference field="0" count="1" selected="0">
            <x v="128"/>
          </reference>
          <reference field="1" count="1">
            <x v="217"/>
          </reference>
        </references>
      </pivotArea>
    </format>
    <format dxfId="1293">
      <pivotArea dataOnly="0" labelOnly="1" fieldPosition="0">
        <references count="2">
          <reference field="0" count="1" selected="0">
            <x v="174"/>
          </reference>
          <reference field="1" count="1">
            <x v="205"/>
          </reference>
        </references>
      </pivotArea>
    </format>
    <format dxfId="1292">
      <pivotArea dataOnly="0" labelOnly="1" fieldPosition="0">
        <references count="2">
          <reference field="0" count="1" selected="0">
            <x v="149"/>
          </reference>
          <reference field="1" count="1">
            <x v="95"/>
          </reference>
        </references>
      </pivotArea>
    </format>
    <format dxfId="1291">
      <pivotArea dataOnly="0" labelOnly="1" fieldPosition="0">
        <references count="2">
          <reference field="0" count="1" selected="0">
            <x v="90"/>
          </reference>
          <reference field="1" count="1">
            <x v="60"/>
          </reference>
        </references>
      </pivotArea>
    </format>
    <format dxfId="1290">
      <pivotArea dataOnly="0" labelOnly="1" fieldPosition="0">
        <references count="2">
          <reference field="0" count="1" selected="0">
            <x v="206"/>
          </reference>
          <reference field="1" count="1">
            <x v="98"/>
          </reference>
        </references>
      </pivotArea>
    </format>
    <format dxfId="1289">
      <pivotArea dataOnly="0" labelOnly="1" fieldPosition="0">
        <references count="2">
          <reference field="0" count="1" selected="0">
            <x v="86"/>
          </reference>
          <reference field="1" count="1">
            <x v="30"/>
          </reference>
        </references>
      </pivotArea>
    </format>
    <format dxfId="1288">
      <pivotArea dataOnly="0" labelOnly="1" fieldPosition="0">
        <references count="2">
          <reference field="0" count="1" selected="0">
            <x v="148"/>
          </reference>
          <reference field="1" count="1">
            <x v="208"/>
          </reference>
        </references>
      </pivotArea>
    </format>
    <format dxfId="1287">
      <pivotArea dataOnly="0" labelOnly="1" fieldPosition="0">
        <references count="2">
          <reference field="0" count="1" selected="0">
            <x v="20"/>
          </reference>
          <reference field="1" count="1">
            <x v="172"/>
          </reference>
        </references>
      </pivotArea>
    </format>
    <format dxfId="1286">
      <pivotArea dataOnly="0" labelOnly="1" fieldPosition="0">
        <references count="2">
          <reference field="0" count="1" selected="0">
            <x v="2"/>
          </reference>
          <reference field="1" count="1">
            <x v="177"/>
          </reference>
        </references>
      </pivotArea>
    </format>
    <format dxfId="1285">
      <pivotArea dataOnly="0" labelOnly="1" fieldPosition="0">
        <references count="2">
          <reference field="0" count="1" selected="0">
            <x v="22"/>
          </reference>
          <reference field="1" count="1">
            <x v="13"/>
          </reference>
        </references>
      </pivotArea>
    </format>
    <format dxfId="1284">
      <pivotArea dataOnly="0" labelOnly="1" fieldPosition="0">
        <references count="2">
          <reference field="0" count="1" selected="0">
            <x v="189"/>
          </reference>
          <reference field="1" count="1">
            <x v="235"/>
          </reference>
        </references>
      </pivotArea>
    </format>
    <format dxfId="1283">
      <pivotArea dataOnly="0" labelOnly="1" fieldPosition="0">
        <references count="2">
          <reference field="0" count="1" selected="0">
            <x v="42"/>
          </reference>
          <reference field="1" count="1">
            <x v="198"/>
          </reference>
        </references>
      </pivotArea>
    </format>
    <format dxfId="1282">
      <pivotArea dataOnly="0" labelOnly="1" fieldPosition="0">
        <references count="2">
          <reference field="0" count="1" selected="0">
            <x v="95"/>
          </reference>
          <reference field="1" count="1">
            <x v="157"/>
          </reference>
        </references>
      </pivotArea>
    </format>
    <format dxfId="1281">
      <pivotArea dataOnly="0" labelOnly="1" fieldPosition="0">
        <references count="2">
          <reference field="0" count="1" selected="0">
            <x v="139"/>
          </reference>
          <reference field="1" count="1">
            <x v="104"/>
          </reference>
        </references>
      </pivotArea>
    </format>
    <format dxfId="1280">
      <pivotArea dataOnly="0" labelOnly="1" fieldPosition="0">
        <references count="2">
          <reference field="0" count="1" selected="0">
            <x v="60"/>
          </reference>
          <reference field="1" count="1">
            <x v="238"/>
          </reference>
        </references>
      </pivotArea>
    </format>
    <format dxfId="1279">
      <pivotArea dataOnly="0" labelOnly="1" fieldPosition="0">
        <references count="2">
          <reference field="0" count="1" selected="0">
            <x v="39"/>
          </reference>
          <reference field="1" count="1">
            <x v="22"/>
          </reference>
        </references>
      </pivotArea>
    </format>
    <format dxfId="1278">
      <pivotArea dataOnly="0" labelOnly="1" fieldPosition="0">
        <references count="2">
          <reference field="0" count="1" selected="0">
            <x v="16"/>
          </reference>
          <reference field="1" count="1">
            <x v="243"/>
          </reference>
        </references>
      </pivotArea>
    </format>
    <format dxfId="1277">
      <pivotArea dataOnly="0" labelOnly="1" fieldPosition="0">
        <references count="2">
          <reference field="0" count="1" selected="0">
            <x v="181"/>
          </reference>
          <reference field="1" count="1">
            <x v="118"/>
          </reference>
        </references>
      </pivotArea>
    </format>
    <format dxfId="1276">
      <pivotArea dataOnly="0" labelOnly="1" fieldPosition="0">
        <references count="2">
          <reference field="0" count="1" selected="0">
            <x v="196"/>
          </reference>
          <reference field="1" count="1">
            <x v="125"/>
          </reference>
        </references>
      </pivotArea>
    </format>
    <format dxfId="1275">
      <pivotArea dataOnly="0" labelOnly="1" fieldPosition="0">
        <references count="2">
          <reference field="0" count="1" selected="0">
            <x v="145"/>
          </reference>
          <reference field="1" count="1">
            <x v="254"/>
          </reference>
        </references>
      </pivotArea>
    </format>
    <format dxfId="1274">
      <pivotArea dataOnly="0" labelOnly="1" fieldPosition="0">
        <references count="2">
          <reference field="0" count="1" selected="0">
            <x v="208"/>
          </reference>
          <reference field="1" count="1">
            <x v="132"/>
          </reference>
        </references>
      </pivotArea>
    </format>
    <format dxfId="1273">
      <pivotArea dataOnly="0" labelOnly="1" fieldPosition="0">
        <references count="2">
          <reference field="0" count="1" selected="0">
            <x v="237"/>
          </reference>
          <reference field="1" count="1">
            <x v="164"/>
          </reference>
        </references>
      </pivotArea>
    </format>
    <format dxfId="1272">
      <pivotArea dataOnly="0" labelOnly="1" fieldPosition="0">
        <references count="2">
          <reference field="0" count="1" selected="0">
            <x v="111"/>
          </reference>
          <reference field="1" count="1">
            <x v="14"/>
          </reference>
        </references>
      </pivotArea>
    </format>
    <format dxfId="1271">
      <pivotArea dataOnly="0" labelOnly="1" fieldPosition="0">
        <references count="2">
          <reference field="0" count="1" selected="0">
            <x v="129"/>
          </reference>
          <reference field="1" count="1">
            <x v="213"/>
          </reference>
        </references>
      </pivotArea>
    </format>
    <format dxfId="1270">
      <pivotArea dataOnly="0" labelOnly="1" fieldPosition="0">
        <references count="2">
          <reference field="0" count="1" selected="0">
            <x v="223"/>
          </reference>
          <reference field="1" count="1">
            <x v="103"/>
          </reference>
        </references>
      </pivotArea>
    </format>
    <format dxfId="1269">
      <pivotArea dataOnly="0" labelOnly="1" fieldPosition="0">
        <references count="2">
          <reference field="0" count="1" selected="0">
            <x v="166"/>
          </reference>
          <reference field="1" count="1">
            <x v="137"/>
          </reference>
        </references>
      </pivotArea>
    </format>
    <format dxfId="1268">
      <pivotArea dataOnly="0" labelOnly="1" fieldPosition="0">
        <references count="2">
          <reference field="0" count="1" selected="0">
            <x v="101"/>
          </reference>
          <reference field="1" count="1">
            <x v="169"/>
          </reference>
        </references>
      </pivotArea>
    </format>
    <format dxfId="1267">
      <pivotArea dataOnly="0" labelOnly="1" fieldPosition="0">
        <references count="2">
          <reference field="0" count="1" selected="0">
            <x v="238"/>
          </reference>
          <reference field="1" count="1">
            <x v="83"/>
          </reference>
        </references>
      </pivotArea>
    </format>
    <format dxfId="1266">
      <pivotArea dataOnly="0" labelOnly="1" fieldPosition="0">
        <references count="2">
          <reference field="0" count="1" selected="0">
            <x v="68"/>
          </reference>
          <reference field="1" count="1">
            <x v="51"/>
          </reference>
        </references>
      </pivotArea>
    </format>
    <format dxfId="1265">
      <pivotArea dataOnly="0" labelOnly="1" fieldPosition="0">
        <references count="2">
          <reference field="0" count="1" selected="0">
            <x v="122"/>
          </reference>
          <reference field="1" count="1">
            <x v="255"/>
          </reference>
        </references>
      </pivotArea>
    </format>
    <format dxfId="1264">
      <pivotArea dataOnly="0" labelOnly="1" fieldPosition="0">
        <references count="2">
          <reference field="0" count="1" selected="0">
            <x v="225"/>
          </reference>
          <reference field="1" count="1">
            <x v="69"/>
          </reference>
        </references>
      </pivotArea>
    </format>
    <format dxfId="1263">
      <pivotArea dataOnly="0" labelOnly="1" fieldPosition="0">
        <references count="2">
          <reference field="0" count="1" selected="0">
            <x v="242"/>
          </reference>
          <reference field="1" count="1">
            <x v="185"/>
          </reference>
        </references>
      </pivotArea>
    </format>
    <format dxfId="1262">
      <pivotArea dataOnly="0" labelOnly="1" fieldPosition="0">
        <references count="2">
          <reference field="0" count="1" selected="0">
            <x v="97"/>
          </reference>
          <reference field="1" count="1">
            <x v="250"/>
          </reference>
        </references>
      </pivotArea>
    </format>
    <format dxfId="1261">
      <pivotArea dataOnly="0" labelOnly="1" fieldPosition="0">
        <references count="2">
          <reference field="0" count="1" selected="0">
            <x v="30"/>
          </reference>
          <reference field="1" count="1">
            <x v="211"/>
          </reference>
        </references>
      </pivotArea>
    </format>
    <format dxfId="1260">
      <pivotArea dataOnly="0" labelOnly="1" fieldPosition="0">
        <references count="2">
          <reference field="0" count="1" selected="0">
            <x v="59"/>
          </reference>
          <reference field="1" count="1">
            <x v="240"/>
          </reference>
        </references>
      </pivotArea>
    </format>
    <format dxfId="1259">
      <pivotArea dataOnly="0" labelOnly="1" fieldPosition="0">
        <references count="2">
          <reference field="0" count="1" selected="0">
            <x v="248"/>
          </reference>
          <reference field="1" count="1">
            <x v="234"/>
          </reference>
        </references>
      </pivotArea>
    </format>
    <format dxfId="1258">
      <pivotArea dataOnly="0" labelOnly="1" fieldPosition="0">
        <references count="2">
          <reference field="0" count="1" selected="0">
            <x v="185"/>
          </reference>
          <reference field="1" count="1">
            <x v="114"/>
          </reference>
        </references>
      </pivotArea>
    </format>
    <format dxfId="1257">
      <pivotArea dataOnly="0" labelOnly="1" fieldPosition="0">
        <references count="2">
          <reference field="0" count="1" selected="0">
            <x v="112"/>
          </reference>
          <reference field="1" count="1">
            <x v="158"/>
          </reference>
        </references>
      </pivotArea>
    </format>
    <format dxfId="1256">
      <pivotArea dataOnly="0" labelOnly="1" fieldPosition="0">
        <references count="2">
          <reference field="0" count="1" selected="0">
            <x v="190"/>
          </reference>
          <reference field="1" count="1">
            <x v="120"/>
          </reference>
        </references>
      </pivotArea>
    </format>
    <format dxfId="1255">
      <pivotArea dataOnly="0" labelOnly="1" fieldPosition="0">
        <references count="2">
          <reference field="0" count="1" selected="0">
            <x v="236"/>
          </reference>
          <reference field="1" count="1">
            <x v="146"/>
          </reference>
        </references>
      </pivotArea>
    </format>
    <format dxfId="1254">
      <pivotArea dataOnly="0" labelOnly="1" fieldPosition="0">
        <references count="2">
          <reference field="0" count="1" selected="0">
            <x v="243"/>
          </reference>
          <reference field="1" count="1">
            <x v="75"/>
          </reference>
        </references>
      </pivotArea>
    </format>
    <format dxfId="1253">
      <pivotArea dataOnly="0" labelOnly="1" fieldPosition="0">
        <references count="2">
          <reference field="0" count="1" selected="0">
            <x v="160"/>
          </reference>
          <reference field="1" count="1">
            <x v="130"/>
          </reference>
        </references>
      </pivotArea>
    </format>
    <format dxfId="1252">
      <pivotArea dataOnly="0" labelOnly="1" fieldPosition="0">
        <references count="2">
          <reference field="0" count="1" selected="0">
            <x v="113"/>
          </reference>
          <reference field="1" count="1">
            <x v="31"/>
          </reference>
        </references>
      </pivotArea>
    </format>
    <format dxfId="1251">
      <pivotArea dataOnly="0" labelOnly="1" fieldPosition="0">
        <references count="2">
          <reference field="0" count="1" selected="0">
            <x v="162"/>
          </reference>
          <reference field="1" count="1">
            <x v="35"/>
          </reference>
        </references>
      </pivotArea>
    </format>
    <format dxfId="1250">
      <pivotArea dataOnly="0" labelOnly="1" fieldPosition="0">
        <references count="2">
          <reference field="0" count="1" selected="0">
            <x v="209"/>
          </reference>
          <reference field="1" count="1">
            <x v="128"/>
          </reference>
        </references>
      </pivotArea>
    </format>
    <format dxfId="1249">
      <pivotArea dataOnly="0" labelOnly="1" fieldPosition="0">
        <references count="2">
          <reference field="0" count="1" selected="0">
            <x v="215"/>
          </reference>
          <reference field="1" count="1">
            <x v="184"/>
          </reference>
        </references>
      </pivotArea>
    </format>
    <format dxfId="1248">
      <pivotArea dataOnly="0" labelOnly="1" fieldPosition="0">
        <references count="2">
          <reference field="0" count="1" selected="0">
            <x v="227"/>
          </reference>
          <reference field="1" count="1">
            <x v="143"/>
          </reference>
        </references>
      </pivotArea>
    </format>
    <format dxfId="1247">
      <pivotArea dataOnly="0" labelOnly="1" fieldPosition="0">
        <references count="2">
          <reference field="0" count="1" selected="0">
            <x v="63"/>
          </reference>
          <reference field="1" count="1">
            <x v="231"/>
          </reference>
        </references>
      </pivotArea>
    </format>
    <format dxfId="1246">
      <pivotArea dataOnly="0" labelOnly="1" fieldPosition="0">
        <references count="2">
          <reference field="0" count="1" selected="0">
            <x v="72"/>
          </reference>
          <reference field="1" count="1">
            <x v="206"/>
          </reference>
        </references>
      </pivotArea>
    </format>
    <format dxfId="1245">
      <pivotArea dataOnly="0" labelOnly="1" fieldPosition="0">
        <references count="2">
          <reference field="0" count="1" selected="0">
            <x v="13"/>
          </reference>
          <reference field="1" count="1">
            <x v="107"/>
          </reference>
        </references>
      </pivotArea>
    </format>
    <format dxfId="1244">
      <pivotArea dataOnly="0" labelOnly="1" fieldPosition="0">
        <references count="2">
          <reference field="0" count="1" selected="0">
            <x v="253"/>
          </reference>
          <reference field="1" count="1">
            <x v="40"/>
          </reference>
        </references>
      </pivotArea>
    </format>
    <format dxfId="1243">
      <pivotArea dataOnly="0" labelOnly="1" fieldPosition="0">
        <references count="2">
          <reference field="0" count="1" selected="0">
            <x v="147"/>
          </reference>
          <reference field="1" count="1">
            <x v="188"/>
          </reference>
        </references>
      </pivotArea>
    </format>
    <format dxfId="1242">
      <pivotArea dataOnly="0" labelOnly="1" fieldPosition="0">
        <references count="2">
          <reference field="0" count="1" selected="0">
            <x v="29"/>
          </reference>
          <reference field="1" count="1">
            <x v="153"/>
          </reference>
        </references>
      </pivotArea>
    </format>
    <format dxfId="1241">
      <pivotArea dataOnly="0" labelOnly="1" fieldPosition="0">
        <references count="2">
          <reference field="0" count="1" selected="0">
            <x v="140"/>
          </reference>
          <reference field="1" count="1">
            <x v="195"/>
          </reference>
        </references>
      </pivotArea>
    </format>
    <format dxfId="1240">
      <pivotArea dataOnly="0" labelOnly="1" fieldPosition="0">
        <references count="2">
          <reference field="0" count="1" selected="0">
            <x v="78"/>
          </reference>
          <reference field="1" count="1">
            <x v="18"/>
          </reference>
        </references>
      </pivotArea>
    </format>
    <format dxfId="1239">
      <pivotArea dataOnly="0" labelOnly="1" fieldPosition="0">
        <references count="2">
          <reference field="0" count="1" selected="0">
            <x v="53"/>
          </reference>
          <reference field="1" count="1">
            <x v="45"/>
          </reference>
        </references>
      </pivotArea>
    </format>
    <format dxfId="1238">
      <pivotArea dataOnly="0" labelOnly="1" fieldPosition="0">
        <references count="2">
          <reference field="0" count="1" selected="0">
            <x v="91"/>
          </reference>
          <reference field="1" count="1">
            <x v="59"/>
          </reference>
        </references>
      </pivotArea>
    </format>
    <format dxfId="1237">
      <pivotArea dataOnly="0" labelOnly="1" fieldPosition="0">
        <references count="2">
          <reference field="0" count="1" selected="0">
            <x v="173"/>
          </reference>
          <reference field="1" count="1">
            <x v="119"/>
          </reference>
        </references>
      </pivotArea>
    </format>
    <format dxfId="1236">
      <pivotArea dataOnly="0" labelOnly="1" fieldPosition="0">
        <references count="2">
          <reference field="0" count="1" selected="0">
            <x v="89"/>
          </reference>
          <reference field="1" count="1">
            <x v="57"/>
          </reference>
        </references>
      </pivotArea>
    </format>
    <format dxfId="1235">
      <pivotArea dataOnly="0" labelOnly="1" fieldPosition="0">
        <references count="2">
          <reference field="0" count="1" selected="0">
            <x v="239"/>
          </reference>
          <reference field="1" count="1">
            <x v="72"/>
          </reference>
        </references>
      </pivotArea>
    </format>
    <format dxfId="1234">
      <pivotArea dataOnly="0" labelOnly="1" fieldPosition="0">
        <references count="2">
          <reference field="0" count="1" selected="0">
            <x v="83"/>
          </reference>
          <reference field="1" count="1">
            <x v="251"/>
          </reference>
        </references>
      </pivotArea>
    </format>
    <format dxfId="1233">
      <pivotArea dataOnly="0" labelOnly="1" fieldPosition="0">
        <references count="2">
          <reference field="0" count="1" selected="0">
            <x v="152"/>
          </reference>
          <reference field="1" count="1">
            <x v="150"/>
          </reference>
        </references>
      </pivotArea>
    </format>
    <format dxfId="1232">
      <pivotArea dataOnly="0" labelOnly="1" fieldPosition="0">
        <references count="2">
          <reference field="0" count="1" selected="0">
            <x v="12"/>
          </reference>
          <reference field="1" count="1">
            <x v="154"/>
          </reference>
        </references>
      </pivotArea>
    </format>
    <format dxfId="1231">
      <pivotArea dataOnly="0" labelOnly="1" fieldPosition="0">
        <references count="2">
          <reference field="0" count="1" selected="0">
            <x v="85"/>
          </reference>
          <reference field="1" count="1">
            <x v="182"/>
          </reference>
        </references>
      </pivotArea>
    </format>
    <format dxfId="1230">
      <pivotArea dataOnly="0" labelOnly="1" fieldPosition="0">
        <references count="2">
          <reference field="0" count="1" selected="0">
            <x v="75"/>
          </reference>
          <reference field="1" count="1">
            <x v="191"/>
          </reference>
        </references>
      </pivotArea>
    </format>
    <format dxfId="1229">
      <pivotArea dataOnly="0" labelOnly="1" fieldPosition="0">
        <references count="2">
          <reference field="0" count="1" selected="0">
            <x v="102"/>
          </reference>
          <reference field="1" count="1">
            <x v="6"/>
          </reference>
        </references>
      </pivotArea>
    </format>
    <format dxfId="1228">
      <pivotArea dataOnly="0" labelOnly="1" fieldPosition="0">
        <references count="2">
          <reference field="0" count="1" selected="0">
            <x v="38"/>
          </reference>
          <reference field="1" count="1">
            <x v="256"/>
          </reference>
        </references>
      </pivotArea>
    </format>
    <format dxfId="1227">
      <pivotArea dataOnly="0" labelOnly="1" fieldPosition="0">
        <references count="2">
          <reference field="0" count="1" selected="0">
            <x v="118"/>
          </reference>
          <reference field="1" count="1">
            <x v="93"/>
          </reference>
        </references>
      </pivotArea>
    </format>
    <format dxfId="1226">
      <pivotArea dataOnly="0" labelOnly="1" fieldPosition="0">
        <references count="2">
          <reference field="0" count="1" selected="0">
            <x v="99"/>
          </reference>
          <reference field="1" count="1">
            <x v="29"/>
          </reference>
        </references>
      </pivotArea>
    </format>
    <format dxfId="1225">
      <pivotArea dataOnly="0" labelOnly="1" fieldPosition="0">
        <references count="2">
          <reference field="0" count="1" selected="0">
            <x v="15"/>
          </reference>
          <reference field="1" count="1">
            <x v="147"/>
          </reference>
        </references>
      </pivotArea>
    </format>
    <format dxfId="1224">
      <pivotArea dataOnly="0" labelOnly="1" fieldPosition="0">
        <references count="2">
          <reference field="0" count="1" selected="0">
            <x v="65"/>
          </reference>
          <reference field="1" count="1">
            <x v="222"/>
          </reference>
        </references>
      </pivotArea>
    </format>
    <format dxfId="1223">
      <pivotArea dataOnly="0" labelOnly="1" fieldPosition="0">
        <references count="2">
          <reference field="0" count="1" selected="0">
            <x v="103"/>
          </reference>
          <reference field="1" count="1">
            <x v="8"/>
          </reference>
        </references>
      </pivotArea>
    </format>
    <format dxfId="1222">
      <pivotArea dataOnly="0" labelOnly="1" fieldPosition="0">
        <references count="2">
          <reference field="0" count="1" selected="0">
            <x v="234"/>
          </reference>
          <reference field="1" count="1">
            <x v="190"/>
          </reference>
        </references>
      </pivotArea>
    </format>
    <format dxfId="1221">
      <pivotArea dataOnly="0" labelOnly="1" fieldPosition="0">
        <references count="2">
          <reference field="0" count="1" selected="0">
            <x v="154"/>
          </reference>
          <reference field="1" count="1">
            <x v="1"/>
          </reference>
        </references>
      </pivotArea>
    </format>
    <format dxfId="1220">
      <pivotArea dataOnly="0" labelOnly="1" fieldPosition="0">
        <references count="2">
          <reference field="0" count="1" selected="0">
            <x v="187"/>
          </reference>
          <reference field="1" count="1">
            <x v="116"/>
          </reference>
        </references>
      </pivotArea>
    </format>
    <format dxfId="1219">
      <pivotArea dataOnly="0" labelOnly="1" fieldPosition="0">
        <references count="2">
          <reference field="0" count="1" selected="0">
            <x v="161"/>
          </reference>
          <reference field="1" count="1">
            <x v="121"/>
          </reference>
        </references>
      </pivotArea>
    </format>
    <format dxfId="1218">
      <pivotArea dataOnly="0" labelOnly="1" fieldPosition="0">
        <references count="2">
          <reference field="0" count="1" selected="0">
            <x v="67"/>
          </reference>
          <reference field="1" count="1">
            <x v="53"/>
          </reference>
        </references>
      </pivotArea>
    </format>
    <format dxfId="1217">
      <pivotArea dataOnly="0" labelOnly="1" fieldPosition="0">
        <references count="2">
          <reference field="0" count="1" selected="0">
            <x v="235"/>
          </reference>
          <reference field="1" count="1">
            <x v="193"/>
          </reference>
        </references>
      </pivotArea>
    </format>
    <format dxfId="1216">
      <pivotArea dataOnly="0" labelOnly="1" fieldPosition="0">
        <references count="2">
          <reference field="0" count="1" selected="0">
            <x v="229"/>
          </reference>
          <reference field="1" count="1">
            <x v="248"/>
          </reference>
        </references>
      </pivotArea>
    </format>
    <format dxfId="1215">
      <pivotArea dataOnly="0" labelOnly="1" fieldPosition="0">
        <references count="2">
          <reference field="0" count="1" selected="0">
            <x v="121"/>
          </reference>
          <reference field="1" count="1">
            <x v="209"/>
          </reference>
        </references>
      </pivotArea>
    </format>
    <format dxfId="1214">
      <pivotArea dataOnly="0" labelOnly="1" fieldPosition="0">
        <references count="2">
          <reference field="0" count="1" selected="0">
            <x v="98"/>
          </reference>
          <reference field="1" count="1">
            <x v="181"/>
          </reference>
        </references>
      </pivotArea>
    </format>
    <format dxfId="1213">
      <pivotArea dataOnly="0" labelOnly="1" fieldPosition="0">
        <references count="2">
          <reference field="0" count="1" selected="0">
            <x v="93"/>
          </reference>
          <reference field="1" count="1">
            <x v="152"/>
          </reference>
        </references>
      </pivotArea>
    </format>
    <format dxfId="1212">
      <pivotArea dataOnly="0" labelOnly="1" fieldPosition="0">
        <references count="2">
          <reference field="0" count="1" selected="0">
            <x v="158"/>
          </reference>
          <reference field="1" count="1">
            <x v="2"/>
          </reference>
        </references>
      </pivotArea>
    </format>
    <format dxfId="1211">
      <pivotArea dataOnly="0" labelOnly="1" fieldPosition="0">
        <references count="2">
          <reference field="0" count="1" selected="0">
            <x v="49"/>
          </reference>
          <reference field="1" count="1">
            <x v="49"/>
          </reference>
        </references>
      </pivotArea>
    </format>
    <format dxfId="1210">
      <pivotArea dataOnly="0" labelOnly="1" fieldPosition="0">
        <references count="2">
          <reference field="0" count="1" selected="0">
            <x v="105"/>
          </reference>
          <reference field="1" count="1">
            <x v="224"/>
          </reference>
        </references>
      </pivotArea>
    </format>
    <format dxfId="1209">
      <pivotArea dataOnly="0" labelOnly="1" fieldPosition="0">
        <references count="2">
          <reference field="0" count="1" selected="0">
            <x v="254"/>
          </reference>
          <reference field="1" count="1">
            <x v="79"/>
          </reference>
        </references>
      </pivotArea>
    </format>
    <format dxfId="1208">
      <pivotArea dataOnly="0" labelOnly="1" fieldPosition="0">
        <references count="2">
          <reference field="0" count="1" selected="0">
            <x v="257"/>
          </reference>
          <reference field="1" count="1">
            <x v="74"/>
          </reference>
        </references>
      </pivotArea>
    </format>
    <format dxfId="1207">
      <pivotArea dataOnly="0" labelOnly="1" fieldPosition="0">
        <references count="2">
          <reference field="0" count="1" selected="0">
            <x v="120"/>
          </reference>
          <reference field="1" count="1">
            <x v="218"/>
          </reference>
        </references>
      </pivotArea>
    </format>
    <format dxfId="1206">
      <pivotArea dataOnly="0" labelOnly="1" fieldPosition="0">
        <references count="2">
          <reference field="0" count="1" selected="0">
            <x v="164"/>
          </reference>
          <reference field="1" count="1">
            <x v="129"/>
          </reference>
        </references>
      </pivotArea>
    </format>
    <format dxfId="1205">
      <pivotArea dataOnly="0" labelOnly="1" fieldPosition="0">
        <references count="2">
          <reference field="0" count="1" selected="0">
            <x v="62"/>
          </reference>
          <reference field="1" count="1">
            <x v="197"/>
          </reference>
        </references>
      </pivotArea>
    </format>
    <format dxfId="1204">
      <pivotArea dataOnly="0" labelOnly="1" fieldPosition="0">
        <references count="2">
          <reference field="0" count="1" selected="0">
            <x v="142"/>
          </reference>
          <reference field="1" count="1">
            <x v="39"/>
          </reference>
        </references>
      </pivotArea>
    </format>
    <format dxfId="1203">
      <pivotArea dataOnly="0" labelOnly="1" fieldPosition="0">
        <references count="2">
          <reference field="0" count="1" selected="0">
            <x v="194"/>
          </reference>
          <reference field="1" count="1">
            <x v="156"/>
          </reference>
        </references>
      </pivotArea>
    </format>
    <format dxfId="1202">
      <pivotArea dataOnly="0" labelOnly="1" fieldPosition="0">
        <references count="2">
          <reference field="0" count="1" selected="0">
            <x v="100"/>
          </reference>
          <reference field="1" count="1">
            <x v="9"/>
          </reference>
        </references>
      </pivotArea>
    </format>
    <format dxfId="1201">
      <pivotArea dataOnly="0" labelOnly="1" fieldPosition="0">
        <references count="2">
          <reference field="0" count="1" selected="0">
            <x v="64"/>
          </reference>
          <reference field="1" count="1">
            <x v="55"/>
          </reference>
        </references>
      </pivotArea>
    </format>
    <format dxfId="1200">
      <pivotArea dataOnly="0" labelOnly="1" fieldPosition="0">
        <references count="2">
          <reference field="0" count="1" selected="0">
            <x v="96"/>
          </reference>
          <reference field="1" count="1">
            <x v="246"/>
          </reference>
        </references>
      </pivotArea>
    </format>
    <format dxfId="1199">
      <pivotArea dataOnly="0" labelOnly="1" fieldPosition="0">
        <references count="2">
          <reference field="0" count="1" selected="0">
            <x v="138"/>
          </reference>
          <reference field="1" count="1">
            <x v="97"/>
          </reference>
        </references>
      </pivotArea>
    </format>
    <format dxfId="1198">
      <pivotArea dataOnly="0" labelOnly="1" fieldPosition="0">
        <references count="2">
          <reference field="0" count="1" selected="0">
            <x v="23"/>
          </reference>
          <reference field="1" count="1">
            <x v="229"/>
          </reference>
        </references>
      </pivotArea>
    </format>
    <format dxfId="1197">
      <pivotArea dataOnly="0" labelOnly="1" fieldPosition="0">
        <references count="2">
          <reference field="0" count="1" selected="0">
            <x v="36"/>
          </reference>
          <reference field="1" count="1">
            <x v="89"/>
          </reference>
        </references>
      </pivotArea>
    </format>
    <format dxfId="1196">
      <pivotArea dataOnly="0" labelOnly="1" fieldPosition="0">
        <references count="2">
          <reference field="0" count="1" selected="0">
            <x v="107"/>
          </reference>
          <reference field="1" count="1">
            <x v="41"/>
          </reference>
        </references>
      </pivotArea>
    </format>
    <format dxfId="1195">
      <pivotArea dataOnly="0" labelOnly="1" fieldPosition="0">
        <references count="2">
          <reference field="0" count="1" selected="0">
            <x v="159"/>
          </reference>
          <reference field="1" count="1">
            <x v="136"/>
          </reference>
        </references>
      </pivotArea>
    </format>
    <format dxfId="1194">
      <pivotArea dataOnly="0" labelOnly="1" fieldPosition="0">
        <references count="2">
          <reference field="0" count="1" selected="0">
            <x v="127"/>
          </reference>
          <reference field="1" count="1">
            <x v="187"/>
          </reference>
        </references>
      </pivotArea>
    </format>
    <format dxfId="1193">
      <pivotArea dataOnly="0" labelOnly="1" fieldPosition="0">
        <references count="2">
          <reference field="0" count="1" selected="0">
            <x v="197"/>
          </reference>
          <reference field="1" count="1">
            <x v="135"/>
          </reference>
        </references>
      </pivotArea>
    </format>
    <format dxfId="1192">
      <pivotArea dataOnly="0" labelOnly="1" fieldPosition="0">
        <references count="2">
          <reference field="0" count="1" selected="0">
            <x v="50"/>
          </reference>
          <reference field="1" count="1">
            <x v="230"/>
          </reference>
        </references>
      </pivotArea>
    </format>
    <format dxfId="1191">
      <pivotArea dataOnly="0" labelOnly="1" fieldPosition="0">
        <references count="2">
          <reference field="0" count="1" selected="0">
            <x v="119"/>
          </reference>
          <reference field="1" count="1">
            <x v="52"/>
          </reference>
        </references>
      </pivotArea>
    </format>
    <format dxfId="1190">
      <pivotArea dataOnly="0" labelOnly="1" fieldPosition="0">
        <references count="2">
          <reference field="0" count="1" selected="0">
            <x v="104"/>
          </reference>
          <reference field="1" count="1">
            <x v="7"/>
          </reference>
        </references>
      </pivotArea>
    </format>
    <format dxfId="1189">
      <pivotArea dataOnly="0" labelOnly="1" fieldPosition="0">
        <references count="2">
          <reference field="0" count="1" selected="0">
            <x v="198"/>
          </reference>
          <reference field="1" count="1">
            <x v="24"/>
          </reference>
        </references>
      </pivotArea>
    </format>
    <format dxfId="1188">
      <pivotArea dataOnly="0" labelOnly="1" fieldPosition="0">
        <references count="2">
          <reference field="0" count="1" selected="0">
            <x v="24"/>
          </reference>
          <reference field="1" count="1">
            <x v="37"/>
          </reference>
        </references>
      </pivotArea>
    </format>
    <format dxfId="1187">
      <pivotArea dataOnly="0" labelOnly="1" fieldPosition="0">
        <references count="2">
          <reference field="0" count="1" selected="0">
            <x v="228"/>
          </reference>
          <reference field="1" count="1">
            <x v="212"/>
          </reference>
        </references>
      </pivotArea>
    </format>
    <format dxfId="1186">
      <pivotArea dataOnly="0" labelOnly="1" fieldPosition="0">
        <references count="2">
          <reference field="0" count="1" selected="0">
            <x v="126"/>
          </reference>
          <reference field="1" count="1">
            <x v="26"/>
          </reference>
        </references>
      </pivotArea>
    </format>
    <format dxfId="1185">
      <pivotArea dataOnly="0" labelOnly="1" fieldPosition="0">
        <references count="2">
          <reference field="0" count="1" selected="0">
            <x v="17"/>
          </reference>
          <reference field="1" count="1">
            <x v="94"/>
          </reference>
        </references>
      </pivotArea>
    </format>
    <format dxfId="1184">
      <pivotArea dataOnly="0" labelOnly="1" fieldPosition="0">
        <references count="2">
          <reference field="0" count="1" selected="0">
            <x v="76"/>
          </reference>
          <reference field="1" count="1">
            <x v="225"/>
          </reference>
        </references>
      </pivotArea>
    </format>
    <format dxfId="1183">
      <pivotArea dataOnly="0" labelOnly="1" fieldPosition="0">
        <references count="2">
          <reference field="0" count="1" selected="0">
            <x v="186"/>
          </reference>
          <reference field="1" count="1">
            <x v="115"/>
          </reference>
        </references>
      </pivotArea>
    </format>
    <format dxfId="1182">
      <pivotArea dataOnly="0" labelOnly="1" fieldPosition="0">
        <references count="2">
          <reference field="0" count="1" selected="0">
            <x v="92"/>
          </reference>
          <reference field="1" count="1">
            <x v="221"/>
          </reference>
        </references>
      </pivotArea>
    </format>
    <format dxfId="1181">
      <pivotArea dataOnly="0" labelOnly="1" fieldPosition="0">
        <references count="2">
          <reference field="0" count="1" selected="0">
            <x v="217"/>
          </reference>
          <reference field="1" count="1">
            <x v="247"/>
          </reference>
        </references>
      </pivotArea>
    </format>
    <format dxfId="1180">
      <pivotArea dataOnly="0" labelOnly="1" fieldPosition="0">
        <references count="2">
          <reference field="0" count="1" selected="0">
            <x v="256"/>
          </reference>
          <reference field="1" count="1">
            <x v="249"/>
          </reference>
        </references>
      </pivotArea>
    </format>
    <format dxfId="1179">
      <pivotArea dataOnly="0" labelOnly="1" fieldPosition="0">
        <references count="2">
          <reference field="0" count="1" selected="0">
            <x v="132"/>
          </reference>
          <reference field="1" count="1">
            <x v="102"/>
          </reference>
        </references>
      </pivotArea>
    </format>
    <format dxfId="1178">
      <pivotArea dataOnly="0" labelOnly="1" fieldPosition="0">
        <references count="2">
          <reference field="0" count="1" selected="0">
            <x v="230"/>
          </reference>
          <reference field="1" count="1">
            <x v="161"/>
          </reference>
        </references>
      </pivotArea>
    </format>
    <format dxfId="1177">
      <pivotArea dataOnly="0" labelOnly="1" fieldPosition="0">
        <references count="2">
          <reference field="0" count="1" selected="0">
            <x v="116"/>
          </reference>
          <reference field="1" count="1">
            <x v="91"/>
          </reference>
        </references>
      </pivotArea>
    </format>
    <format dxfId="1176">
      <pivotArea dataOnly="0" labelOnly="1" fieldPosition="0">
        <references count="2">
          <reference field="0" count="1" selected="0">
            <x v="58"/>
          </reference>
          <reference field="1" count="1">
            <x v="239"/>
          </reference>
        </references>
      </pivotArea>
    </format>
    <format dxfId="1175">
      <pivotArea dataOnly="0" labelOnly="1" fieldPosition="0">
        <references count="2">
          <reference field="0" count="1" selected="0">
            <x v="51"/>
          </reference>
          <reference field="1" count="1">
            <x v="228"/>
          </reference>
        </references>
      </pivotArea>
    </format>
    <format dxfId="1174">
      <pivotArea dataOnly="0" labelOnly="1" fieldPosition="0">
        <references count="2">
          <reference field="0" count="1" selected="0">
            <x v="218"/>
          </reference>
          <reference field="1" count="1">
            <x v="86"/>
          </reference>
        </references>
      </pivotArea>
    </format>
    <format dxfId="1173">
      <pivotArea dataOnly="0" labelOnly="1" fieldPosition="0">
        <references count="2">
          <reference field="0" count="1" selected="0">
            <x v="56"/>
          </reference>
          <reference field="1" count="1">
            <x v="241"/>
          </reference>
        </references>
      </pivotArea>
    </format>
    <format dxfId="1172">
      <pivotArea dataOnly="0" labelOnly="1" fieldPosition="0">
        <references count="2">
          <reference field="0" count="1" selected="0">
            <x v="94"/>
          </reference>
          <reference field="1" count="1">
            <x v="227"/>
          </reference>
        </references>
      </pivotArea>
    </format>
    <format dxfId="1171">
      <pivotArea dataOnly="0" labelOnly="1" fieldPosition="0">
        <references count="2">
          <reference field="0" count="1" selected="0">
            <x v="211"/>
          </reference>
          <reference field="1" count="1">
            <x v="68"/>
          </reference>
        </references>
      </pivotArea>
    </format>
    <format dxfId="1170">
      <pivotArea dataOnly="0" labelOnly="1" fieldPosition="0">
        <references count="2">
          <reference field="0" count="1" selected="0">
            <x v="207"/>
          </reference>
          <reference field="1" count="1">
            <x v="134"/>
          </reference>
        </references>
      </pivotArea>
    </format>
    <format dxfId="1169">
      <pivotArea dataOnly="0" labelOnly="1" fieldPosition="0">
        <references count="2">
          <reference field="0" count="1" selected="0">
            <x v="44"/>
          </reference>
          <reference field="1" count="1">
            <x v="199"/>
          </reference>
        </references>
      </pivotArea>
    </format>
    <format dxfId="1168">
      <pivotArea dataOnly="0" labelOnly="1" fieldPosition="0">
        <references count="2">
          <reference field="0" count="1" selected="0">
            <x v="222"/>
          </reference>
          <reference field="1" count="1">
            <x v="180"/>
          </reference>
        </references>
      </pivotArea>
    </format>
    <format dxfId="1167">
      <pivotArea dataOnly="0" labelOnly="1" fieldPosition="0">
        <references count="2">
          <reference field="0" count="1" selected="0">
            <x v="70"/>
          </reference>
          <reference field="1" count="1">
            <x v="151"/>
          </reference>
        </references>
      </pivotArea>
    </format>
    <format dxfId="1166">
      <pivotArea dataOnly="0" labelOnly="1" fieldPosition="0">
        <references count="2">
          <reference field="0" count="1" selected="0">
            <x v="34"/>
          </reference>
          <reference field="1" count="1">
            <x v="17"/>
          </reference>
        </references>
      </pivotArea>
    </format>
    <format dxfId="1165">
      <pivotArea dataOnly="0" labelOnly="1" fieldPosition="0">
        <references count="2">
          <reference field="0" count="1" selected="0">
            <x v="81"/>
          </reference>
          <reference field="1" count="1">
            <x v="63"/>
          </reference>
        </references>
      </pivotArea>
    </format>
    <format dxfId="1164">
      <pivotArea dataOnly="0" labelOnly="1" fieldPosition="0">
        <references count="2">
          <reference field="0" count="1" selected="0">
            <x v="45"/>
          </reference>
          <reference field="1" count="1">
            <x v="48"/>
          </reference>
        </references>
      </pivotArea>
    </format>
    <format dxfId="1163">
      <pivotArea dataOnly="0" labelOnly="1" fieldPosition="0">
        <references count="2">
          <reference field="0" count="1" selected="0">
            <x v="175"/>
          </reference>
          <reference field="1" count="1">
            <x v="124"/>
          </reference>
        </references>
      </pivotArea>
    </format>
    <format dxfId="1162">
      <pivotArea dataOnly="0" labelOnly="1" fieldPosition="0">
        <references count="2">
          <reference field="0" count="1" selected="0">
            <x v="69"/>
          </reference>
          <reference field="1" count="1">
            <x v="11"/>
          </reference>
        </references>
      </pivotArea>
    </format>
    <format dxfId="1161">
      <pivotArea dataOnly="0" labelOnly="1" fieldPosition="0">
        <references count="2">
          <reference field="0" count="1" selected="0">
            <x v="21"/>
          </reference>
          <reference field="1" count="1">
            <x v="32"/>
          </reference>
        </references>
      </pivotArea>
    </format>
    <format dxfId="1160">
      <pivotArea dataOnly="0" labelOnly="1" fieldPosition="0">
        <references count="2">
          <reference field="0" count="1" selected="0">
            <x v="114"/>
          </reference>
          <reference field="1" count="1">
            <x v="12"/>
          </reference>
        </references>
      </pivotArea>
    </format>
    <format dxfId="1159">
      <pivotArea dataOnly="0" labelOnly="1" fieldPosition="0">
        <references count="2">
          <reference field="0" count="1" selected="0">
            <x v="84"/>
          </reference>
          <reference field="1" count="1">
            <x v="140"/>
          </reference>
        </references>
      </pivotArea>
    </format>
    <format dxfId="1158">
      <pivotArea dataOnly="0" labelOnly="1" fieldPosition="0">
        <references count="2">
          <reference field="0" count="1" selected="0">
            <x v="110"/>
          </reference>
          <reference field="1" count="1">
            <x v="226"/>
          </reference>
        </references>
      </pivotArea>
    </format>
    <format dxfId="1157">
      <pivotArea dataOnly="0" labelOnly="1" fieldPosition="0">
        <references count="2">
          <reference field="0" count="1" selected="0">
            <x v="106"/>
          </reference>
          <reference field="1" count="1">
            <x v="196"/>
          </reference>
        </references>
      </pivotArea>
    </format>
    <format dxfId="1156">
      <pivotArea dataOnly="0" labelOnly="1" fieldPosition="0">
        <references count="2">
          <reference field="0" count="1" selected="0">
            <x v="77"/>
          </reference>
          <reference field="1" count="1">
            <x v="200"/>
          </reference>
        </references>
      </pivotArea>
    </format>
    <format dxfId="1155">
      <pivotArea dataOnly="0" labelOnly="1" fieldPosition="0">
        <references count="2">
          <reference field="0" count="1" selected="0">
            <x v="117"/>
          </reference>
          <reference field="1" count="1">
            <x v="33"/>
          </reference>
        </references>
      </pivotArea>
    </format>
    <format dxfId="1154">
      <pivotArea dataOnly="0" labelOnly="1" fieldPosition="0">
        <references count="2">
          <reference field="0" count="1" selected="0">
            <x v="124"/>
          </reference>
          <reference field="1" count="1">
            <x v="216"/>
          </reference>
        </references>
      </pivotArea>
    </format>
    <format dxfId="1153">
      <pivotArea dataOnly="0" labelOnly="1" fieldPosition="0">
        <references count="2">
          <reference field="0" count="1" selected="0">
            <x v="80"/>
          </reference>
          <reference field="1" count="1">
            <x v="58"/>
          </reference>
        </references>
      </pivotArea>
    </format>
    <format dxfId="1152">
      <pivotArea dataOnly="0" labelOnly="1" fieldPosition="0">
        <references count="2">
          <reference field="0" count="1" selected="0">
            <x v="172"/>
          </reference>
          <reference field="1" count="1">
            <x v="101"/>
          </reference>
        </references>
      </pivotArea>
    </format>
    <format dxfId="1151">
      <pivotArea dataOnly="0" labelOnly="1" fieldPosition="0">
        <references count="2">
          <reference field="0" count="1" selected="0">
            <x v="157"/>
          </reference>
          <reference field="1" count="1">
            <x v="183"/>
          </reference>
        </references>
      </pivotArea>
    </format>
    <format dxfId="1150">
      <pivotArea dataOnly="0" labelOnly="1" fieldPosition="0">
        <references count="2">
          <reference field="0" count="1" selected="0">
            <x v="109"/>
          </reference>
          <reference field="1" count="1">
            <x v="220"/>
          </reference>
        </references>
      </pivotArea>
    </format>
    <format dxfId="1149">
      <pivotArea dataOnly="0" labelOnly="1" fieldPosition="0">
        <references count="2">
          <reference field="0" count="1" selected="0">
            <x v="32"/>
          </reference>
          <reference field="1" count="1">
            <x v="159"/>
          </reference>
        </references>
      </pivotArea>
    </format>
    <format dxfId="1148">
      <pivotArea dataOnly="0" labelOnly="1" fieldPosition="0">
        <references count="2">
          <reference field="0" count="1" selected="0">
            <x v="40"/>
          </reference>
          <reference field="1" count="1">
            <x v="36"/>
          </reference>
        </references>
      </pivotArea>
    </format>
    <format dxfId="1147">
      <pivotArea dataOnly="0" labelOnly="1" fieldPosition="0">
        <references count="2">
          <reference field="0" count="1" selected="0">
            <x v="54"/>
          </reference>
          <reference field="1" count="1">
            <x v="207"/>
          </reference>
        </references>
      </pivotArea>
    </format>
    <format dxfId="1146">
      <pivotArea dataOnly="0" labelOnly="1" fieldPosition="0">
        <references count="2">
          <reference field="0" count="1" selected="0">
            <x v="108"/>
          </reference>
          <reference field="1" count="1">
            <x v="5"/>
          </reference>
        </references>
      </pivotArea>
    </format>
    <format dxfId="1145">
      <pivotArea dataOnly="0" labelOnly="1" fieldPosition="0">
        <references count="2">
          <reference field="0" count="1" selected="0">
            <x v="200"/>
          </reference>
          <reference field="1" count="1">
            <x v="123"/>
          </reference>
        </references>
      </pivotArea>
    </format>
    <format dxfId="1144">
      <pivotArea dataOnly="0" labelOnly="1" fieldPosition="0">
        <references count="2">
          <reference field="0" count="1" selected="0">
            <x v="156"/>
          </reference>
          <reference field="1" count="1">
            <x v="144"/>
          </reference>
        </references>
      </pivotArea>
    </format>
    <format dxfId="1143">
      <pivotArea dataOnly="0" labelOnly="1" fieldPosition="0">
        <references count="2">
          <reference field="0" count="1" selected="0">
            <x v="74"/>
          </reference>
          <reference field="1" count="1">
            <x v="219"/>
          </reference>
        </references>
      </pivotArea>
    </format>
    <format dxfId="1142">
      <pivotArea dataOnly="0" labelOnly="1" fieldPosition="0">
        <references count="2">
          <reference field="0" count="1" selected="0">
            <x v="27"/>
          </reference>
          <reference field="1" count="1">
            <x v="257"/>
          </reference>
        </references>
      </pivotArea>
    </format>
    <format dxfId="1141">
      <pivotArea dataOnly="0" labelOnly="1" fieldPosition="0">
        <references count="2">
          <reference field="0" count="1" selected="0">
            <x v="43"/>
          </reference>
          <reference field="1" count="1">
            <x v="46"/>
          </reference>
        </references>
      </pivotArea>
    </format>
    <format dxfId="1140">
      <pivotArea dataOnly="0" labelOnly="1" fieldPosition="0">
        <references count="2">
          <reference field="0" count="1" selected="0">
            <x v="66"/>
          </reference>
          <reference field="1" count="1">
            <x v="28"/>
          </reference>
        </references>
      </pivotArea>
    </format>
    <format dxfId="1139">
      <pivotArea dataOnly="0" labelOnly="1" fieldPosition="0">
        <references count="2">
          <reference field="0" count="1" selected="0">
            <x v="47"/>
          </reference>
          <reference field="1" count="1">
            <x v="99"/>
          </reference>
        </references>
      </pivotArea>
    </format>
    <format dxfId="1138">
      <pivotArea dataOnly="0" labelOnly="1" fieldPosition="0">
        <references count="2">
          <reference field="0" count="1" selected="0">
            <x v="33"/>
          </reference>
          <reference field="1" count="1">
            <x v="20"/>
          </reference>
        </references>
      </pivotArea>
    </format>
    <format dxfId="1137">
      <pivotArea dataOnly="0" labelOnly="1" fieldPosition="0">
        <references count="2">
          <reference field="0" count="1" selected="0">
            <x v="219"/>
          </reference>
          <reference field="1" count="1">
            <x v="71"/>
          </reference>
        </references>
      </pivotArea>
    </format>
    <format dxfId="1136">
      <pivotArea dataOnly="0" labelOnly="1" fieldPosition="0">
        <references count="2">
          <reference field="0" count="1" selected="0">
            <x v="191"/>
          </reference>
          <reference field="1" count="1">
            <x v="245"/>
          </reference>
        </references>
      </pivotArea>
    </format>
    <format dxfId="1135">
      <pivotArea dataOnly="0" labelOnly="1" fieldPosition="0">
        <references count="2">
          <reference field="0" count="1" selected="0">
            <x v="123"/>
          </reference>
          <reference field="1" count="1">
            <x v="155"/>
          </reference>
        </references>
      </pivotArea>
    </format>
    <format dxfId="1134">
      <pivotArea dataOnly="0" labelOnly="1" fieldPosition="0">
        <references count="2">
          <reference field="0" count="1" selected="0">
            <x v="192"/>
          </reference>
          <reference field="1" count="1">
            <x v="38"/>
          </reference>
        </references>
      </pivotArea>
    </format>
    <format dxfId="1133">
      <pivotArea dataOnly="0" labelOnly="1" fieldPosition="0">
        <references count="2">
          <reference field="0" count="1" selected="0">
            <x v="171"/>
          </reference>
          <reference field="1" count="1">
            <x v="126"/>
          </reference>
        </references>
      </pivotArea>
    </format>
    <format dxfId="1132">
      <pivotArea dataOnly="0" labelOnly="1" fieldPosition="0">
        <references count="2">
          <reference field="0" count="1" selected="0">
            <x v="46"/>
          </reference>
          <reference field="1" count="1">
            <x v="47"/>
          </reference>
        </references>
      </pivotArea>
    </format>
    <format dxfId="1131">
      <pivotArea dataOnly="0" labelOnly="1" fieldPosition="0">
        <references count="2">
          <reference field="0" count="1" selected="0">
            <x v="31"/>
          </reference>
          <reference field="1" count="1">
            <x v="16"/>
          </reference>
        </references>
      </pivotArea>
    </format>
    <format dxfId="1130">
      <pivotArea dataOnly="0" labelOnly="1" fieldPosition="0">
        <references count="2">
          <reference field="0" count="1" selected="0">
            <x v="52"/>
          </reference>
          <reference field="1" count="1">
            <x v="215"/>
          </reference>
        </references>
      </pivotArea>
    </format>
    <format dxfId="1129">
      <pivotArea dataOnly="0" labelOnly="1" fieldPosition="0">
        <references count="2">
          <reference field="0" count="1" selected="0">
            <x v="26"/>
          </reference>
          <reference field="1" count="1">
            <x v="148"/>
          </reference>
        </references>
      </pivotArea>
    </format>
    <format dxfId="1128">
      <pivotArea dataOnly="0" labelOnly="1" fieldPosition="0">
        <references count="2">
          <reference field="0" count="1" selected="0">
            <x v="14"/>
          </reference>
          <reference field="1" count="1">
            <x v="252"/>
          </reference>
        </references>
      </pivotArea>
    </format>
    <format dxfId="1127">
      <pivotArea dataOnly="0" labelOnly="1" fieldPosition="0">
        <references count="2">
          <reference field="0" count="1" selected="0">
            <x v="125"/>
          </reference>
          <reference field="1" count="1">
            <x v="43"/>
          </reference>
        </references>
      </pivotArea>
    </format>
    <format dxfId="1126">
      <pivotArea dataOnly="0" labelOnly="1" fieldPosition="0">
        <references count="2">
          <reference field="0" count="1" selected="0">
            <x v="115"/>
          </reference>
          <reference field="1" count="1">
            <x v="90"/>
          </reference>
        </references>
      </pivotArea>
    </format>
    <format dxfId="1125">
      <pivotArea dataOnly="0" labelOnly="1" fieldPosition="0">
        <references count="2">
          <reference field="0" count="1" selected="0">
            <x v="35"/>
          </reference>
          <reference field="1" count="1">
            <x v="15"/>
          </reference>
        </references>
      </pivotArea>
    </format>
    <format dxfId="1124">
      <pivotArea field="0" type="button" dataOnly="0" labelOnly="1" outline="0" axis="axisRow" fieldPosition="0"/>
    </format>
    <format dxfId="1123">
      <pivotArea dataOnly="0" labelOnly="1" fieldPosition="0">
        <references count="1">
          <reference field="0" count="50">
            <x v="0"/>
            <x v="1"/>
            <x v="3"/>
            <x v="5"/>
            <x v="6"/>
            <x v="8"/>
            <x v="11"/>
            <x v="25"/>
            <x v="71"/>
            <x v="79"/>
            <x v="82"/>
            <x v="87"/>
            <x v="130"/>
            <x v="131"/>
            <x v="133"/>
            <x v="134"/>
            <x v="135"/>
            <x v="136"/>
            <x v="143"/>
            <x v="150"/>
            <x v="151"/>
            <x v="153"/>
            <x v="165"/>
            <x v="167"/>
            <x v="168"/>
            <x v="176"/>
            <x v="177"/>
            <x v="179"/>
            <x v="180"/>
            <x v="182"/>
            <x v="184"/>
            <x v="188"/>
            <x v="199"/>
            <x v="201"/>
            <x v="203"/>
            <x v="204"/>
            <x v="205"/>
            <x v="210"/>
            <x v="213"/>
            <x v="216"/>
            <x v="220"/>
            <x v="224"/>
            <x v="226"/>
            <x v="233"/>
            <x v="240"/>
            <x v="244"/>
            <x v="245"/>
            <x v="246"/>
            <x v="249"/>
            <x v="250"/>
          </reference>
        </references>
      </pivotArea>
    </format>
    <format dxfId="1122">
      <pivotArea dataOnly="0" labelOnly="1" fieldPosition="0">
        <references count="1">
          <reference field="0" count="50">
            <x v="2"/>
            <x v="4"/>
            <x v="7"/>
            <x v="9"/>
            <x v="10"/>
            <x v="18"/>
            <x v="19"/>
            <x v="20"/>
            <x v="22"/>
            <x v="28"/>
            <x v="37"/>
            <x v="41"/>
            <x v="42"/>
            <x v="48"/>
            <x v="55"/>
            <x v="57"/>
            <x v="61"/>
            <x v="73"/>
            <x v="86"/>
            <x v="88"/>
            <x v="90"/>
            <x v="128"/>
            <x v="137"/>
            <x v="141"/>
            <x v="144"/>
            <x v="146"/>
            <x v="148"/>
            <x v="149"/>
            <x v="155"/>
            <x v="163"/>
            <x v="169"/>
            <x v="170"/>
            <x v="174"/>
            <x v="178"/>
            <x v="183"/>
            <x v="189"/>
            <x v="193"/>
            <x v="195"/>
            <x v="202"/>
            <x v="206"/>
            <x v="212"/>
            <x v="214"/>
            <x v="221"/>
            <x v="231"/>
            <x v="232"/>
            <x v="241"/>
            <x v="247"/>
            <x v="251"/>
            <x v="252"/>
            <x v="255"/>
          </reference>
        </references>
      </pivotArea>
    </format>
    <format dxfId="1121">
      <pivotArea dataOnly="0" labelOnly="1" fieldPosition="0">
        <references count="1">
          <reference field="0" count="50">
            <x v="13"/>
            <x v="16"/>
            <x v="29"/>
            <x v="30"/>
            <x v="39"/>
            <x v="53"/>
            <x v="59"/>
            <x v="60"/>
            <x v="63"/>
            <x v="68"/>
            <x v="72"/>
            <x v="78"/>
            <x v="83"/>
            <x v="89"/>
            <x v="91"/>
            <x v="95"/>
            <x v="97"/>
            <x v="101"/>
            <x v="111"/>
            <x v="112"/>
            <x v="113"/>
            <x v="122"/>
            <x v="129"/>
            <x v="139"/>
            <x v="140"/>
            <x v="145"/>
            <x v="147"/>
            <x v="152"/>
            <x v="160"/>
            <x v="162"/>
            <x v="166"/>
            <x v="173"/>
            <x v="181"/>
            <x v="185"/>
            <x v="190"/>
            <x v="196"/>
            <x v="208"/>
            <x v="209"/>
            <x v="215"/>
            <x v="223"/>
            <x v="225"/>
            <x v="227"/>
            <x v="236"/>
            <x v="237"/>
            <x v="238"/>
            <x v="239"/>
            <x v="242"/>
            <x v="243"/>
            <x v="248"/>
            <x v="253"/>
          </reference>
        </references>
      </pivotArea>
    </format>
    <format dxfId="1120">
      <pivotArea dataOnly="0" labelOnly="1" fieldPosition="0">
        <references count="1">
          <reference field="0" count="50">
            <x v="12"/>
            <x v="15"/>
            <x v="17"/>
            <x v="23"/>
            <x v="24"/>
            <x v="36"/>
            <x v="38"/>
            <x v="49"/>
            <x v="50"/>
            <x v="62"/>
            <x v="64"/>
            <x v="65"/>
            <x v="67"/>
            <x v="75"/>
            <x v="76"/>
            <x v="85"/>
            <x v="93"/>
            <x v="96"/>
            <x v="98"/>
            <x v="99"/>
            <x v="100"/>
            <x v="102"/>
            <x v="103"/>
            <x v="104"/>
            <x v="105"/>
            <x v="107"/>
            <x v="118"/>
            <x v="119"/>
            <x v="120"/>
            <x v="121"/>
            <x v="126"/>
            <x v="127"/>
            <x v="138"/>
            <x v="142"/>
            <x v="154"/>
            <x v="158"/>
            <x v="159"/>
            <x v="161"/>
            <x v="164"/>
            <x v="186"/>
            <x v="187"/>
            <x v="194"/>
            <x v="197"/>
            <x v="198"/>
            <x v="228"/>
            <x v="229"/>
            <x v="234"/>
            <x v="235"/>
            <x v="254"/>
            <x v="257"/>
          </reference>
        </references>
      </pivotArea>
    </format>
    <format dxfId="1119">
      <pivotArea dataOnly="0" labelOnly="1" fieldPosition="0">
        <references count="1">
          <reference field="0" count="50">
            <x v="21"/>
            <x v="27"/>
            <x v="32"/>
            <x v="33"/>
            <x v="34"/>
            <x v="40"/>
            <x v="43"/>
            <x v="44"/>
            <x v="45"/>
            <x v="47"/>
            <x v="51"/>
            <x v="54"/>
            <x v="56"/>
            <x v="58"/>
            <x v="66"/>
            <x v="69"/>
            <x v="70"/>
            <x v="74"/>
            <x v="77"/>
            <x v="80"/>
            <x v="81"/>
            <x v="84"/>
            <x v="92"/>
            <x v="94"/>
            <x v="106"/>
            <x v="108"/>
            <x v="109"/>
            <x v="110"/>
            <x v="114"/>
            <x v="116"/>
            <x v="117"/>
            <x v="123"/>
            <x v="124"/>
            <x v="132"/>
            <x v="156"/>
            <x v="157"/>
            <x v="171"/>
            <x v="172"/>
            <x v="175"/>
            <x v="191"/>
            <x v="192"/>
            <x v="200"/>
            <x v="207"/>
            <x v="211"/>
            <x v="217"/>
            <x v="218"/>
            <x v="219"/>
            <x v="222"/>
            <x v="230"/>
            <x v="256"/>
          </reference>
        </references>
      </pivotArea>
    </format>
    <format dxfId="1118">
      <pivotArea dataOnly="0" labelOnly="1" fieldPosition="0">
        <references count="1">
          <reference field="0" count="8">
            <x v="14"/>
            <x v="26"/>
            <x v="31"/>
            <x v="35"/>
            <x v="46"/>
            <x v="52"/>
            <x v="115"/>
            <x v="125"/>
          </reference>
        </references>
      </pivotArea>
    </format>
    <format dxfId="1117">
      <pivotArea dataOnly="0" labelOnly="1" grandRow="1" outline="0" fieldPosition="0"/>
    </format>
    <format dxfId="1116">
      <pivotArea dataOnly="0" labelOnly="1" fieldPosition="0">
        <references count="2">
          <reference field="0" count="1" selected="0">
            <x v="82"/>
          </reference>
          <reference field="1" count="1">
            <x v="62"/>
          </reference>
        </references>
      </pivotArea>
    </format>
    <format dxfId="1115">
      <pivotArea dataOnly="0" labelOnly="1" fieldPosition="0">
        <references count="2">
          <reference field="0" count="1" selected="0">
            <x v="3"/>
          </reference>
          <reference field="1" count="1">
            <x v="179"/>
          </reference>
        </references>
      </pivotArea>
    </format>
    <format dxfId="1114">
      <pivotArea dataOnly="0" labelOnly="1" fieldPosition="0">
        <references count="2">
          <reference field="0" count="1" selected="0">
            <x v="250"/>
          </reference>
          <reference field="1" count="1">
            <x v="87"/>
          </reference>
        </references>
      </pivotArea>
    </format>
    <format dxfId="1113">
      <pivotArea dataOnly="0" labelOnly="1" fieldPosition="0">
        <references count="2">
          <reference field="0" count="1" selected="0">
            <x v="201"/>
          </reference>
          <reference field="1" count="1">
            <x v="133"/>
          </reference>
        </references>
      </pivotArea>
    </format>
    <format dxfId="1112">
      <pivotArea dataOnly="0" labelOnly="1" fieldPosition="0">
        <references count="2">
          <reference field="0" count="1" selected="0">
            <x v="133"/>
          </reference>
          <reference field="1" count="1">
            <x v="244"/>
          </reference>
        </references>
      </pivotArea>
    </format>
    <format dxfId="1111">
      <pivotArea dataOnly="0" labelOnly="1" fieldPosition="0">
        <references count="2">
          <reference field="0" count="1" selected="0">
            <x v="244"/>
          </reference>
          <reference field="1" count="1">
            <x v="76"/>
          </reference>
        </references>
      </pivotArea>
    </format>
    <format dxfId="1110">
      <pivotArea dataOnly="0" labelOnly="1" fieldPosition="0">
        <references count="2">
          <reference field="0" count="1" selected="0">
            <x v="249"/>
          </reference>
          <reference field="1" count="1">
            <x v="204"/>
          </reference>
        </references>
      </pivotArea>
    </format>
    <format dxfId="1109">
      <pivotArea dataOnly="0" labelOnly="1" fieldPosition="0">
        <references count="2">
          <reference field="0" count="1" selected="0">
            <x v="179"/>
          </reference>
          <reference field="1" count="1">
            <x v="139"/>
          </reference>
        </references>
      </pivotArea>
    </format>
    <format dxfId="1108">
      <pivotArea dataOnly="0" labelOnly="1" fieldPosition="0">
        <references count="2">
          <reference field="0" count="1" selected="0">
            <x v="165"/>
          </reference>
          <reference field="1" count="1">
            <x v="186"/>
          </reference>
        </references>
      </pivotArea>
    </format>
    <format dxfId="1107">
      <pivotArea dataOnly="0" labelOnly="1" fieldPosition="0">
        <references count="2">
          <reference field="0" count="1" selected="0">
            <x v="131"/>
          </reference>
          <reference field="1" count="1">
            <x v="165"/>
          </reference>
        </references>
      </pivotArea>
    </format>
    <format dxfId="1106">
      <pivotArea dataOnly="0" labelOnly="1" fieldPosition="0">
        <references count="2">
          <reference field="0" count="1" selected="0">
            <x v="143"/>
          </reference>
          <reference field="1" count="1">
            <x v="44"/>
          </reference>
        </references>
      </pivotArea>
    </format>
    <format dxfId="1105">
      <pivotArea dataOnly="0" labelOnly="1" fieldPosition="0">
        <references count="2">
          <reference field="0" count="1" selected="0">
            <x v="203"/>
          </reference>
          <reference field="1" count="1">
            <x v="232"/>
          </reference>
        </references>
      </pivotArea>
    </format>
    <format dxfId="1104">
      <pivotArea dataOnly="0" labelOnly="1" fieldPosition="0">
        <references count="2">
          <reference field="0" count="1" selected="0">
            <x v="204"/>
          </reference>
          <reference field="1" count="1">
            <x v="27"/>
          </reference>
        </references>
      </pivotArea>
    </format>
    <format dxfId="1103">
      <pivotArea dataOnly="0" labelOnly="1" fieldPosition="0">
        <references count="2">
          <reference field="0" count="1" selected="0">
            <x v="168"/>
          </reference>
          <reference field="1" count="1">
            <x v="253"/>
          </reference>
        </references>
      </pivotArea>
    </format>
    <format dxfId="1102">
      <pivotArea dataOnly="0" labelOnly="1" fieldPosition="0">
        <references count="2">
          <reference field="0" count="1" selected="0">
            <x v="71"/>
          </reference>
          <reference field="1" count="1">
            <x v="201"/>
          </reference>
        </references>
      </pivotArea>
    </format>
    <format dxfId="1101">
      <pivotArea dataOnly="0" labelOnly="1" fieldPosition="0">
        <references count="2">
          <reference field="0" count="1" selected="0">
            <x v="245"/>
          </reference>
          <reference field="1" count="1">
            <x v="34"/>
          </reference>
        </references>
      </pivotArea>
    </format>
    <format dxfId="1100">
      <pivotArea dataOnly="0" labelOnly="1" fieldPosition="0">
        <references count="2">
          <reference field="0" count="1" selected="0">
            <x v="135"/>
          </reference>
          <reference field="1" count="1">
            <x v="189"/>
          </reference>
        </references>
      </pivotArea>
    </format>
    <format dxfId="1099">
      <pivotArea dataOnly="0" labelOnly="1" fieldPosition="0">
        <references count="2">
          <reference field="0" count="1" selected="0">
            <x v="184"/>
          </reference>
          <reference field="1" count="1">
            <x v="117"/>
          </reference>
        </references>
      </pivotArea>
    </format>
    <format dxfId="1098">
      <pivotArea dataOnly="0" labelOnly="1" fieldPosition="0">
        <references count="2">
          <reference field="0" count="1" selected="0">
            <x v="224"/>
          </reference>
          <reference field="1" count="1">
            <x v="73"/>
          </reference>
        </references>
      </pivotArea>
    </format>
    <format dxfId="1097">
      <pivotArea dataOnly="0" labelOnly="1" fieldPosition="0">
        <references count="2">
          <reference field="0" count="1" selected="0">
            <x v="87"/>
          </reference>
          <reference field="1" count="1">
            <x v="61"/>
          </reference>
        </references>
      </pivotArea>
    </format>
    <format dxfId="1096">
      <pivotArea dataOnly="0" labelOnly="1" fieldPosition="0">
        <references count="2">
          <reference field="0" count="1" selected="0">
            <x v="199"/>
          </reference>
          <reference field="1" count="1">
            <x v="127"/>
          </reference>
        </references>
      </pivotArea>
    </format>
    <format dxfId="1095">
      <pivotArea dataOnly="0" labelOnly="1" fieldPosition="0">
        <references count="2">
          <reference field="0" count="1" selected="0">
            <x v="220"/>
          </reference>
          <reference field="1" count="1">
            <x v="78"/>
          </reference>
        </references>
      </pivotArea>
    </format>
    <format dxfId="1094">
      <pivotArea dataOnly="0" labelOnly="1" fieldPosition="0">
        <references count="2">
          <reference field="0" count="1" selected="0">
            <x v="213"/>
          </reference>
          <reference field="1" count="1">
            <x v="84"/>
          </reference>
        </references>
      </pivotArea>
    </format>
    <format dxfId="1093">
      <pivotArea dataOnly="0" labelOnly="1" fieldPosition="0">
        <references count="2">
          <reference field="0" count="1" selected="0">
            <x v="5"/>
          </reference>
          <reference field="1" count="1">
            <x v="0"/>
          </reference>
        </references>
      </pivotArea>
    </format>
    <format dxfId="1092">
      <pivotArea dataOnly="0" labelOnly="1" fieldPosition="0">
        <references count="2">
          <reference field="0" count="1" selected="0">
            <x v="136"/>
          </reference>
          <reference field="1" count="1">
            <x v="4"/>
          </reference>
        </references>
      </pivotArea>
    </format>
    <format dxfId="1091">
      <pivotArea dataOnly="0" labelOnly="1" fieldPosition="0">
        <references count="2">
          <reference field="0" count="1" selected="0">
            <x v="8"/>
          </reference>
          <reference field="1" count="1">
            <x v="10"/>
          </reference>
        </references>
      </pivotArea>
    </format>
    <format dxfId="1090">
      <pivotArea dataOnly="0" labelOnly="1" fieldPosition="0">
        <references count="2">
          <reference field="0" count="1" selected="0">
            <x v="240"/>
          </reference>
          <reference field="1" count="1">
            <x v="77"/>
          </reference>
        </references>
      </pivotArea>
    </format>
    <format dxfId="1089">
      <pivotArea dataOnly="0" labelOnly="1" fieldPosition="0">
        <references count="2">
          <reference field="0" count="1" selected="0">
            <x v="153"/>
          </reference>
          <reference field="1" count="1">
            <x v="167"/>
          </reference>
        </references>
      </pivotArea>
    </format>
    <format dxfId="1088">
      <pivotArea dataOnly="0" labelOnly="1" fieldPosition="0">
        <references count="2">
          <reference field="0" count="1" selected="0">
            <x v="167"/>
          </reference>
          <reference field="1" count="1">
            <x v="138"/>
          </reference>
        </references>
      </pivotArea>
    </format>
    <format dxfId="1087">
      <pivotArea dataOnly="0" labelOnly="1" fieldPosition="0">
        <references count="2">
          <reference field="0" count="1" selected="0">
            <x v="151"/>
          </reference>
          <reference field="1" count="1">
            <x v="203"/>
          </reference>
        </references>
      </pivotArea>
    </format>
    <format dxfId="1086">
      <pivotArea dataOnly="0" labelOnly="1" fieldPosition="0">
        <references count="2">
          <reference field="0" count="1" selected="0">
            <x v="188"/>
          </reference>
          <reference field="1" count="1">
            <x v="162"/>
          </reference>
        </references>
      </pivotArea>
    </format>
    <format dxfId="1085">
      <pivotArea dataOnly="0" labelOnly="1" fieldPosition="0">
        <references count="2">
          <reference field="0" count="1" selected="0">
            <x v="205"/>
          </reference>
          <reference field="1" count="1">
            <x v="237"/>
          </reference>
        </references>
      </pivotArea>
    </format>
    <format dxfId="1084">
      <pivotArea dataOnly="0" labelOnly="1" fieldPosition="0">
        <references count="2">
          <reference field="0" count="1" selected="0">
            <x v="210"/>
          </reference>
          <reference field="1" count="1">
            <x v="70"/>
          </reference>
        </references>
      </pivotArea>
    </format>
    <format dxfId="1083">
      <pivotArea dataOnly="0" labelOnly="1" fieldPosition="0">
        <references count="2">
          <reference field="0" count="1" selected="0">
            <x v="0"/>
          </reference>
          <reference field="1" count="1">
            <x v="175"/>
          </reference>
        </references>
      </pivotArea>
    </format>
    <format dxfId="1082">
      <pivotArea dataOnly="0" labelOnly="1" fieldPosition="0">
        <references count="2">
          <reference field="0" count="1" selected="0">
            <x v="216"/>
          </reference>
          <reference field="1" count="1">
            <x v="66"/>
          </reference>
        </references>
      </pivotArea>
    </format>
    <format dxfId="1081">
      <pivotArea dataOnly="0" labelOnly="1" fieldPosition="0">
        <references count="2">
          <reference field="0" count="1" selected="0">
            <x v="130"/>
          </reference>
          <reference field="1" count="1">
            <x v="54"/>
          </reference>
        </references>
      </pivotArea>
    </format>
    <format dxfId="1080">
      <pivotArea dataOnly="0" labelOnly="1" fieldPosition="0">
        <references count="2">
          <reference field="0" count="1" selected="0">
            <x v="79"/>
          </reference>
          <reference field="1" count="1">
            <x v="19"/>
          </reference>
        </references>
      </pivotArea>
    </format>
    <format dxfId="1079">
      <pivotArea dataOnly="0" labelOnly="1" fieldPosition="0">
        <references count="2">
          <reference field="0" count="1" selected="0">
            <x v="25"/>
          </reference>
          <reference field="1" count="1">
            <x v="21"/>
          </reference>
        </references>
      </pivotArea>
    </format>
    <format dxfId="1078">
      <pivotArea dataOnly="0" labelOnly="1" fieldPosition="0">
        <references count="2">
          <reference field="0" count="1" selected="0">
            <x v="11"/>
          </reference>
          <reference field="1" count="1">
            <x v="42"/>
          </reference>
        </references>
      </pivotArea>
    </format>
    <format dxfId="1077">
      <pivotArea dataOnly="0" labelOnly="1" fieldPosition="0">
        <references count="2">
          <reference field="0" count="1" selected="0">
            <x v="246"/>
          </reference>
          <reference field="1" count="1">
            <x v="166"/>
          </reference>
        </references>
      </pivotArea>
    </format>
    <format dxfId="1076">
      <pivotArea dataOnly="0" labelOnly="1" fieldPosition="0">
        <references count="2">
          <reference field="0" count="1" selected="0">
            <x v="182"/>
          </reference>
          <reference field="1" count="1">
            <x v="111"/>
          </reference>
        </references>
      </pivotArea>
    </format>
    <format dxfId="1075">
      <pivotArea dataOnly="0" labelOnly="1" fieldPosition="0">
        <references count="2">
          <reference field="0" count="1" selected="0">
            <x v="177"/>
          </reference>
          <reference field="1" count="1">
            <x v="142"/>
          </reference>
        </references>
      </pivotArea>
    </format>
    <format dxfId="1074">
      <pivotArea dataOnly="0" labelOnly="1" fieldPosition="0">
        <references count="2">
          <reference field="0" count="1" selected="0">
            <x v="1"/>
          </reference>
          <reference field="1" count="1">
            <x v="176"/>
          </reference>
        </references>
      </pivotArea>
    </format>
    <format dxfId="1073">
      <pivotArea dataOnly="0" labelOnly="1" fieldPosition="0">
        <references count="2">
          <reference field="0" count="1" selected="0">
            <x v="150"/>
          </reference>
          <reference field="1" count="1">
            <x v="110"/>
          </reference>
        </references>
      </pivotArea>
    </format>
    <format dxfId="1072">
      <pivotArea dataOnly="0" labelOnly="1" fieldPosition="0">
        <references count="2">
          <reference field="0" count="1" selected="0">
            <x v="6"/>
          </reference>
          <reference field="1" count="1">
            <x v="173"/>
          </reference>
        </references>
      </pivotArea>
    </format>
    <format dxfId="1071">
      <pivotArea dataOnly="0" labelOnly="1" fieldPosition="0">
        <references count="2">
          <reference field="0" count="1" selected="0">
            <x v="226"/>
          </reference>
          <reference field="1" count="1">
            <x v="233"/>
          </reference>
        </references>
      </pivotArea>
    </format>
    <format dxfId="1070">
      <pivotArea dataOnly="0" labelOnly="1" fieldPosition="0">
        <references count="2">
          <reference field="0" count="1" selected="0">
            <x v="233"/>
          </reference>
          <reference field="1" count="1">
            <x v="236"/>
          </reference>
        </references>
      </pivotArea>
    </format>
    <format dxfId="1069">
      <pivotArea dataOnly="0" labelOnly="1" fieldPosition="0">
        <references count="2">
          <reference field="0" count="1" selected="0">
            <x v="180"/>
          </reference>
          <reference field="1" count="1">
            <x v="109"/>
          </reference>
        </references>
      </pivotArea>
    </format>
    <format dxfId="1068">
      <pivotArea dataOnly="0" labelOnly="1" fieldPosition="0">
        <references count="2">
          <reference field="0" count="1" selected="0">
            <x v="176"/>
          </reference>
          <reference field="1" count="1">
            <x v="56"/>
          </reference>
        </references>
      </pivotArea>
    </format>
    <format dxfId="1067">
      <pivotArea dataOnly="0" labelOnly="1" fieldPosition="0">
        <references count="2">
          <reference field="0" count="1" selected="0">
            <x v="134"/>
          </reference>
          <reference field="1" count="1">
            <x v="88"/>
          </reference>
        </references>
      </pivotArea>
    </format>
    <format dxfId="1066">
      <pivotArea dataOnly="0" labelOnly="1" fieldPosition="0">
        <references count="2">
          <reference field="0" count="1" selected="0">
            <x v="252"/>
          </reference>
          <reference field="1" count="1">
            <x v="105"/>
          </reference>
        </references>
      </pivotArea>
    </format>
    <format dxfId="1065">
      <pivotArea dataOnly="0" labelOnly="1" fieldPosition="0">
        <references count="2">
          <reference field="0" count="1" selected="0">
            <x v="255"/>
          </reference>
          <reference field="1" count="1">
            <x v="106"/>
          </reference>
        </references>
      </pivotArea>
    </format>
    <format dxfId="1064">
      <pivotArea dataOnly="0" labelOnly="1" fieldPosition="0">
        <references count="2">
          <reference field="0" count="1" selected="0">
            <x v="57"/>
          </reference>
          <reference field="1" count="1">
            <x v="242"/>
          </reference>
        </references>
      </pivotArea>
    </format>
    <format dxfId="1063">
      <pivotArea dataOnly="0" labelOnly="1" fieldPosition="0">
        <references count="2">
          <reference field="0" count="1" selected="0">
            <x v="55"/>
          </reference>
          <reference field="1" count="1">
            <x v="192"/>
          </reference>
        </references>
      </pivotArea>
    </format>
    <format dxfId="1062">
      <pivotArea dataOnly="0" labelOnly="1" fieldPosition="0">
        <references count="2">
          <reference field="0" count="1" selected="0">
            <x v="251"/>
          </reference>
          <reference field="1" count="1">
            <x v="81"/>
          </reference>
        </references>
      </pivotArea>
    </format>
    <format dxfId="1061">
      <pivotArea dataOnly="0" labelOnly="1" fieldPosition="0">
        <references count="2">
          <reference field="0" count="1" selected="0">
            <x v="155"/>
          </reference>
          <reference field="1" count="1">
            <x v="100"/>
          </reference>
        </references>
      </pivotArea>
    </format>
    <format dxfId="1060">
      <pivotArea dataOnly="0" labelOnly="1" fieldPosition="0">
        <references count="2">
          <reference field="0" count="1" selected="0">
            <x v="137"/>
          </reference>
          <reference field="1" count="1">
            <x v="3"/>
          </reference>
        </references>
      </pivotArea>
    </format>
    <format dxfId="1059">
      <pivotArea dataOnly="0" labelOnly="1" fieldPosition="0">
        <references count="2">
          <reference field="0" count="1" selected="0">
            <x v="19"/>
          </reference>
          <reference field="1" count="1">
            <x v="171"/>
          </reference>
        </references>
      </pivotArea>
    </format>
    <format dxfId="1058">
      <pivotArea dataOnly="0" labelOnly="1" fieldPosition="0">
        <references count="2">
          <reference field="0" count="1" selected="0">
            <x v="232"/>
          </reference>
          <reference field="1" count="1">
            <x v="92"/>
          </reference>
        </references>
      </pivotArea>
    </format>
    <format dxfId="1057">
      <pivotArea dataOnly="0" labelOnly="1" fieldPosition="0">
        <references count="2">
          <reference field="0" count="1" selected="0">
            <x v="183"/>
          </reference>
          <reference field="1" count="1">
            <x v="112"/>
          </reference>
        </references>
      </pivotArea>
    </format>
    <format dxfId="1056">
      <pivotArea dataOnly="0" labelOnly="1" fieldPosition="0">
        <references count="2">
          <reference field="0" count="1" selected="0">
            <x v="170"/>
          </reference>
          <reference field="1" count="1">
            <x v="25"/>
          </reference>
        </references>
      </pivotArea>
    </format>
    <format dxfId="1055">
      <pivotArea dataOnly="0" labelOnly="1" fieldPosition="0">
        <references count="2">
          <reference field="0" count="1" selected="0">
            <x v="18"/>
          </reference>
          <reference field="1" count="1">
            <x v="202"/>
          </reference>
        </references>
      </pivotArea>
    </format>
    <format dxfId="1054">
      <pivotArea dataOnly="0" labelOnly="1" fieldPosition="0">
        <references count="2">
          <reference field="0" count="1" selected="0">
            <x v="241"/>
          </reference>
          <reference field="1" count="1">
            <x v="82"/>
          </reference>
        </references>
      </pivotArea>
    </format>
    <format dxfId="1053">
      <pivotArea dataOnly="0" labelOnly="1" fieldPosition="0">
        <references count="2">
          <reference field="0" count="1" selected="0">
            <x v="212"/>
          </reference>
          <reference field="1" count="1">
            <x v="163"/>
          </reference>
        </references>
      </pivotArea>
    </format>
    <format dxfId="1052">
      <pivotArea dataOnly="0" labelOnly="1" fieldPosition="0">
        <references count="2">
          <reference field="0" count="1" selected="0">
            <x v="146"/>
          </reference>
          <reference field="1" count="1">
            <x v="141"/>
          </reference>
        </references>
      </pivotArea>
    </format>
    <format dxfId="1051">
      <pivotArea dataOnly="0" labelOnly="1" fieldPosition="0">
        <references count="2">
          <reference field="0" count="1" selected="0">
            <x v="193"/>
          </reference>
          <reference field="1" count="1">
            <x v="23"/>
          </reference>
        </references>
      </pivotArea>
    </format>
    <format dxfId="1050">
      <pivotArea dataOnly="0" labelOnly="1" fieldPosition="0">
        <references count="2">
          <reference field="0" count="1" selected="0">
            <x v="88"/>
          </reference>
          <reference field="1" count="1">
            <x v="170"/>
          </reference>
        </references>
      </pivotArea>
    </format>
    <format dxfId="1049">
      <pivotArea dataOnly="0" labelOnly="1" fieldPosition="0">
        <references count="2">
          <reference field="0" count="1" selected="0">
            <x v="10"/>
          </reference>
          <reference field="1" count="1">
            <x v="168"/>
          </reference>
        </references>
      </pivotArea>
    </format>
    <format dxfId="1048">
      <pivotArea dataOnly="0" labelOnly="1" fieldPosition="0">
        <references count="2">
          <reference field="0" count="1" selected="0">
            <x v="231"/>
          </reference>
          <reference field="1" count="1">
            <x v="64"/>
          </reference>
        </references>
      </pivotArea>
    </format>
    <format dxfId="1047">
      <pivotArea dataOnly="0" labelOnly="1" fieldPosition="0">
        <references count="2">
          <reference field="0" count="1" selected="0">
            <x v="221"/>
          </reference>
          <reference field="1" count="1">
            <x v="80"/>
          </reference>
        </references>
      </pivotArea>
    </format>
    <format dxfId="1046">
      <pivotArea dataOnly="0" labelOnly="1" fieldPosition="0">
        <references count="2">
          <reference field="0" count="1" selected="0">
            <x v="178"/>
          </reference>
          <reference field="1" count="1">
            <x v="113"/>
          </reference>
        </references>
      </pivotArea>
    </format>
    <format dxfId="1045">
      <pivotArea dataOnly="0" labelOnly="1" fieldPosition="0">
        <references count="2">
          <reference field="0" count="1" selected="0">
            <x v="141"/>
          </reference>
          <reference field="1" count="1">
            <x v="131"/>
          </reference>
        </references>
      </pivotArea>
    </format>
    <format dxfId="1044">
      <pivotArea dataOnly="0" labelOnly="1" fieldPosition="0">
        <references count="2">
          <reference field="0" count="1" selected="0">
            <x v="169"/>
          </reference>
          <reference field="1" count="1">
            <x v="108"/>
          </reference>
        </references>
      </pivotArea>
    </format>
    <format dxfId="1043">
      <pivotArea dataOnly="0" labelOnly="1" fieldPosition="0">
        <references count="2">
          <reference field="0" count="1" selected="0">
            <x v="4"/>
          </reference>
          <reference field="1" count="1">
            <x v="178"/>
          </reference>
        </references>
      </pivotArea>
    </format>
    <format dxfId="1042">
      <pivotArea dataOnly="0" labelOnly="1" fieldPosition="0">
        <references count="2">
          <reference field="0" count="1" selected="0">
            <x v="214"/>
          </reference>
          <reference field="1" count="1">
            <x v="85"/>
          </reference>
        </references>
      </pivotArea>
    </format>
    <format dxfId="1041">
      <pivotArea dataOnly="0" labelOnly="1" fieldPosition="0">
        <references count="2">
          <reference field="0" count="1" selected="0">
            <x v="28"/>
          </reference>
          <reference field="1" count="1">
            <x v="145"/>
          </reference>
        </references>
      </pivotArea>
    </format>
    <format dxfId="1040">
      <pivotArea dataOnly="0" labelOnly="1" fieldPosition="0">
        <references count="2">
          <reference field="0" count="1" selected="0">
            <x v="195"/>
          </reference>
          <reference field="1" count="1">
            <x v="160"/>
          </reference>
        </references>
      </pivotArea>
    </format>
    <format dxfId="1039">
      <pivotArea dataOnly="0" labelOnly="1" fieldPosition="0">
        <references count="2">
          <reference field="0" count="1" selected="0">
            <x v="37"/>
          </reference>
          <reference field="1" count="1">
            <x v="96"/>
          </reference>
        </references>
      </pivotArea>
    </format>
    <format dxfId="1038">
      <pivotArea dataOnly="0" labelOnly="1" fieldPosition="0">
        <references count="2">
          <reference field="0" count="1" selected="0">
            <x v="202"/>
          </reference>
          <reference field="1" count="1">
            <x v="149"/>
          </reference>
        </references>
      </pivotArea>
    </format>
    <format dxfId="1037">
      <pivotArea dataOnly="0" labelOnly="1" fieldPosition="0">
        <references count="2">
          <reference field="0" count="1" selected="0">
            <x v="163"/>
          </reference>
          <reference field="1" count="1">
            <x v="122"/>
          </reference>
        </references>
      </pivotArea>
    </format>
    <format dxfId="1036">
      <pivotArea dataOnly="0" labelOnly="1" fieldPosition="0">
        <references count="2">
          <reference field="0" count="1" selected="0">
            <x v="48"/>
          </reference>
          <reference field="1" count="1">
            <x v="50"/>
          </reference>
        </references>
      </pivotArea>
    </format>
    <format dxfId="1035">
      <pivotArea dataOnly="0" labelOnly="1" fieldPosition="0">
        <references count="2">
          <reference field="0" count="1" selected="0">
            <x v="61"/>
          </reference>
          <reference field="1" count="1">
            <x v="223"/>
          </reference>
        </references>
      </pivotArea>
    </format>
    <format dxfId="1034">
      <pivotArea dataOnly="0" labelOnly="1" fieldPosition="0">
        <references count="2">
          <reference field="0" count="1" selected="0">
            <x v="7"/>
          </reference>
          <reference field="1" count="1">
            <x v="174"/>
          </reference>
        </references>
      </pivotArea>
    </format>
    <format dxfId="1033">
      <pivotArea dataOnly="0" labelOnly="1" fieldPosition="0">
        <references count="2">
          <reference field="0" count="1" selected="0">
            <x v="144"/>
          </reference>
          <reference field="1" count="1">
            <x v="65"/>
          </reference>
        </references>
      </pivotArea>
    </format>
    <format dxfId="1032">
      <pivotArea dataOnly="0" labelOnly="1" fieldPosition="0">
        <references count="2">
          <reference field="0" count="1" selected="0">
            <x v="9"/>
          </reference>
          <reference field="1" count="1">
            <x v="210"/>
          </reference>
        </references>
      </pivotArea>
    </format>
    <format dxfId="1031">
      <pivotArea dataOnly="0" labelOnly="1" fieldPosition="0">
        <references count="2">
          <reference field="0" count="1" selected="0">
            <x v="247"/>
          </reference>
          <reference field="1" count="1">
            <x v="67"/>
          </reference>
        </references>
      </pivotArea>
    </format>
    <format dxfId="1030">
      <pivotArea dataOnly="0" labelOnly="1" fieldPosition="0">
        <references count="2">
          <reference field="0" count="1" selected="0">
            <x v="41"/>
          </reference>
          <reference field="1" count="1">
            <x v="194"/>
          </reference>
        </references>
      </pivotArea>
    </format>
    <format dxfId="1029">
      <pivotArea dataOnly="0" labelOnly="1" fieldPosition="0">
        <references count="2">
          <reference field="0" count="1" selected="0">
            <x v="73"/>
          </reference>
          <reference field="1" count="1">
            <x v="214"/>
          </reference>
        </references>
      </pivotArea>
    </format>
    <format dxfId="1028">
      <pivotArea dataOnly="0" labelOnly="1" fieldPosition="0">
        <references count="2">
          <reference field="0" count="1" selected="0">
            <x v="128"/>
          </reference>
          <reference field="1" count="1">
            <x v="217"/>
          </reference>
        </references>
      </pivotArea>
    </format>
    <format dxfId="1027">
      <pivotArea dataOnly="0" labelOnly="1" fieldPosition="0">
        <references count="2">
          <reference field="0" count="1" selected="0">
            <x v="174"/>
          </reference>
          <reference field="1" count="1">
            <x v="205"/>
          </reference>
        </references>
      </pivotArea>
    </format>
    <format dxfId="1026">
      <pivotArea dataOnly="0" labelOnly="1" fieldPosition="0">
        <references count="2">
          <reference field="0" count="1" selected="0">
            <x v="149"/>
          </reference>
          <reference field="1" count="1">
            <x v="95"/>
          </reference>
        </references>
      </pivotArea>
    </format>
    <format dxfId="1025">
      <pivotArea dataOnly="0" labelOnly="1" fieldPosition="0">
        <references count="2">
          <reference field="0" count="1" selected="0">
            <x v="90"/>
          </reference>
          <reference field="1" count="1">
            <x v="60"/>
          </reference>
        </references>
      </pivotArea>
    </format>
    <format dxfId="1024">
      <pivotArea dataOnly="0" labelOnly="1" fieldPosition="0">
        <references count="2">
          <reference field="0" count="1" selected="0">
            <x v="206"/>
          </reference>
          <reference field="1" count="1">
            <x v="98"/>
          </reference>
        </references>
      </pivotArea>
    </format>
    <format dxfId="1023">
      <pivotArea dataOnly="0" labelOnly="1" fieldPosition="0">
        <references count="2">
          <reference field="0" count="1" selected="0">
            <x v="86"/>
          </reference>
          <reference field="1" count="1">
            <x v="30"/>
          </reference>
        </references>
      </pivotArea>
    </format>
    <format dxfId="1022">
      <pivotArea dataOnly="0" labelOnly="1" fieldPosition="0">
        <references count="2">
          <reference field="0" count="1" selected="0">
            <x v="148"/>
          </reference>
          <reference field="1" count="1">
            <x v="208"/>
          </reference>
        </references>
      </pivotArea>
    </format>
    <format dxfId="1021">
      <pivotArea dataOnly="0" labelOnly="1" fieldPosition="0">
        <references count="2">
          <reference field="0" count="1" selected="0">
            <x v="20"/>
          </reference>
          <reference field="1" count="1">
            <x v="172"/>
          </reference>
        </references>
      </pivotArea>
    </format>
    <format dxfId="1020">
      <pivotArea dataOnly="0" labelOnly="1" fieldPosition="0">
        <references count="2">
          <reference field="0" count="1" selected="0">
            <x v="2"/>
          </reference>
          <reference field="1" count="1">
            <x v="177"/>
          </reference>
        </references>
      </pivotArea>
    </format>
    <format dxfId="1019">
      <pivotArea dataOnly="0" labelOnly="1" fieldPosition="0">
        <references count="2">
          <reference field="0" count="1" selected="0">
            <x v="22"/>
          </reference>
          <reference field="1" count="1">
            <x v="13"/>
          </reference>
        </references>
      </pivotArea>
    </format>
    <format dxfId="1018">
      <pivotArea dataOnly="0" labelOnly="1" fieldPosition="0">
        <references count="2">
          <reference field="0" count="1" selected="0">
            <x v="189"/>
          </reference>
          <reference field="1" count="1">
            <x v="235"/>
          </reference>
        </references>
      </pivotArea>
    </format>
    <format dxfId="1017">
      <pivotArea dataOnly="0" labelOnly="1" fieldPosition="0">
        <references count="2">
          <reference field="0" count="1" selected="0">
            <x v="42"/>
          </reference>
          <reference field="1" count="1">
            <x v="198"/>
          </reference>
        </references>
      </pivotArea>
    </format>
    <format dxfId="1016">
      <pivotArea dataOnly="0" labelOnly="1" fieldPosition="0">
        <references count="2">
          <reference field="0" count="1" selected="0">
            <x v="95"/>
          </reference>
          <reference field="1" count="1">
            <x v="157"/>
          </reference>
        </references>
      </pivotArea>
    </format>
    <format dxfId="1015">
      <pivotArea dataOnly="0" labelOnly="1" fieldPosition="0">
        <references count="2">
          <reference field="0" count="1" selected="0">
            <x v="139"/>
          </reference>
          <reference field="1" count="1">
            <x v="104"/>
          </reference>
        </references>
      </pivotArea>
    </format>
    <format dxfId="1014">
      <pivotArea dataOnly="0" labelOnly="1" fieldPosition="0">
        <references count="2">
          <reference field="0" count="1" selected="0">
            <x v="60"/>
          </reference>
          <reference field="1" count="1">
            <x v="238"/>
          </reference>
        </references>
      </pivotArea>
    </format>
    <format dxfId="1013">
      <pivotArea dataOnly="0" labelOnly="1" fieldPosition="0">
        <references count="2">
          <reference field="0" count="1" selected="0">
            <x v="39"/>
          </reference>
          <reference field="1" count="1">
            <x v="22"/>
          </reference>
        </references>
      </pivotArea>
    </format>
    <format dxfId="1012">
      <pivotArea dataOnly="0" labelOnly="1" fieldPosition="0">
        <references count="2">
          <reference field="0" count="1" selected="0">
            <x v="16"/>
          </reference>
          <reference field="1" count="1">
            <x v="243"/>
          </reference>
        </references>
      </pivotArea>
    </format>
    <format dxfId="1011">
      <pivotArea dataOnly="0" labelOnly="1" fieldPosition="0">
        <references count="2">
          <reference field="0" count="1" selected="0">
            <x v="181"/>
          </reference>
          <reference field="1" count="1">
            <x v="118"/>
          </reference>
        </references>
      </pivotArea>
    </format>
    <format dxfId="1010">
      <pivotArea dataOnly="0" labelOnly="1" fieldPosition="0">
        <references count="2">
          <reference field="0" count="1" selected="0">
            <x v="196"/>
          </reference>
          <reference field="1" count="1">
            <x v="125"/>
          </reference>
        </references>
      </pivotArea>
    </format>
    <format dxfId="1009">
      <pivotArea dataOnly="0" labelOnly="1" fieldPosition="0">
        <references count="2">
          <reference field="0" count="1" selected="0">
            <x v="145"/>
          </reference>
          <reference field="1" count="1">
            <x v="254"/>
          </reference>
        </references>
      </pivotArea>
    </format>
    <format dxfId="1008">
      <pivotArea dataOnly="0" labelOnly="1" fieldPosition="0">
        <references count="2">
          <reference field="0" count="1" selected="0">
            <x v="208"/>
          </reference>
          <reference field="1" count="1">
            <x v="132"/>
          </reference>
        </references>
      </pivotArea>
    </format>
    <format dxfId="1007">
      <pivotArea dataOnly="0" labelOnly="1" fieldPosition="0">
        <references count="2">
          <reference field="0" count="1" selected="0">
            <x v="237"/>
          </reference>
          <reference field="1" count="1">
            <x v="164"/>
          </reference>
        </references>
      </pivotArea>
    </format>
    <format dxfId="1006">
      <pivotArea dataOnly="0" labelOnly="1" fieldPosition="0">
        <references count="2">
          <reference field="0" count="1" selected="0">
            <x v="111"/>
          </reference>
          <reference field="1" count="1">
            <x v="14"/>
          </reference>
        </references>
      </pivotArea>
    </format>
    <format dxfId="1005">
      <pivotArea dataOnly="0" labelOnly="1" fieldPosition="0">
        <references count="2">
          <reference field="0" count="1" selected="0">
            <x v="129"/>
          </reference>
          <reference field="1" count="1">
            <x v="213"/>
          </reference>
        </references>
      </pivotArea>
    </format>
    <format dxfId="1004">
      <pivotArea dataOnly="0" labelOnly="1" fieldPosition="0">
        <references count="2">
          <reference field="0" count="1" selected="0">
            <x v="223"/>
          </reference>
          <reference field="1" count="1">
            <x v="103"/>
          </reference>
        </references>
      </pivotArea>
    </format>
    <format dxfId="1003">
      <pivotArea dataOnly="0" labelOnly="1" fieldPosition="0">
        <references count="2">
          <reference field="0" count="1" selected="0">
            <x v="166"/>
          </reference>
          <reference field="1" count="1">
            <x v="137"/>
          </reference>
        </references>
      </pivotArea>
    </format>
    <format dxfId="1002">
      <pivotArea dataOnly="0" labelOnly="1" fieldPosition="0">
        <references count="2">
          <reference field="0" count="1" selected="0">
            <x v="101"/>
          </reference>
          <reference field="1" count="1">
            <x v="169"/>
          </reference>
        </references>
      </pivotArea>
    </format>
    <format dxfId="1001">
      <pivotArea dataOnly="0" labelOnly="1" fieldPosition="0">
        <references count="2">
          <reference field="0" count="1" selected="0">
            <x v="238"/>
          </reference>
          <reference field="1" count="1">
            <x v="83"/>
          </reference>
        </references>
      </pivotArea>
    </format>
    <format dxfId="1000">
      <pivotArea dataOnly="0" labelOnly="1" fieldPosition="0">
        <references count="2">
          <reference field="0" count="1" selected="0">
            <x v="68"/>
          </reference>
          <reference field="1" count="1">
            <x v="51"/>
          </reference>
        </references>
      </pivotArea>
    </format>
    <format dxfId="999">
      <pivotArea dataOnly="0" labelOnly="1" fieldPosition="0">
        <references count="2">
          <reference field="0" count="1" selected="0">
            <x v="122"/>
          </reference>
          <reference field="1" count="1">
            <x v="255"/>
          </reference>
        </references>
      </pivotArea>
    </format>
    <format dxfId="998">
      <pivotArea dataOnly="0" labelOnly="1" fieldPosition="0">
        <references count="2">
          <reference field="0" count="1" selected="0">
            <x v="225"/>
          </reference>
          <reference field="1" count="1">
            <x v="69"/>
          </reference>
        </references>
      </pivotArea>
    </format>
    <format dxfId="997">
      <pivotArea dataOnly="0" labelOnly="1" fieldPosition="0">
        <references count="2">
          <reference field="0" count="1" selected="0">
            <x v="242"/>
          </reference>
          <reference field="1" count="1">
            <x v="185"/>
          </reference>
        </references>
      </pivotArea>
    </format>
    <format dxfId="996">
      <pivotArea dataOnly="0" labelOnly="1" fieldPosition="0">
        <references count="2">
          <reference field="0" count="1" selected="0">
            <x v="97"/>
          </reference>
          <reference field="1" count="1">
            <x v="250"/>
          </reference>
        </references>
      </pivotArea>
    </format>
    <format dxfId="995">
      <pivotArea dataOnly="0" labelOnly="1" fieldPosition="0">
        <references count="2">
          <reference field="0" count="1" selected="0">
            <x v="30"/>
          </reference>
          <reference field="1" count="1">
            <x v="211"/>
          </reference>
        </references>
      </pivotArea>
    </format>
    <format dxfId="994">
      <pivotArea dataOnly="0" labelOnly="1" fieldPosition="0">
        <references count="2">
          <reference field="0" count="1" selected="0">
            <x v="59"/>
          </reference>
          <reference field="1" count="1">
            <x v="240"/>
          </reference>
        </references>
      </pivotArea>
    </format>
    <format dxfId="993">
      <pivotArea dataOnly="0" labelOnly="1" fieldPosition="0">
        <references count="2">
          <reference field="0" count="1" selected="0">
            <x v="248"/>
          </reference>
          <reference field="1" count="1">
            <x v="234"/>
          </reference>
        </references>
      </pivotArea>
    </format>
    <format dxfId="992">
      <pivotArea dataOnly="0" labelOnly="1" fieldPosition="0">
        <references count="2">
          <reference field="0" count="1" selected="0">
            <x v="185"/>
          </reference>
          <reference field="1" count="1">
            <x v="114"/>
          </reference>
        </references>
      </pivotArea>
    </format>
    <format dxfId="991">
      <pivotArea dataOnly="0" labelOnly="1" fieldPosition="0">
        <references count="2">
          <reference field="0" count="1" selected="0">
            <x v="112"/>
          </reference>
          <reference field="1" count="1">
            <x v="158"/>
          </reference>
        </references>
      </pivotArea>
    </format>
    <format dxfId="990">
      <pivotArea dataOnly="0" labelOnly="1" fieldPosition="0">
        <references count="2">
          <reference field="0" count="1" selected="0">
            <x v="190"/>
          </reference>
          <reference field="1" count="1">
            <x v="120"/>
          </reference>
        </references>
      </pivotArea>
    </format>
    <format dxfId="989">
      <pivotArea dataOnly="0" labelOnly="1" fieldPosition="0">
        <references count="2">
          <reference field="0" count="1" selected="0">
            <x v="236"/>
          </reference>
          <reference field="1" count="1">
            <x v="146"/>
          </reference>
        </references>
      </pivotArea>
    </format>
    <format dxfId="988">
      <pivotArea dataOnly="0" labelOnly="1" fieldPosition="0">
        <references count="2">
          <reference field="0" count="1" selected="0">
            <x v="243"/>
          </reference>
          <reference field="1" count="1">
            <x v="75"/>
          </reference>
        </references>
      </pivotArea>
    </format>
    <format dxfId="987">
      <pivotArea dataOnly="0" labelOnly="1" fieldPosition="0">
        <references count="2">
          <reference field="0" count="1" selected="0">
            <x v="160"/>
          </reference>
          <reference field="1" count="1">
            <x v="130"/>
          </reference>
        </references>
      </pivotArea>
    </format>
    <format dxfId="986">
      <pivotArea dataOnly="0" labelOnly="1" fieldPosition="0">
        <references count="2">
          <reference field="0" count="1" selected="0">
            <x v="113"/>
          </reference>
          <reference field="1" count="1">
            <x v="31"/>
          </reference>
        </references>
      </pivotArea>
    </format>
    <format dxfId="985">
      <pivotArea dataOnly="0" labelOnly="1" fieldPosition="0">
        <references count="2">
          <reference field="0" count="1" selected="0">
            <x v="162"/>
          </reference>
          <reference field="1" count="1">
            <x v="35"/>
          </reference>
        </references>
      </pivotArea>
    </format>
    <format dxfId="984">
      <pivotArea dataOnly="0" labelOnly="1" fieldPosition="0">
        <references count="2">
          <reference field="0" count="1" selected="0">
            <x v="209"/>
          </reference>
          <reference field="1" count="1">
            <x v="128"/>
          </reference>
        </references>
      </pivotArea>
    </format>
    <format dxfId="983">
      <pivotArea dataOnly="0" labelOnly="1" fieldPosition="0">
        <references count="2">
          <reference field="0" count="1" selected="0">
            <x v="215"/>
          </reference>
          <reference field="1" count="1">
            <x v="184"/>
          </reference>
        </references>
      </pivotArea>
    </format>
    <format dxfId="982">
      <pivotArea dataOnly="0" labelOnly="1" fieldPosition="0">
        <references count="2">
          <reference field="0" count="1" selected="0">
            <x v="227"/>
          </reference>
          <reference field="1" count="1">
            <x v="143"/>
          </reference>
        </references>
      </pivotArea>
    </format>
    <format dxfId="981">
      <pivotArea dataOnly="0" labelOnly="1" fieldPosition="0">
        <references count="2">
          <reference field="0" count="1" selected="0">
            <x v="63"/>
          </reference>
          <reference field="1" count="1">
            <x v="231"/>
          </reference>
        </references>
      </pivotArea>
    </format>
    <format dxfId="980">
      <pivotArea dataOnly="0" labelOnly="1" fieldPosition="0">
        <references count="2">
          <reference field="0" count="1" selected="0">
            <x v="72"/>
          </reference>
          <reference field="1" count="1">
            <x v="206"/>
          </reference>
        </references>
      </pivotArea>
    </format>
    <format dxfId="979">
      <pivotArea dataOnly="0" labelOnly="1" fieldPosition="0">
        <references count="2">
          <reference field="0" count="1" selected="0">
            <x v="13"/>
          </reference>
          <reference field="1" count="1">
            <x v="107"/>
          </reference>
        </references>
      </pivotArea>
    </format>
    <format dxfId="978">
      <pivotArea dataOnly="0" labelOnly="1" fieldPosition="0">
        <references count="2">
          <reference field="0" count="1" selected="0">
            <x v="253"/>
          </reference>
          <reference field="1" count="1">
            <x v="40"/>
          </reference>
        </references>
      </pivotArea>
    </format>
    <format dxfId="977">
      <pivotArea dataOnly="0" labelOnly="1" fieldPosition="0">
        <references count="2">
          <reference field="0" count="1" selected="0">
            <x v="147"/>
          </reference>
          <reference field="1" count="1">
            <x v="188"/>
          </reference>
        </references>
      </pivotArea>
    </format>
    <format dxfId="976">
      <pivotArea dataOnly="0" labelOnly="1" fieldPosition="0">
        <references count="2">
          <reference field="0" count="1" selected="0">
            <x v="29"/>
          </reference>
          <reference field="1" count="1">
            <x v="153"/>
          </reference>
        </references>
      </pivotArea>
    </format>
    <format dxfId="975">
      <pivotArea dataOnly="0" labelOnly="1" fieldPosition="0">
        <references count="2">
          <reference field="0" count="1" selected="0">
            <x v="140"/>
          </reference>
          <reference field="1" count="1">
            <x v="195"/>
          </reference>
        </references>
      </pivotArea>
    </format>
    <format dxfId="974">
      <pivotArea dataOnly="0" labelOnly="1" fieldPosition="0">
        <references count="2">
          <reference field="0" count="1" selected="0">
            <x v="78"/>
          </reference>
          <reference field="1" count="1">
            <x v="18"/>
          </reference>
        </references>
      </pivotArea>
    </format>
    <format dxfId="973">
      <pivotArea dataOnly="0" labelOnly="1" fieldPosition="0">
        <references count="2">
          <reference field="0" count="1" selected="0">
            <x v="53"/>
          </reference>
          <reference field="1" count="1">
            <x v="45"/>
          </reference>
        </references>
      </pivotArea>
    </format>
    <format dxfId="972">
      <pivotArea dataOnly="0" labelOnly="1" fieldPosition="0">
        <references count="2">
          <reference field="0" count="1" selected="0">
            <x v="91"/>
          </reference>
          <reference field="1" count="1">
            <x v="59"/>
          </reference>
        </references>
      </pivotArea>
    </format>
    <format dxfId="971">
      <pivotArea dataOnly="0" labelOnly="1" fieldPosition="0">
        <references count="2">
          <reference field="0" count="1" selected="0">
            <x v="173"/>
          </reference>
          <reference field="1" count="1">
            <x v="119"/>
          </reference>
        </references>
      </pivotArea>
    </format>
    <format dxfId="970">
      <pivotArea dataOnly="0" labelOnly="1" fieldPosition="0">
        <references count="2">
          <reference field="0" count="1" selected="0">
            <x v="89"/>
          </reference>
          <reference field="1" count="1">
            <x v="57"/>
          </reference>
        </references>
      </pivotArea>
    </format>
    <format dxfId="969">
      <pivotArea dataOnly="0" labelOnly="1" fieldPosition="0">
        <references count="2">
          <reference field="0" count="1" selected="0">
            <x v="239"/>
          </reference>
          <reference field="1" count="1">
            <x v="72"/>
          </reference>
        </references>
      </pivotArea>
    </format>
    <format dxfId="968">
      <pivotArea dataOnly="0" labelOnly="1" fieldPosition="0">
        <references count="2">
          <reference field="0" count="1" selected="0">
            <x v="83"/>
          </reference>
          <reference field="1" count="1">
            <x v="251"/>
          </reference>
        </references>
      </pivotArea>
    </format>
    <format dxfId="967">
      <pivotArea dataOnly="0" labelOnly="1" fieldPosition="0">
        <references count="2">
          <reference field="0" count="1" selected="0">
            <x v="152"/>
          </reference>
          <reference field="1" count="1">
            <x v="150"/>
          </reference>
        </references>
      </pivotArea>
    </format>
    <format dxfId="966">
      <pivotArea dataOnly="0" labelOnly="1" fieldPosition="0">
        <references count="2">
          <reference field="0" count="1" selected="0">
            <x v="12"/>
          </reference>
          <reference field="1" count="1">
            <x v="154"/>
          </reference>
        </references>
      </pivotArea>
    </format>
    <format dxfId="965">
      <pivotArea dataOnly="0" labelOnly="1" fieldPosition="0">
        <references count="2">
          <reference field="0" count="1" selected="0">
            <x v="85"/>
          </reference>
          <reference field="1" count="1">
            <x v="182"/>
          </reference>
        </references>
      </pivotArea>
    </format>
    <format dxfId="964">
      <pivotArea dataOnly="0" labelOnly="1" fieldPosition="0">
        <references count="2">
          <reference field="0" count="1" selected="0">
            <x v="75"/>
          </reference>
          <reference field="1" count="1">
            <x v="191"/>
          </reference>
        </references>
      </pivotArea>
    </format>
    <format dxfId="963">
      <pivotArea dataOnly="0" labelOnly="1" fieldPosition="0">
        <references count="2">
          <reference field="0" count="1" selected="0">
            <x v="102"/>
          </reference>
          <reference field="1" count="1">
            <x v="6"/>
          </reference>
        </references>
      </pivotArea>
    </format>
    <format dxfId="962">
      <pivotArea dataOnly="0" labelOnly="1" fieldPosition="0">
        <references count="2">
          <reference field="0" count="1" selected="0">
            <x v="38"/>
          </reference>
          <reference field="1" count="1">
            <x v="256"/>
          </reference>
        </references>
      </pivotArea>
    </format>
    <format dxfId="961">
      <pivotArea dataOnly="0" labelOnly="1" fieldPosition="0">
        <references count="2">
          <reference field="0" count="1" selected="0">
            <x v="118"/>
          </reference>
          <reference field="1" count="1">
            <x v="93"/>
          </reference>
        </references>
      </pivotArea>
    </format>
    <format dxfId="960">
      <pivotArea dataOnly="0" labelOnly="1" fieldPosition="0">
        <references count="2">
          <reference field="0" count="1" selected="0">
            <x v="99"/>
          </reference>
          <reference field="1" count="1">
            <x v="29"/>
          </reference>
        </references>
      </pivotArea>
    </format>
    <format dxfId="959">
      <pivotArea dataOnly="0" labelOnly="1" fieldPosition="0">
        <references count="2">
          <reference field="0" count="1" selected="0">
            <x v="15"/>
          </reference>
          <reference field="1" count="1">
            <x v="147"/>
          </reference>
        </references>
      </pivotArea>
    </format>
    <format dxfId="958">
      <pivotArea dataOnly="0" labelOnly="1" fieldPosition="0">
        <references count="2">
          <reference field="0" count="1" selected="0">
            <x v="65"/>
          </reference>
          <reference field="1" count="1">
            <x v="222"/>
          </reference>
        </references>
      </pivotArea>
    </format>
    <format dxfId="957">
      <pivotArea dataOnly="0" labelOnly="1" fieldPosition="0">
        <references count="2">
          <reference field="0" count="1" selected="0">
            <x v="103"/>
          </reference>
          <reference field="1" count="1">
            <x v="8"/>
          </reference>
        </references>
      </pivotArea>
    </format>
    <format dxfId="956">
      <pivotArea dataOnly="0" labelOnly="1" fieldPosition="0">
        <references count="2">
          <reference field="0" count="1" selected="0">
            <x v="234"/>
          </reference>
          <reference field="1" count="1">
            <x v="190"/>
          </reference>
        </references>
      </pivotArea>
    </format>
    <format dxfId="955">
      <pivotArea dataOnly="0" labelOnly="1" fieldPosition="0">
        <references count="2">
          <reference field="0" count="1" selected="0">
            <x v="154"/>
          </reference>
          <reference field="1" count="1">
            <x v="1"/>
          </reference>
        </references>
      </pivotArea>
    </format>
    <format dxfId="954">
      <pivotArea dataOnly="0" labelOnly="1" fieldPosition="0">
        <references count="2">
          <reference field="0" count="1" selected="0">
            <x v="187"/>
          </reference>
          <reference field="1" count="1">
            <x v="116"/>
          </reference>
        </references>
      </pivotArea>
    </format>
    <format dxfId="953">
      <pivotArea dataOnly="0" labelOnly="1" fieldPosition="0">
        <references count="2">
          <reference field="0" count="1" selected="0">
            <x v="161"/>
          </reference>
          <reference field="1" count="1">
            <x v="121"/>
          </reference>
        </references>
      </pivotArea>
    </format>
    <format dxfId="952">
      <pivotArea dataOnly="0" labelOnly="1" fieldPosition="0">
        <references count="2">
          <reference field="0" count="1" selected="0">
            <x v="67"/>
          </reference>
          <reference field="1" count="1">
            <x v="53"/>
          </reference>
        </references>
      </pivotArea>
    </format>
    <format dxfId="951">
      <pivotArea dataOnly="0" labelOnly="1" fieldPosition="0">
        <references count="2">
          <reference field="0" count="1" selected="0">
            <x v="235"/>
          </reference>
          <reference field="1" count="1">
            <x v="193"/>
          </reference>
        </references>
      </pivotArea>
    </format>
    <format dxfId="950">
      <pivotArea dataOnly="0" labelOnly="1" fieldPosition="0">
        <references count="2">
          <reference field="0" count="1" selected="0">
            <x v="229"/>
          </reference>
          <reference field="1" count="1">
            <x v="248"/>
          </reference>
        </references>
      </pivotArea>
    </format>
    <format dxfId="949">
      <pivotArea dataOnly="0" labelOnly="1" fieldPosition="0">
        <references count="2">
          <reference field="0" count="1" selected="0">
            <x v="121"/>
          </reference>
          <reference field="1" count="1">
            <x v="209"/>
          </reference>
        </references>
      </pivotArea>
    </format>
    <format dxfId="948">
      <pivotArea dataOnly="0" labelOnly="1" fieldPosition="0">
        <references count="2">
          <reference field="0" count="1" selected="0">
            <x v="98"/>
          </reference>
          <reference field="1" count="1">
            <x v="181"/>
          </reference>
        </references>
      </pivotArea>
    </format>
    <format dxfId="947">
      <pivotArea dataOnly="0" labelOnly="1" fieldPosition="0">
        <references count="2">
          <reference field="0" count="1" selected="0">
            <x v="93"/>
          </reference>
          <reference field="1" count="1">
            <x v="152"/>
          </reference>
        </references>
      </pivotArea>
    </format>
    <format dxfId="946">
      <pivotArea dataOnly="0" labelOnly="1" fieldPosition="0">
        <references count="2">
          <reference field="0" count="1" selected="0">
            <x v="158"/>
          </reference>
          <reference field="1" count="1">
            <x v="2"/>
          </reference>
        </references>
      </pivotArea>
    </format>
    <format dxfId="945">
      <pivotArea dataOnly="0" labelOnly="1" fieldPosition="0">
        <references count="2">
          <reference field="0" count="1" selected="0">
            <x v="49"/>
          </reference>
          <reference field="1" count="1">
            <x v="49"/>
          </reference>
        </references>
      </pivotArea>
    </format>
    <format dxfId="944">
      <pivotArea dataOnly="0" labelOnly="1" fieldPosition="0">
        <references count="2">
          <reference field="0" count="1" selected="0">
            <x v="105"/>
          </reference>
          <reference field="1" count="1">
            <x v="224"/>
          </reference>
        </references>
      </pivotArea>
    </format>
    <format dxfId="943">
      <pivotArea dataOnly="0" labelOnly="1" fieldPosition="0">
        <references count="2">
          <reference field="0" count="1" selected="0">
            <x v="254"/>
          </reference>
          <reference field="1" count="1">
            <x v="79"/>
          </reference>
        </references>
      </pivotArea>
    </format>
    <format dxfId="942">
      <pivotArea dataOnly="0" labelOnly="1" fieldPosition="0">
        <references count="2">
          <reference field="0" count="1" selected="0">
            <x v="257"/>
          </reference>
          <reference field="1" count="1">
            <x v="74"/>
          </reference>
        </references>
      </pivotArea>
    </format>
    <format dxfId="941">
      <pivotArea dataOnly="0" labelOnly="1" fieldPosition="0">
        <references count="2">
          <reference field="0" count="1" selected="0">
            <x v="120"/>
          </reference>
          <reference field="1" count="1">
            <x v="218"/>
          </reference>
        </references>
      </pivotArea>
    </format>
    <format dxfId="940">
      <pivotArea dataOnly="0" labelOnly="1" fieldPosition="0">
        <references count="2">
          <reference field="0" count="1" selected="0">
            <x v="164"/>
          </reference>
          <reference field="1" count="1">
            <x v="129"/>
          </reference>
        </references>
      </pivotArea>
    </format>
    <format dxfId="939">
      <pivotArea dataOnly="0" labelOnly="1" fieldPosition="0">
        <references count="2">
          <reference field="0" count="1" selected="0">
            <x v="62"/>
          </reference>
          <reference field="1" count="1">
            <x v="197"/>
          </reference>
        </references>
      </pivotArea>
    </format>
    <format dxfId="938">
      <pivotArea dataOnly="0" labelOnly="1" fieldPosition="0">
        <references count="2">
          <reference field="0" count="1" selected="0">
            <x v="142"/>
          </reference>
          <reference field="1" count="1">
            <x v="39"/>
          </reference>
        </references>
      </pivotArea>
    </format>
    <format dxfId="937">
      <pivotArea dataOnly="0" labelOnly="1" fieldPosition="0">
        <references count="2">
          <reference field="0" count="1" selected="0">
            <x v="194"/>
          </reference>
          <reference field="1" count="1">
            <x v="156"/>
          </reference>
        </references>
      </pivotArea>
    </format>
    <format dxfId="936">
      <pivotArea dataOnly="0" labelOnly="1" fieldPosition="0">
        <references count="2">
          <reference field="0" count="1" selected="0">
            <x v="100"/>
          </reference>
          <reference field="1" count="1">
            <x v="9"/>
          </reference>
        </references>
      </pivotArea>
    </format>
    <format dxfId="935">
      <pivotArea dataOnly="0" labelOnly="1" fieldPosition="0">
        <references count="2">
          <reference field="0" count="1" selected="0">
            <x v="64"/>
          </reference>
          <reference field="1" count="1">
            <x v="55"/>
          </reference>
        </references>
      </pivotArea>
    </format>
    <format dxfId="934">
      <pivotArea dataOnly="0" labelOnly="1" fieldPosition="0">
        <references count="2">
          <reference field="0" count="1" selected="0">
            <x v="96"/>
          </reference>
          <reference field="1" count="1">
            <x v="246"/>
          </reference>
        </references>
      </pivotArea>
    </format>
    <format dxfId="933">
      <pivotArea dataOnly="0" labelOnly="1" fieldPosition="0">
        <references count="2">
          <reference field="0" count="1" selected="0">
            <x v="138"/>
          </reference>
          <reference field="1" count="1">
            <x v="97"/>
          </reference>
        </references>
      </pivotArea>
    </format>
    <format dxfId="932">
      <pivotArea dataOnly="0" labelOnly="1" fieldPosition="0">
        <references count="2">
          <reference field="0" count="1" selected="0">
            <x v="23"/>
          </reference>
          <reference field="1" count="1">
            <x v="229"/>
          </reference>
        </references>
      </pivotArea>
    </format>
    <format dxfId="931">
      <pivotArea dataOnly="0" labelOnly="1" fieldPosition="0">
        <references count="2">
          <reference field="0" count="1" selected="0">
            <x v="36"/>
          </reference>
          <reference field="1" count="1">
            <x v="89"/>
          </reference>
        </references>
      </pivotArea>
    </format>
    <format dxfId="930">
      <pivotArea dataOnly="0" labelOnly="1" fieldPosition="0">
        <references count="2">
          <reference field="0" count="1" selected="0">
            <x v="107"/>
          </reference>
          <reference field="1" count="1">
            <x v="41"/>
          </reference>
        </references>
      </pivotArea>
    </format>
    <format dxfId="929">
      <pivotArea dataOnly="0" labelOnly="1" fieldPosition="0">
        <references count="2">
          <reference field="0" count="1" selected="0">
            <x v="159"/>
          </reference>
          <reference field="1" count="1">
            <x v="136"/>
          </reference>
        </references>
      </pivotArea>
    </format>
    <format dxfId="928">
      <pivotArea dataOnly="0" labelOnly="1" fieldPosition="0">
        <references count="2">
          <reference field="0" count="1" selected="0">
            <x v="127"/>
          </reference>
          <reference field="1" count="1">
            <x v="187"/>
          </reference>
        </references>
      </pivotArea>
    </format>
    <format dxfId="927">
      <pivotArea dataOnly="0" labelOnly="1" fieldPosition="0">
        <references count="2">
          <reference field="0" count="1" selected="0">
            <x v="197"/>
          </reference>
          <reference field="1" count="1">
            <x v="135"/>
          </reference>
        </references>
      </pivotArea>
    </format>
    <format dxfId="926">
      <pivotArea dataOnly="0" labelOnly="1" fieldPosition="0">
        <references count="2">
          <reference field="0" count="1" selected="0">
            <x v="50"/>
          </reference>
          <reference field="1" count="1">
            <x v="230"/>
          </reference>
        </references>
      </pivotArea>
    </format>
    <format dxfId="925">
      <pivotArea dataOnly="0" labelOnly="1" fieldPosition="0">
        <references count="2">
          <reference field="0" count="1" selected="0">
            <x v="119"/>
          </reference>
          <reference field="1" count="1">
            <x v="52"/>
          </reference>
        </references>
      </pivotArea>
    </format>
    <format dxfId="924">
      <pivotArea dataOnly="0" labelOnly="1" fieldPosition="0">
        <references count="2">
          <reference field="0" count="1" selected="0">
            <x v="104"/>
          </reference>
          <reference field="1" count="1">
            <x v="7"/>
          </reference>
        </references>
      </pivotArea>
    </format>
    <format dxfId="923">
      <pivotArea dataOnly="0" labelOnly="1" fieldPosition="0">
        <references count="2">
          <reference field="0" count="1" selected="0">
            <x v="198"/>
          </reference>
          <reference field="1" count="1">
            <x v="24"/>
          </reference>
        </references>
      </pivotArea>
    </format>
    <format dxfId="922">
      <pivotArea dataOnly="0" labelOnly="1" fieldPosition="0">
        <references count="2">
          <reference field="0" count="1" selected="0">
            <x v="24"/>
          </reference>
          <reference field="1" count="1">
            <x v="37"/>
          </reference>
        </references>
      </pivotArea>
    </format>
    <format dxfId="921">
      <pivotArea dataOnly="0" labelOnly="1" fieldPosition="0">
        <references count="2">
          <reference field="0" count="1" selected="0">
            <x v="228"/>
          </reference>
          <reference field="1" count="1">
            <x v="212"/>
          </reference>
        </references>
      </pivotArea>
    </format>
    <format dxfId="920">
      <pivotArea dataOnly="0" labelOnly="1" fieldPosition="0">
        <references count="2">
          <reference field="0" count="1" selected="0">
            <x v="126"/>
          </reference>
          <reference field="1" count="1">
            <x v="26"/>
          </reference>
        </references>
      </pivotArea>
    </format>
    <format dxfId="919">
      <pivotArea dataOnly="0" labelOnly="1" fieldPosition="0">
        <references count="2">
          <reference field="0" count="1" selected="0">
            <x v="17"/>
          </reference>
          <reference field="1" count="1">
            <x v="94"/>
          </reference>
        </references>
      </pivotArea>
    </format>
    <format dxfId="918">
      <pivotArea dataOnly="0" labelOnly="1" fieldPosition="0">
        <references count="2">
          <reference field="0" count="1" selected="0">
            <x v="76"/>
          </reference>
          <reference field="1" count="1">
            <x v="225"/>
          </reference>
        </references>
      </pivotArea>
    </format>
    <format dxfId="917">
      <pivotArea dataOnly="0" labelOnly="1" fieldPosition="0">
        <references count="2">
          <reference field="0" count="1" selected="0">
            <x v="186"/>
          </reference>
          <reference field="1" count="1">
            <x v="115"/>
          </reference>
        </references>
      </pivotArea>
    </format>
    <format dxfId="916">
      <pivotArea dataOnly="0" labelOnly="1" fieldPosition="0">
        <references count="2">
          <reference field="0" count="1" selected="0">
            <x v="92"/>
          </reference>
          <reference field="1" count="1">
            <x v="221"/>
          </reference>
        </references>
      </pivotArea>
    </format>
    <format dxfId="915">
      <pivotArea dataOnly="0" labelOnly="1" fieldPosition="0">
        <references count="2">
          <reference field="0" count="1" selected="0">
            <x v="217"/>
          </reference>
          <reference field="1" count="1">
            <x v="247"/>
          </reference>
        </references>
      </pivotArea>
    </format>
    <format dxfId="914">
      <pivotArea dataOnly="0" labelOnly="1" fieldPosition="0">
        <references count="2">
          <reference field="0" count="1" selected="0">
            <x v="256"/>
          </reference>
          <reference field="1" count="1">
            <x v="249"/>
          </reference>
        </references>
      </pivotArea>
    </format>
    <format dxfId="913">
      <pivotArea dataOnly="0" labelOnly="1" fieldPosition="0">
        <references count="2">
          <reference field="0" count="1" selected="0">
            <x v="132"/>
          </reference>
          <reference field="1" count="1">
            <x v="102"/>
          </reference>
        </references>
      </pivotArea>
    </format>
    <format dxfId="912">
      <pivotArea dataOnly="0" labelOnly="1" fieldPosition="0">
        <references count="2">
          <reference field="0" count="1" selected="0">
            <x v="230"/>
          </reference>
          <reference field="1" count="1">
            <x v="161"/>
          </reference>
        </references>
      </pivotArea>
    </format>
    <format dxfId="911">
      <pivotArea dataOnly="0" labelOnly="1" fieldPosition="0">
        <references count="2">
          <reference field="0" count="1" selected="0">
            <x v="116"/>
          </reference>
          <reference field="1" count="1">
            <x v="91"/>
          </reference>
        </references>
      </pivotArea>
    </format>
    <format dxfId="910">
      <pivotArea dataOnly="0" labelOnly="1" fieldPosition="0">
        <references count="2">
          <reference field="0" count="1" selected="0">
            <x v="58"/>
          </reference>
          <reference field="1" count="1">
            <x v="239"/>
          </reference>
        </references>
      </pivotArea>
    </format>
    <format dxfId="909">
      <pivotArea dataOnly="0" labelOnly="1" fieldPosition="0">
        <references count="2">
          <reference field="0" count="1" selected="0">
            <x v="51"/>
          </reference>
          <reference field="1" count="1">
            <x v="228"/>
          </reference>
        </references>
      </pivotArea>
    </format>
    <format dxfId="908">
      <pivotArea dataOnly="0" labelOnly="1" fieldPosition="0">
        <references count="2">
          <reference field="0" count="1" selected="0">
            <x v="218"/>
          </reference>
          <reference field="1" count="1">
            <x v="86"/>
          </reference>
        </references>
      </pivotArea>
    </format>
    <format dxfId="907">
      <pivotArea dataOnly="0" labelOnly="1" fieldPosition="0">
        <references count="2">
          <reference field="0" count="1" selected="0">
            <x v="56"/>
          </reference>
          <reference field="1" count="1">
            <x v="241"/>
          </reference>
        </references>
      </pivotArea>
    </format>
    <format dxfId="906">
      <pivotArea dataOnly="0" labelOnly="1" fieldPosition="0">
        <references count="2">
          <reference field="0" count="1" selected="0">
            <x v="94"/>
          </reference>
          <reference field="1" count="1">
            <x v="227"/>
          </reference>
        </references>
      </pivotArea>
    </format>
    <format dxfId="905">
      <pivotArea dataOnly="0" labelOnly="1" fieldPosition="0">
        <references count="2">
          <reference field="0" count="1" selected="0">
            <x v="211"/>
          </reference>
          <reference field="1" count="1">
            <x v="68"/>
          </reference>
        </references>
      </pivotArea>
    </format>
    <format dxfId="904">
      <pivotArea dataOnly="0" labelOnly="1" fieldPosition="0">
        <references count="2">
          <reference field="0" count="1" selected="0">
            <x v="207"/>
          </reference>
          <reference field="1" count="1">
            <x v="134"/>
          </reference>
        </references>
      </pivotArea>
    </format>
    <format dxfId="903">
      <pivotArea dataOnly="0" labelOnly="1" fieldPosition="0">
        <references count="2">
          <reference field="0" count="1" selected="0">
            <x v="44"/>
          </reference>
          <reference field="1" count="1">
            <x v="199"/>
          </reference>
        </references>
      </pivotArea>
    </format>
    <format dxfId="902">
      <pivotArea dataOnly="0" labelOnly="1" fieldPosition="0">
        <references count="2">
          <reference field="0" count="1" selected="0">
            <x v="222"/>
          </reference>
          <reference field="1" count="1">
            <x v="180"/>
          </reference>
        </references>
      </pivotArea>
    </format>
    <format dxfId="901">
      <pivotArea dataOnly="0" labelOnly="1" fieldPosition="0">
        <references count="2">
          <reference field="0" count="1" selected="0">
            <x v="70"/>
          </reference>
          <reference field="1" count="1">
            <x v="151"/>
          </reference>
        </references>
      </pivotArea>
    </format>
    <format dxfId="900">
      <pivotArea dataOnly="0" labelOnly="1" fieldPosition="0">
        <references count="2">
          <reference field="0" count="1" selected="0">
            <x v="34"/>
          </reference>
          <reference field="1" count="1">
            <x v="17"/>
          </reference>
        </references>
      </pivotArea>
    </format>
    <format dxfId="899">
      <pivotArea dataOnly="0" labelOnly="1" fieldPosition="0">
        <references count="2">
          <reference field="0" count="1" selected="0">
            <x v="81"/>
          </reference>
          <reference field="1" count="1">
            <x v="63"/>
          </reference>
        </references>
      </pivotArea>
    </format>
    <format dxfId="898">
      <pivotArea dataOnly="0" labelOnly="1" fieldPosition="0">
        <references count="2">
          <reference field="0" count="1" selected="0">
            <x v="45"/>
          </reference>
          <reference field="1" count="1">
            <x v="48"/>
          </reference>
        </references>
      </pivotArea>
    </format>
    <format dxfId="897">
      <pivotArea dataOnly="0" labelOnly="1" fieldPosition="0">
        <references count="2">
          <reference field="0" count="1" selected="0">
            <x v="175"/>
          </reference>
          <reference field="1" count="1">
            <x v="124"/>
          </reference>
        </references>
      </pivotArea>
    </format>
    <format dxfId="896">
      <pivotArea dataOnly="0" labelOnly="1" fieldPosition="0">
        <references count="2">
          <reference field="0" count="1" selected="0">
            <x v="69"/>
          </reference>
          <reference field="1" count="1">
            <x v="11"/>
          </reference>
        </references>
      </pivotArea>
    </format>
    <format dxfId="895">
      <pivotArea dataOnly="0" labelOnly="1" fieldPosition="0">
        <references count="2">
          <reference field="0" count="1" selected="0">
            <x v="21"/>
          </reference>
          <reference field="1" count="1">
            <x v="32"/>
          </reference>
        </references>
      </pivotArea>
    </format>
    <format dxfId="894">
      <pivotArea dataOnly="0" labelOnly="1" fieldPosition="0">
        <references count="2">
          <reference field="0" count="1" selected="0">
            <x v="114"/>
          </reference>
          <reference field="1" count="1">
            <x v="12"/>
          </reference>
        </references>
      </pivotArea>
    </format>
    <format dxfId="893">
      <pivotArea dataOnly="0" labelOnly="1" fieldPosition="0">
        <references count="2">
          <reference field="0" count="1" selected="0">
            <x v="84"/>
          </reference>
          <reference field="1" count="1">
            <x v="140"/>
          </reference>
        </references>
      </pivotArea>
    </format>
    <format dxfId="892">
      <pivotArea dataOnly="0" labelOnly="1" fieldPosition="0">
        <references count="2">
          <reference field="0" count="1" selected="0">
            <x v="110"/>
          </reference>
          <reference field="1" count="1">
            <x v="226"/>
          </reference>
        </references>
      </pivotArea>
    </format>
    <format dxfId="891">
      <pivotArea dataOnly="0" labelOnly="1" fieldPosition="0">
        <references count="2">
          <reference field="0" count="1" selected="0">
            <x v="106"/>
          </reference>
          <reference field="1" count="1">
            <x v="196"/>
          </reference>
        </references>
      </pivotArea>
    </format>
    <format dxfId="890">
      <pivotArea dataOnly="0" labelOnly="1" fieldPosition="0">
        <references count="2">
          <reference field="0" count="1" selected="0">
            <x v="77"/>
          </reference>
          <reference field="1" count="1">
            <x v="200"/>
          </reference>
        </references>
      </pivotArea>
    </format>
    <format dxfId="889">
      <pivotArea dataOnly="0" labelOnly="1" fieldPosition="0">
        <references count="2">
          <reference field="0" count="1" selected="0">
            <x v="117"/>
          </reference>
          <reference field="1" count="1">
            <x v="33"/>
          </reference>
        </references>
      </pivotArea>
    </format>
    <format dxfId="888">
      <pivotArea dataOnly="0" labelOnly="1" fieldPosition="0">
        <references count="2">
          <reference field="0" count="1" selected="0">
            <x v="124"/>
          </reference>
          <reference field="1" count="1">
            <x v="216"/>
          </reference>
        </references>
      </pivotArea>
    </format>
    <format dxfId="887">
      <pivotArea dataOnly="0" labelOnly="1" fieldPosition="0">
        <references count="2">
          <reference field="0" count="1" selected="0">
            <x v="80"/>
          </reference>
          <reference field="1" count="1">
            <x v="58"/>
          </reference>
        </references>
      </pivotArea>
    </format>
    <format dxfId="886">
      <pivotArea dataOnly="0" labelOnly="1" fieldPosition="0">
        <references count="2">
          <reference field="0" count="1" selected="0">
            <x v="172"/>
          </reference>
          <reference field="1" count="1">
            <x v="101"/>
          </reference>
        </references>
      </pivotArea>
    </format>
    <format dxfId="885">
      <pivotArea dataOnly="0" labelOnly="1" fieldPosition="0">
        <references count="2">
          <reference field="0" count="1" selected="0">
            <x v="157"/>
          </reference>
          <reference field="1" count="1">
            <x v="183"/>
          </reference>
        </references>
      </pivotArea>
    </format>
    <format dxfId="884">
      <pivotArea dataOnly="0" labelOnly="1" fieldPosition="0">
        <references count="2">
          <reference field="0" count="1" selected="0">
            <x v="109"/>
          </reference>
          <reference field="1" count="1">
            <x v="220"/>
          </reference>
        </references>
      </pivotArea>
    </format>
    <format dxfId="883">
      <pivotArea dataOnly="0" labelOnly="1" fieldPosition="0">
        <references count="2">
          <reference field="0" count="1" selected="0">
            <x v="32"/>
          </reference>
          <reference field="1" count="1">
            <x v="159"/>
          </reference>
        </references>
      </pivotArea>
    </format>
    <format dxfId="882">
      <pivotArea dataOnly="0" labelOnly="1" fieldPosition="0">
        <references count="2">
          <reference field="0" count="1" selected="0">
            <x v="40"/>
          </reference>
          <reference field="1" count="1">
            <x v="36"/>
          </reference>
        </references>
      </pivotArea>
    </format>
    <format dxfId="881">
      <pivotArea dataOnly="0" labelOnly="1" fieldPosition="0">
        <references count="2">
          <reference field="0" count="1" selected="0">
            <x v="54"/>
          </reference>
          <reference field="1" count="1">
            <x v="207"/>
          </reference>
        </references>
      </pivotArea>
    </format>
    <format dxfId="880">
      <pivotArea dataOnly="0" labelOnly="1" fieldPosition="0">
        <references count="2">
          <reference field="0" count="1" selected="0">
            <x v="108"/>
          </reference>
          <reference field="1" count="1">
            <x v="5"/>
          </reference>
        </references>
      </pivotArea>
    </format>
    <format dxfId="879">
      <pivotArea dataOnly="0" labelOnly="1" fieldPosition="0">
        <references count="2">
          <reference field="0" count="1" selected="0">
            <x v="200"/>
          </reference>
          <reference field="1" count="1">
            <x v="123"/>
          </reference>
        </references>
      </pivotArea>
    </format>
    <format dxfId="878">
      <pivotArea dataOnly="0" labelOnly="1" fieldPosition="0">
        <references count="2">
          <reference field="0" count="1" selected="0">
            <x v="156"/>
          </reference>
          <reference field="1" count="1">
            <x v="144"/>
          </reference>
        </references>
      </pivotArea>
    </format>
    <format dxfId="877">
      <pivotArea dataOnly="0" labelOnly="1" fieldPosition="0">
        <references count="2">
          <reference field="0" count="1" selected="0">
            <x v="74"/>
          </reference>
          <reference field="1" count="1">
            <x v="219"/>
          </reference>
        </references>
      </pivotArea>
    </format>
    <format dxfId="876">
      <pivotArea dataOnly="0" labelOnly="1" fieldPosition="0">
        <references count="2">
          <reference field="0" count="1" selected="0">
            <x v="27"/>
          </reference>
          <reference field="1" count="1">
            <x v="257"/>
          </reference>
        </references>
      </pivotArea>
    </format>
    <format dxfId="875">
      <pivotArea dataOnly="0" labelOnly="1" fieldPosition="0">
        <references count="2">
          <reference field="0" count="1" selected="0">
            <x v="43"/>
          </reference>
          <reference field="1" count="1">
            <x v="46"/>
          </reference>
        </references>
      </pivotArea>
    </format>
    <format dxfId="874">
      <pivotArea dataOnly="0" labelOnly="1" fieldPosition="0">
        <references count="2">
          <reference field="0" count="1" selected="0">
            <x v="66"/>
          </reference>
          <reference field="1" count="1">
            <x v="28"/>
          </reference>
        </references>
      </pivotArea>
    </format>
    <format dxfId="873">
      <pivotArea dataOnly="0" labelOnly="1" fieldPosition="0">
        <references count="2">
          <reference field="0" count="1" selected="0">
            <x v="47"/>
          </reference>
          <reference field="1" count="1">
            <x v="99"/>
          </reference>
        </references>
      </pivotArea>
    </format>
    <format dxfId="872">
      <pivotArea dataOnly="0" labelOnly="1" fieldPosition="0">
        <references count="2">
          <reference field="0" count="1" selected="0">
            <x v="33"/>
          </reference>
          <reference field="1" count="1">
            <x v="20"/>
          </reference>
        </references>
      </pivotArea>
    </format>
    <format dxfId="871">
      <pivotArea dataOnly="0" labelOnly="1" fieldPosition="0">
        <references count="2">
          <reference field="0" count="1" selected="0">
            <x v="219"/>
          </reference>
          <reference field="1" count="1">
            <x v="71"/>
          </reference>
        </references>
      </pivotArea>
    </format>
    <format dxfId="870">
      <pivotArea dataOnly="0" labelOnly="1" fieldPosition="0">
        <references count="2">
          <reference field="0" count="1" selected="0">
            <x v="191"/>
          </reference>
          <reference field="1" count="1">
            <x v="245"/>
          </reference>
        </references>
      </pivotArea>
    </format>
    <format dxfId="869">
      <pivotArea dataOnly="0" labelOnly="1" fieldPosition="0">
        <references count="2">
          <reference field="0" count="1" selected="0">
            <x v="123"/>
          </reference>
          <reference field="1" count="1">
            <x v="155"/>
          </reference>
        </references>
      </pivotArea>
    </format>
    <format dxfId="868">
      <pivotArea dataOnly="0" labelOnly="1" fieldPosition="0">
        <references count="2">
          <reference field="0" count="1" selected="0">
            <x v="192"/>
          </reference>
          <reference field="1" count="1">
            <x v="38"/>
          </reference>
        </references>
      </pivotArea>
    </format>
    <format dxfId="867">
      <pivotArea dataOnly="0" labelOnly="1" fieldPosition="0">
        <references count="2">
          <reference field="0" count="1" selected="0">
            <x v="171"/>
          </reference>
          <reference field="1" count="1">
            <x v="126"/>
          </reference>
        </references>
      </pivotArea>
    </format>
    <format dxfId="866">
      <pivotArea dataOnly="0" labelOnly="1" fieldPosition="0">
        <references count="2">
          <reference field="0" count="1" selected="0">
            <x v="46"/>
          </reference>
          <reference field="1" count="1">
            <x v="47"/>
          </reference>
        </references>
      </pivotArea>
    </format>
    <format dxfId="865">
      <pivotArea dataOnly="0" labelOnly="1" fieldPosition="0">
        <references count="2">
          <reference field="0" count="1" selected="0">
            <x v="31"/>
          </reference>
          <reference field="1" count="1">
            <x v="16"/>
          </reference>
        </references>
      </pivotArea>
    </format>
    <format dxfId="864">
      <pivotArea dataOnly="0" labelOnly="1" fieldPosition="0">
        <references count="2">
          <reference field="0" count="1" selected="0">
            <x v="52"/>
          </reference>
          <reference field="1" count="1">
            <x v="215"/>
          </reference>
        </references>
      </pivotArea>
    </format>
    <format dxfId="863">
      <pivotArea dataOnly="0" labelOnly="1" fieldPosition="0">
        <references count="2">
          <reference field="0" count="1" selected="0">
            <x v="26"/>
          </reference>
          <reference field="1" count="1">
            <x v="148"/>
          </reference>
        </references>
      </pivotArea>
    </format>
    <format dxfId="862">
      <pivotArea dataOnly="0" labelOnly="1" fieldPosition="0">
        <references count="2">
          <reference field="0" count="1" selected="0">
            <x v="14"/>
          </reference>
          <reference field="1" count="1">
            <x v="252"/>
          </reference>
        </references>
      </pivotArea>
    </format>
    <format dxfId="861">
      <pivotArea dataOnly="0" labelOnly="1" fieldPosition="0">
        <references count="2">
          <reference field="0" count="1" selected="0">
            <x v="125"/>
          </reference>
          <reference field="1" count="1">
            <x v="43"/>
          </reference>
        </references>
      </pivotArea>
    </format>
    <format dxfId="860">
      <pivotArea dataOnly="0" labelOnly="1" fieldPosition="0">
        <references count="2">
          <reference field="0" count="1" selected="0">
            <x v="115"/>
          </reference>
          <reference field="1" count="1">
            <x v="90"/>
          </reference>
        </references>
      </pivotArea>
    </format>
    <format dxfId="859">
      <pivotArea dataOnly="0" labelOnly="1" fieldPosition="0">
        <references count="2">
          <reference field="0" count="1" selected="0">
            <x v="35"/>
          </reference>
          <reference field="1" count="1">
            <x v="15"/>
          </reference>
        </references>
      </pivotArea>
    </format>
    <format dxfId="858">
      <pivotArea field="0" type="button" dataOnly="0" labelOnly="1" outline="0" axis="axisRow" fieldPosition="0"/>
    </format>
    <format dxfId="857">
      <pivotArea dataOnly="0" labelOnly="1" fieldPosition="0">
        <references count="1">
          <reference field="0" count="50">
            <x v="0"/>
            <x v="1"/>
            <x v="3"/>
            <x v="5"/>
            <x v="6"/>
            <x v="8"/>
            <x v="11"/>
            <x v="25"/>
            <x v="71"/>
            <x v="79"/>
            <x v="82"/>
            <x v="87"/>
            <x v="130"/>
            <x v="131"/>
            <x v="133"/>
            <x v="134"/>
            <x v="135"/>
            <x v="136"/>
            <x v="143"/>
            <x v="150"/>
            <x v="151"/>
            <x v="153"/>
            <x v="165"/>
            <x v="167"/>
            <x v="168"/>
            <x v="176"/>
            <x v="177"/>
            <x v="179"/>
            <x v="180"/>
            <x v="182"/>
            <x v="184"/>
            <x v="188"/>
            <x v="199"/>
            <x v="201"/>
            <x v="203"/>
            <x v="204"/>
            <x v="205"/>
            <x v="210"/>
            <x v="213"/>
            <x v="216"/>
            <x v="220"/>
            <x v="224"/>
            <x v="226"/>
            <x v="233"/>
            <x v="240"/>
            <x v="244"/>
            <x v="245"/>
            <x v="246"/>
            <x v="249"/>
            <x v="250"/>
          </reference>
        </references>
      </pivotArea>
    </format>
    <format dxfId="856">
      <pivotArea dataOnly="0" labelOnly="1" fieldPosition="0">
        <references count="1">
          <reference field="0" count="50">
            <x v="2"/>
            <x v="4"/>
            <x v="7"/>
            <x v="9"/>
            <x v="10"/>
            <x v="18"/>
            <x v="19"/>
            <x v="20"/>
            <x v="22"/>
            <x v="28"/>
            <x v="37"/>
            <x v="41"/>
            <x v="42"/>
            <x v="48"/>
            <x v="55"/>
            <x v="57"/>
            <x v="61"/>
            <x v="73"/>
            <x v="86"/>
            <x v="88"/>
            <x v="90"/>
            <x v="128"/>
            <x v="137"/>
            <x v="141"/>
            <x v="144"/>
            <x v="146"/>
            <x v="148"/>
            <x v="149"/>
            <x v="155"/>
            <x v="163"/>
            <x v="169"/>
            <x v="170"/>
            <x v="174"/>
            <x v="178"/>
            <x v="183"/>
            <x v="189"/>
            <x v="193"/>
            <x v="195"/>
            <x v="202"/>
            <x v="206"/>
            <x v="212"/>
            <x v="214"/>
            <x v="221"/>
            <x v="231"/>
            <x v="232"/>
            <x v="241"/>
            <x v="247"/>
            <x v="251"/>
            <x v="252"/>
            <x v="255"/>
          </reference>
        </references>
      </pivotArea>
    </format>
    <format dxfId="855">
      <pivotArea dataOnly="0" labelOnly="1" fieldPosition="0">
        <references count="1">
          <reference field="0" count="50">
            <x v="13"/>
            <x v="16"/>
            <x v="29"/>
            <x v="30"/>
            <x v="39"/>
            <x v="53"/>
            <x v="59"/>
            <x v="60"/>
            <x v="63"/>
            <x v="68"/>
            <x v="72"/>
            <x v="78"/>
            <x v="83"/>
            <x v="89"/>
            <x v="91"/>
            <x v="95"/>
            <x v="97"/>
            <x v="101"/>
            <x v="111"/>
            <x v="112"/>
            <x v="113"/>
            <x v="122"/>
            <x v="129"/>
            <x v="139"/>
            <x v="140"/>
            <x v="145"/>
            <x v="147"/>
            <x v="152"/>
            <x v="160"/>
            <x v="162"/>
            <x v="166"/>
            <x v="173"/>
            <x v="181"/>
            <x v="185"/>
            <x v="190"/>
            <x v="196"/>
            <x v="208"/>
            <x v="209"/>
            <x v="215"/>
            <x v="223"/>
            <x v="225"/>
            <x v="227"/>
            <x v="236"/>
            <x v="237"/>
            <x v="238"/>
            <x v="239"/>
            <x v="242"/>
            <x v="243"/>
            <x v="248"/>
            <x v="253"/>
          </reference>
        </references>
      </pivotArea>
    </format>
    <format dxfId="854">
      <pivotArea dataOnly="0" labelOnly="1" fieldPosition="0">
        <references count="1">
          <reference field="0" count="50">
            <x v="12"/>
            <x v="15"/>
            <x v="17"/>
            <x v="23"/>
            <x v="24"/>
            <x v="36"/>
            <x v="38"/>
            <x v="49"/>
            <x v="50"/>
            <x v="62"/>
            <x v="64"/>
            <x v="65"/>
            <x v="67"/>
            <x v="75"/>
            <x v="76"/>
            <x v="85"/>
            <x v="93"/>
            <x v="96"/>
            <x v="98"/>
            <x v="99"/>
            <x v="100"/>
            <x v="102"/>
            <x v="103"/>
            <x v="104"/>
            <x v="105"/>
            <x v="107"/>
            <x v="118"/>
            <x v="119"/>
            <x v="120"/>
            <x v="121"/>
            <x v="126"/>
            <x v="127"/>
            <x v="138"/>
            <x v="142"/>
            <x v="154"/>
            <x v="158"/>
            <x v="159"/>
            <x v="161"/>
            <x v="164"/>
            <x v="186"/>
            <x v="187"/>
            <x v="194"/>
            <x v="197"/>
            <x v="198"/>
            <x v="228"/>
            <x v="229"/>
            <x v="234"/>
            <x v="235"/>
            <x v="254"/>
            <x v="257"/>
          </reference>
        </references>
      </pivotArea>
    </format>
    <format dxfId="853">
      <pivotArea dataOnly="0" labelOnly="1" fieldPosition="0">
        <references count="1">
          <reference field="0" count="50">
            <x v="21"/>
            <x v="27"/>
            <x v="32"/>
            <x v="33"/>
            <x v="34"/>
            <x v="40"/>
            <x v="43"/>
            <x v="44"/>
            <x v="45"/>
            <x v="47"/>
            <x v="51"/>
            <x v="54"/>
            <x v="56"/>
            <x v="58"/>
            <x v="66"/>
            <x v="69"/>
            <x v="70"/>
            <x v="74"/>
            <x v="77"/>
            <x v="80"/>
            <x v="81"/>
            <x v="84"/>
            <x v="92"/>
            <x v="94"/>
            <x v="106"/>
            <x v="108"/>
            <x v="109"/>
            <x v="110"/>
            <x v="114"/>
            <x v="116"/>
            <x v="117"/>
            <x v="123"/>
            <x v="124"/>
            <x v="132"/>
            <x v="156"/>
            <x v="157"/>
            <x v="171"/>
            <x v="172"/>
            <x v="175"/>
            <x v="191"/>
            <x v="192"/>
            <x v="200"/>
            <x v="207"/>
            <x v="211"/>
            <x v="217"/>
            <x v="218"/>
            <x v="219"/>
            <x v="222"/>
            <x v="230"/>
            <x v="256"/>
          </reference>
        </references>
      </pivotArea>
    </format>
    <format dxfId="852">
      <pivotArea dataOnly="0" labelOnly="1" fieldPosition="0">
        <references count="1">
          <reference field="0" count="8">
            <x v="14"/>
            <x v="26"/>
            <x v="31"/>
            <x v="35"/>
            <x v="46"/>
            <x v="52"/>
            <x v="115"/>
            <x v="125"/>
          </reference>
        </references>
      </pivotArea>
    </format>
    <format dxfId="851">
      <pivotArea dataOnly="0" labelOnly="1" grandRow="1" outline="0" fieldPosition="0"/>
    </format>
    <format dxfId="850">
      <pivotArea dataOnly="0" labelOnly="1" fieldPosition="0">
        <references count="2">
          <reference field="0" count="1" selected="0">
            <x v="82"/>
          </reference>
          <reference field="1" count="1">
            <x v="62"/>
          </reference>
        </references>
      </pivotArea>
    </format>
    <format dxfId="849">
      <pivotArea dataOnly="0" labelOnly="1" fieldPosition="0">
        <references count="2">
          <reference field="0" count="1" selected="0">
            <x v="3"/>
          </reference>
          <reference field="1" count="1">
            <x v="179"/>
          </reference>
        </references>
      </pivotArea>
    </format>
    <format dxfId="848">
      <pivotArea dataOnly="0" labelOnly="1" fieldPosition="0">
        <references count="2">
          <reference field="0" count="1" selected="0">
            <x v="250"/>
          </reference>
          <reference field="1" count="1">
            <x v="87"/>
          </reference>
        </references>
      </pivotArea>
    </format>
    <format dxfId="847">
      <pivotArea dataOnly="0" labelOnly="1" fieldPosition="0">
        <references count="2">
          <reference field="0" count="1" selected="0">
            <x v="201"/>
          </reference>
          <reference field="1" count="1">
            <x v="133"/>
          </reference>
        </references>
      </pivotArea>
    </format>
    <format dxfId="846">
      <pivotArea dataOnly="0" labelOnly="1" fieldPosition="0">
        <references count="2">
          <reference field="0" count="1" selected="0">
            <x v="133"/>
          </reference>
          <reference field="1" count="1">
            <x v="244"/>
          </reference>
        </references>
      </pivotArea>
    </format>
    <format dxfId="845">
      <pivotArea dataOnly="0" labelOnly="1" fieldPosition="0">
        <references count="2">
          <reference field="0" count="1" selected="0">
            <x v="244"/>
          </reference>
          <reference field="1" count="1">
            <x v="76"/>
          </reference>
        </references>
      </pivotArea>
    </format>
    <format dxfId="844">
      <pivotArea dataOnly="0" labelOnly="1" fieldPosition="0">
        <references count="2">
          <reference field="0" count="1" selected="0">
            <x v="249"/>
          </reference>
          <reference field="1" count="1">
            <x v="204"/>
          </reference>
        </references>
      </pivotArea>
    </format>
    <format dxfId="843">
      <pivotArea dataOnly="0" labelOnly="1" fieldPosition="0">
        <references count="2">
          <reference field="0" count="1" selected="0">
            <x v="179"/>
          </reference>
          <reference field="1" count="1">
            <x v="139"/>
          </reference>
        </references>
      </pivotArea>
    </format>
    <format dxfId="842">
      <pivotArea dataOnly="0" labelOnly="1" fieldPosition="0">
        <references count="2">
          <reference field="0" count="1" selected="0">
            <x v="165"/>
          </reference>
          <reference field="1" count="1">
            <x v="186"/>
          </reference>
        </references>
      </pivotArea>
    </format>
    <format dxfId="841">
      <pivotArea dataOnly="0" labelOnly="1" fieldPosition="0">
        <references count="2">
          <reference field="0" count="1" selected="0">
            <x v="131"/>
          </reference>
          <reference field="1" count="1">
            <x v="165"/>
          </reference>
        </references>
      </pivotArea>
    </format>
    <format dxfId="840">
      <pivotArea dataOnly="0" labelOnly="1" fieldPosition="0">
        <references count="2">
          <reference field="0" count="1" selected="0">
            <x v="143"/>
          </reference>
          <reference field="1" count="1">
            <x v="44"/>
          </reference>
        </references>
      </pivotArea>
    </format>
    <format dxfId="839">
      <pivotArea dataOnly="0" labelOnly="1" fieldPosition="0">
        <references count="2">
          <reference field="0" count="1" selected="0">
            <x v="203"/>
          </reference>
          <reference field="1" count="1">
            <x v="232"/>
          </reference>
        </references>
      </pivotArea>
    </format>
    <format dxfId="838">
      <pivotArea dataOnly="0" labelOnly="1" fieldPosition="0">
        <references count="2">
          <reference field="0" count="1" selected="0">
            <x v="204"/>
          </reference>
          <reference field="1" count="1">
            <x v="27"/>
          </reference>
        </references>
      </pivotArea>
    </format>
    <format dxfId="837">
      <pivotArea dataOnly="0" labelOnly="1" fieldPosition="0">
        <references count="2">
          <reference field="0" count="1" selected="0">
            <x v="168"/>
          </reference>
          <reference field="1" count="1">
            <x v="253"/>
          </reference>
        </references>
      </pivotArea>
    </format>
    <format dxfId="836">
      <pivotArea dataOnly="0" labelOnly="1" fieldPosition="0">
        <references count="2">
          <reference field="0" count="1" selected="0">
            <x v="71"/>
          </reference>
          <reference field="1" count="1">
            <x v="201"/>
          </reference>
        </references>
      </pivotArea>
    </format>
    <format dxfId="835">
      <pivotArea dataOnly="0" labelOnly="1" fieldPosition="0">
        <references count="2">
          <reference field="0" count="1" selected="0">
            <x v="245"/>
          </reference>
          <reference field="1" count="1">
            <x v="34"/>
          </reference>
        </references>
      </pivotArea>
    </format>
    <format dxfId="834">
      <pivotArea dataOnly="0" labelOnly="1" fieldPosition="0">
        <references count="2">
          <reference field="0" count="1" selected="0">
            <x v="135"/>
          </reference>
          <reference field="1" count="1">
            <x v="189"/>
          </reference>
        </references>
      </pivotArea>
    </format>
    <format dxfId="833">
      <pivotArea dataOnly="0" labelOnly="1" fieldPosition="0">
        <references count="2">
          <reference field="0" count="1" selected="0">
            <x v="184"/>
          </reference>
          <reference field="1" count="1">
            <x v="117"/>
          </reference>
        </references>
      </pivotArea>
    </format>
    <format dxfId="832">
      <pivotArea dataOnly="0" labelOnly="1" fieldPosition="0">
        <references count="2">
          <reference field="0" count="1" selected="0">
            <x v="224"/>
          </reference>
          <reference field="1" count="1">
            <x v="73"/>
          </reference>
        </references>
      </pivotArea>
    </format>
    <format dxfId="831">
      <pivotArea dataOnly="0" labelOnly="1" fieldPosition="0">
        <references count="2">
          <reference field="0" count="1" selected="0">
            <x v="87"/>
          </reference>
          <reference field="1" count="1">
            <x v="61"/>
          </reference>
        </references>
      </pivotArea>
    </format>
    <format dxfId="830">
      <pivotArea dataOnly="0" labelOnly="1" fieldPosition="0">
        <references count="2">
          <reference field="0" count="1" selected="0">
            <x v="199"/>
          </reference>
          <reference field="1" count="1">
            <x v="127"/>
          </reference>
        </references>
      </pivotArea>
    </format>
    <format dxfId="829">
      <pivotArea dataOnly="0" labelOnly="1" fieldPosition="0">
        <references count="2">
          <reference field="0" count="1" selected="0">
            <x v="220"/>
          </reference>
          <reference field="1" count="1">
            <x v="78"/>
          </reference>
        </references>
      </pivotArea>
    </format>
    <format dxfId="828">
      <pivotArea dataOnly="0" labelOnly="1" fieldPosition="0">
        <references count="2">
          <reference field="0" count="1" selected="0">
            <x v="213"/>
          </reference>
          <reference field="1" count="1">
            <x v="84"/>
          </reference>
        </references>
      </pivotArea>
    </format>
    <format dxfId="827">
      <pivotArea dataOnly="0" labelOnly="1" fieldPosition="0">
        <references count="2">
          <reference field="0" count="1" selected="0">
            <x v="5"/>
          </reference>
          <reference field="1" count="1">
            <x v="0"/>
          </reference>
        </references>
      </pivotArea>
    </format>
    <format dxfId="826">
      <pivotArea dataOnly="0" labelOnly="1" fieldPosition="0">
        <references count="2">
          <reference field="0" count="1" selected="0">
            <x v="136"/>
          </reference>
          <reference field="1" count="1">
            <x v="4"/>
          </reference>
        </references>
      </pivotArea>
    </format>
    <format dxfId="825">
      <pivotArea dataOnly="0" labelOnly="1" fieldPosition="0">
        <references count="2">
          <reference field="0" count="1" selected="0">
            <x v="8"/>
          </reference>
          <reference field="1" count="1">
            <x v="10"/>
          </reference>
        </references>
      </pivotArea>
    </format>
    <format dxfId="824">
      <pivotArea dataOnly="0" labelOnly="1" fieldPosition="0">
        <references count="2">
          <reference field="0" count="1" selected="0">
            <x v="240"/>
          </reference>
          <reference field="1" count="1">
            <x v="77"/>
          </reference>
        </references>
      </pivotArea>
    </format>
    <format dxfId="823">
      <pivotArea dataOnly="0" labelOnly="1" fieldPosition="0">
        <references count="2">
          <reference field="0" count="1" selected="0">
            <x v="153"/>
          </reference>
          <reference field="1" count="1">
            <x v="167"/>
          </reference>
        </references>
      </pivotArea>
    </format>
    <format dxfId="822">
      <pivotArea dataOnly="0" labelOnly="1" fieldPosition="0">
        <references count="2">
          <reference field="0" count="1" selected="0">
            <x v="167"/>
          </reference>
          <reference field="1" count="1">
            <x v="138"/>
          </reference>
        </references>
      </pivotArea>
    </format>
    <format dxfId="821">
      <pivotArea dataOnly="0" labelOnly="1" fieldPosition="0">
        <references count="2">
          <reference field="0" count="1" selected="0">
            <x v="151"/>
          </reference>
          <reference field="1" count="1">
            <x v="203"/>
          </reference>
        </references>
      </pivotArea>
    </format>
    <format dxfId="820">
      <pivotArea dataOnly="0" labelOnly="1" fieldPosition="0">
        <references count="2">
          <reference field="0" count="1" selected="0">
            <x v="188"/>
          </reference>
          <reference field="1" count="1">
            <x v="162"/>
          </reference>
        </references>
      </pivotArea>
    </format>
    <format dxfId="819">
      <pivotArea dataOnly="0" labelOnly="1" fieldPosition="0">
        <references count="2">
          <reference field="0" count="1" selected="0">
            <x v="205"/>
          </reference>
          <reference field="1" count="1">
            <x v="237"/>
          </reference>
        </references>
      </pivotArea>
    </format>
    <format dxfId="818">
      <pivotArea dataOnly="0" labelOnly="1" fieldPosition="0">
        <references count="2">
          <reference field="0" count="1" selected="0">
            <x v="210"/>
          </reference>
          <reference field="1" count="1">
            <x v="70"/>
          </reference>
        </references>
      </pivotArea>
    </format>
    <format dxfId="817">
      <pivotArea dataOnly="0" labelOnly="1" fieldPosition="0">
        <references count="2">
          <reference field="0" count="1" selected="0">
            <x v="0"/>
          </reference>
          <reference field="1" count="1">
            <x v="175"/>
          </reference>
        </references>
      </pivotArea>
    </format>
    <format dxfId="816">
      <pivotArea dataOnly="0" labelOnly="1" fieldPosition="0">
        <references count="2">
          <reference field="0" count="1" selected="0">
            <x v="216"/>
          </reference>
          <reference field="1" count="1">
            <x v="66"/>
          </reference>
        </references>
      </pivotArea>
    </format>
    <format dxfId="815">
      <pivotArea dataOnly="0" labelOnly="1" fieldPosition="0">
        <references count="2">
          <reference field="0" count="1" selected="0">
            <x v="130"/>
          </reference>
          <reference field="1" count="1">
            <x v="54"/>
          </reference>
        </references>
      </pivotArea>
    </format>
    <format dxfId="814">
      <pivotArea dataOnly="0" labelOnly="1" fieldPosition="0">
        <references count="2">
          <reference field="0" count="1" selected="0">
            <x v="79"/>
          </reference>
          <reference field="1" count="1">
            <x v="19"/>
          </reference>
        </references>
      </pivotArea>
    </format>
    <format dxfId="813">
      <pivotArea dataOnly="0" labelOnly="1" fieldPosition="0">
        <references count="2">
          <reference field="0" count="1" selected="0">
            <x v="25"/>
          </reference>
          <reference field="1" count="1">
            <x v="21"/>
          </reference>
        </references>
      </pivotArea>
    </format>
    <format dxfId="812">
      <pivotArea dataOnly="0" labelOnly="1" fieldPosition="0">
        <references count="2">
          <reference field="0" count="1" selected="0">
            <x v="11"/>
          </reference>
          <reference field="1" count="1">
            <x v="42"/>
          </reference>
        </references>
      </pivotArea>
    </format>
    <format dxfId="811">
      <pivotArea dataOnly="0" labelOnly="1" fieldPosition="0">
        <references count="2">
          <reference field="0" count="1" selected="0">
            <x v="246"/>
          </reference>
          <reference field="1" count="1">
            <x v="166"/>
          </reference>
        </references>
      </pivotArea>
    </format>
    <format dxfId="810">
      <pivotArea dataOnly="0" labelOnly="1" fieldPosition="0">
        <references count="2">
          <reference field="0" count="1" selected="0">
            <x v="182"/>
          </reference>
          <reference field="1" count="1">
            <x v="111"/>
          </reference>
        </references>
      </pivotArea>
    </format>
    <format dxfId="809">
      <pivotArea dataOnly="0" labelOnly="1" fieldPosition="0">
        <references count="2">
          <reference field="0" count="1" selected="0">
            <x v="177"/>
          </reference>
          <reference field="1" count="1">
            <x v="142"/>
          </reference>
        </references>
      </pivotArea>
    </format>
    <format dxfId="808">
      <pivotArea dataOnly="0" labelOnly="1" fieldPosition="0">
        <references count="2">
          <reference field="0" count="1" selected="0">
            <x v="1"/>
          </reference>
          <reference field="1" count="1">
            <x v="176"/>
          </reference>
        </references>
      </pivotArea>
    </format>
    <format dxfId="807">
      <pivotArea dataOnly="0" labelOnly="1" fieldPosition="0">
        <references count="2">
          <reference field="0" count="1" selected="0">
            <x v="150"/>
          </reference>
          <reference field="1" count="1">
            <x v="110"/>
          </reference>
        </references>
      </pivotArea>
    </format>
    <format dxfId="806">
      <pivotArea dataOnly="0" labelOnly="1" fieldPosition="0">
        <references count="2">
          <reference field="0" count="1" selected="0">
            <x v="6"/>
          </reference>
          <reference field="1" count="1">
            <x v="173"/>
          </reference>
        </references>
      </pivotArea>
    </format>
    <format dxfId="805">
      <pivotArea dataOnly="0" labelOnly="1" fieldPosition="0">
        <references count="2">
          <reference field="0" count="1" selected="0">
            <x v="226"/>
          </reference>
          <reference field="1" count="1">
            <x v="233"/>
          </reference>
        </references>
      </pivotArea>
    </format>
    <format dxfId="804">
      <pivotArea dataOnly="0" labelOnly="1" fieldPosition="0">
        <references count="2">
          <reference field="0" count="1" selected="0">
            <x v="233"/>
          </reference>
          <reference field="1" count="1">
            <x v="236"/>
          </reference>
        </references>
      </pivotArea>
    </format>
    <format dxfId="803">
      <pivotArea dataOnly="0" labelOnly="1" fieldPosition="0">
        <references count="2">
          <reference field="0" count="1" selected="0">
            <x v="180"/>
          </reference>
          <reference field="1" count="1">
            <x v="109"/>
          </reference>
        </references>
      </pivotArea>
    </format>
    <format dxfId="802">
      <pivotArea dataOnly="0" labelOnly="1" fieldPosition="0">
        <references count="2">
          <reference field="0" count="1" selected="0">
            <x v="176"/>
          </reference>
          <reference field="1" count="1">
            <x v="56"/>
          </reference>
        </references>
      </pivotArea>
    </format>
    <format dxfId="801">
      <pivotArea dataOnly="0" labelOnly="1" fieldPosition="0">
        <references count="2">
          <reference field="0" count="1" selected="0">
            <x v="134"/>
          </reference>
          <reference field="1" count="1">
            <x v="88"/>
          </reference>
        </references>
      </pivotArea>
    </format>
    <format dxfId="800">
      <pivotArea dataOnly="0" labelOnly="1" fieldPosition="0">
        <references count="2">
          <reference field="0" count="1" selected="0">
            <x v="252"/>
          </reference>
          <reference field="1" count="1">
            <x v="105"/>
          </reference>
        </references>
      </pivotArea>
    </format>
    <format dxfId="799">
      <pivotArea dataOnly="0" labelOnly="1" fieldPosition="0">
        <references count="2">
          <reference field="0" count="1" selected="0">
            <x v="255"/>
          </reference>
          <reference field="1" count="1">
            <x v="106"/>
          </reference>
        </references>
      </pivotArea>
    </format>
    <format dxfId="798">
      <pivotArea dataOnly="0" labelOnly="1" fieldPosition="0">
        <references count="2">
          <reference field="0" count="1" selected="0">
            <x v="57"/>
          </reference>
          <reference field="1" count="1">
            <x v="242"/>
          </reference>
        </references>
      </pivotArea>
    </format>
    <format dxfId="797">
      <pivotArea dataOnly="0" labelOnly="1" fieldPosition="0">
        <references count="2">
          <reference field="0" count="1" selected="0">
            <x v="55"/>
          </reference>
          <reference field="1" count="1">
            <x v="192"/>
          </reference>
        </references>
      </pivotArea>
    </format>
    <format dxfId="796">
      <pivotArea dataOnly="0" labelOnly="1" fieldPosition="0">
        <references count="2">
          <reference field="0" count="1" selected="0">
            <x v="251"/>
          </reference>
          <reference field="1" count="1">
            <x v="81"/>
          </reference>
        </references>
      </pivotArea>
    </format>
    <format dxfId="795">
      <pivotArea dataOnly="0" labelOnly="1" fieldPosition="0">
        <references count="2">
          <reference field="0" count="1" selected="0">
            <x v="155"/>
          </reference>
          <reference field="1" count="1">
            <x v="100"/>
          </reference>
        </references>
      </pivotArea>
    </format>
    <format dxfId="794">
      <pivotArea dataOnly="0" labelOnly="1" fieldPosition="0">
        <references count="2">
          <reference field="0" count="1" selected="0">
            <x v="137"/>
          </reference>
          <reference field="1" count="1">
            <x v="3"/>
          </reference>
        </references>
      </pivotArea>
    </format>
    <format dxfId="793">
      <pivotArea dataOnly="0" labelOnly="1" fieldPosition="0">
        <references count="2">
          <reference field="0" count="1" selected="0">
            <x v="19"/>
          </reference>
          <reference field="1" count="1">
            <x v="171"/>
          </reference>
        </references>
      </pivotArea>
    </format>
    <format dxfId="792">
      <pivotArea dataOnly="0" labelOnly="1" fieldPosition="0">
        <references count="2">
          <reference field="0" count="1" selected="0">
            <x v="232"/>
          </reference>
          <reference field="1" count="1">
            <x v="92"/>
          </reference>
        </references>
      </pivotArea>
    </format>
    <format dxfId="791">
      <pivotArea dataOnly="0" labelOnly="1" fieldPosition="0">
        <references count="2">
          <reference field="0" count="1" selected="0">
            <x v="183"/>
          </reference>
          <reference field="1" count="1">
            <x v="112"/>
          </reference>
        </references>
      </pivotArea>
    </format>
    <format dxfId="790">
      <pivotArea dataOnly="0" labelOnly="1" fieldPosition="0">
        <references count="2">
          <reference field="0" count="1" selected="0">
            <x v="170"/>
          </reference>
          <reference field="1" count="1">
            <x v="25"/>
          </reference>
        </references>
      </pivotArea>
    </format>
    <format dxfId="789">
      <pivotArea dataOnly="0" labelOnly="1" fieldPosition="0">
        <references count="2">
          <reference field="0" count="1" selected="0">
            <x v="18"/>
          </reference>
          <reference field="1" count="1">
            <x v="202"/>
          </reference>
        </references>
      </pivotArea>
    </format>
    <format dxfId="788">
      <pivotArea dataOnly="0" labelOnly="1" fieldPosition="0">
        <references count="2">
          <reference field="0" count="1" selected="0">
            <x v="241"/>
          </reference>
          <reference field="1" count="1">
            <x v="82"/>
          </reference>
        </references>
      </pivotArea>
    </format>
    <format dxfId="787">
      <pivotArea dataOnly="0" labelOnly="1" fieldPosition="0">
        <references count="2">
          <reference field="0" count="1" selected="0">
            <x v="212"/>
          </reference>
          <reference field="1" count="1">
            <x v="163"/>
          </reference>
        </references>
      </pivotArea>
    </format>
    <format dxfId="786">
      <pivotArea dataOnly="0" labelOnly="1" fieldPosition="0">
        <references count="2">
          <reference field="0" count="1" selected="0">
            <x v="146"/>
          </reference>
          <reference field="1" count="1">
            <x v="141"/>
          </reference>
        </references>
      </pivotArea>
    </format>
    <format dxfId="785">
      <pivotArea dataOnly="0" labelOnly="1" fieldPosition="0">
        <references count="2">
          <reference field="0" count="1" selected="0">
            <x v="193"/>
          </reference>
          <reference field="1" count="1">
            <x v="23"/>
          </reference>
        </references>
      </pivotArea>
    </format>
    <format dxfId="784">
      <pivotArea dataOnly="0" labelOnly="1" fieldPosition="0">
        <references count="2">
          <reference field="0" count="1" selected="0">
            <x v="88"/>
          </reference>
          <reference field="1" count="1">
            <x v="170"/>
          </reference>
        </references>
      </pivotArea>
    </format>
    <format dxfId="783">
      <pivotArea dataOnly="0" labelOnly="1" fieldPosition="0">
        <references count="2">
          <reference field="0" count="1" selected="0">
            <x v="10"/>
          </reference>
          <reference field="1" count="1">
            <x v="168"/>
          </reference>
        </references>
      </pivotArea>
    </format>
    <format dxfId="782">
      <pivotArea dataOnly="0" labelOnly="1" fieldPosition="0">
        <references count="2">
          <reference field="0" count="1" selected="0">
            <x v="231"/>
          </reference>
          <reference field="1" count="1">
            <x v="64"/>
          </reference>
        </references>
      </pivotArea>
    </format>
    <format dxfId="781">
      <pivotArea dataOnly="0" labelOnly="1" fieldPosition="0">
        <references count="2">
          <reference field="0" count="1" selected="0">
            <x v="221"/>
          </reference>
          <reference field="1" count="1">
            <x v="80"/>
          </reference>
        </references>
      </pivotArea>
    </format>
    <format dxfId="780">
      <pivotArea dataOnly="0" labelOnly="1" fieldPosition="0">
        <references count="2">
          <reference field="0" count="1" selected="0">
            <x v="178"/>
          </reference>
          <reference field="1" count="1">
            <x v="113"/>
          </reference>
        </references>
      </pivotArea>
    </format>
    <format dxfId="779">
      <pivotArea dataOnly="0" labelOnly="1" fieldPosition="0">
        <references count="2">
          <reference field="0" count="1" selected="0">
            <x v="141"/>
          </reference>
          <reference field="1" count="1">
            <x v="131"/>
          </reference>
        </references>
      </pivotArea>
    </format>
    <format dxfId="778">
      <pivotArea dataOnly="0" labelOnly="1" fieldPosition="0">
        <references count="2">
          <reference field="0" count="1" selected="0">
            <x v="169"/>
          </reference>
          <reference field="1" count="1">
            <x v="108"/>
          </reference>
        </references>
      </pivotArea>
    </format>
    <format dxfId="777">
      <pivotArea dataOnly="0" labelOnly="1" fieldPosition="0">
        <references count="2">
          <reference field="0" count="1" selected="0">
            <x v="4"/>
          </reference>
          <reference field="1" count="1">
            <x v="178"/>
          </reference>
        </references>
      </pivotArea>
    </format>
    <format dxfId="776">
      <pivotArea dataOnly="0" labelOnly="1" fieldPosition="0">
        <references count="2">
          <reference field="0" count="1" selected="0">
            <x v="214"/>
          </reference>
          <reference field="1" count="1">
            <x v="85"/>
          </reference>
        </references>
      </pivotArea>
    </format>
    <format dxfId="775">
      <pivotArea dataOnly="0" labelOnly="1" fieldPosition="0">
        <references count="2">
          <reference field="0" count="1" selected="0">
            <x v="28"/>
          </reference>
          <reference field="1" count="1">
            <x v="145"/>
          </reference>
        </references>
      </pivotArea>
    </format>
    <format dxfId="774">
      <pivotArea dataOnly="0" labelOnly="1" fieldPosition="0">
        <references count="2">
          <reference field="0" count="1" selected="0">
            <x v="195"/>
          </reference>
          <reference field="1" count="1">
            <x v="160"/>
          </reference>
        </references>
      </pivotArea>
    </format>
    <format dxfId="773">
      <pivotArea dataOnly="0" labelOnly="1" fieldPosition="0">
        <references count="2">
          <reference field="0" count="1" selected="0">
            <x v="37"/>
          </reference>
          <reference field="1" count="1">
            <x v="96"/>
          </reference>
        </references>
      </pivotArea>
    </format>
    <format dxfId="772">
      <pivotArea dataOnly="0" labelOnly="1" fieldPosition="0">
        <references count="2">
          <reference field="0" count="1" selected="0">
            <x v="202"/>
          </reference>
          <reference field="1" count="1">
            <x v="149"/>
          </reference>
        </references>
      </pivotArea>
    </format>
    <format dxfId="771">
      <pivotArea dataOnly="0" labelOnly="1" fieldPosition="0">
        <references count="2">
          <reference field="0" count="1" selected="0">
            <x v="163"/>
          </reference>
          <reference field="1" count="1">
            <x v="122"/>
          </reference>
        </references>
      </pivotArea>
    </format>
    <format dxfId="770">
      <pivotArea dataOnly="0" labelOnly="1" fieldPosition="0">
        <references count="2">
          <reference field="0" count="1" selected="0">
            <x v="48"/>
          </reference>
          <reference field="1" count="1">
            <x v="50"/>
          </reference>
        </references>
      </pivotArea>
    </format>
    <format dxfId="769">
      <pivotArea dataOnly="0" labelOnly="1" fieldPosition="0">
        <references count="2">
          <reference field="0" count="1" selected="0">
            <x v="61"/>
          </reference>
          <reference field="1" count="1">
            <x v="223"/>
          </reference>
        </references>
      </pivotArea>
    </format>
    <format dxfId="768">
      <pivotArea dataOnly="0" labelOnly="1" fieldPosition="0">
        <references count="2">
          <reference field="0" count="1" selected="0">
            <x v="7"/>
          </reference>
          <reference field="1" count="1">
            <x v="174"/>
          </reference>
        </references>
      </pivotArea>
    </format>
    <format dxfId="767">
      <pivotArea dataOnly="0" labelOnly="1" fieldPosition="0">
        <references count="2">
          <reference field="0" count="1" selected="0">
            <x v="144"/>
          </reference>
          <reference field="1" count="1">
            <x v="65"/>
          </reference>
        </references>
      </pivotArea>
    </format>
    <format dxfId="766">
      <pivotArea dataOnly="0" labelOnly="1" fieldPosition="0">
        <references count="2">
          <reference field="0" count="1" selected="0">
            <x v="9"/>
          </reference>
          <reference field="1" count="1">
            <x v="210"/>
          </reference>
        </references>
      </pivotArea>
    </format>
    <format dxfId="765">
      <pivotArea dataOnly="0" labelOnly="1" fieldPosition="0">
        <references count="2">
          <reference field="0" count="1" selected="0">
            <x v="247"/>
          </reference>
          <reference field="1" count="1">
            <x v="67"/>
          </reference>
        </references>
      </pivotArea>
    </format>
    <format dxfId="764">
      <pivotArea dataOnly="0" labelOnly="1" fieldPosition="0">
        <references count="2">
          <reference field="0" count="1" selected="0">
            <x v="41"/>
          </reference>
          <reference field="1" count="1">
            <x v="194"/>
          </reference>
        </references>
      </pivotArea>
    </format>
    <format dxfId="763">
      <pivotArea dataOnly="0" labelOnly="1" fieldPosition="0">
        <references count="2">
          <reference field="0" count="1" selected="0">
            <x v="73"/>
          </reference>
          <reference field="1" count="1">
            <x v="214"/>
          </reference>
        </references>
      </pivotArea>
    </format>
    <format dxfId="762">
      <pivotArea dataOnly="0" labelOnly="1" fieldPosition="0">
        <references count="2">
          <reference field="0" count="1" selected="0">
            <x v="128"/>
          </reference>
          <reference field="1" count="1">
            <x v="217"/>
          </reference>
        </references>
      </pivotArea>
    </format>
    <format dxfId="761">
      <pivotArea dataOnly="0" labelOnly="1" fieldPosition="0">
        <references count="2">
          <reference field="0" count="1" selected="0">
            <x v="174"/>
          </reference>
          <reference field="1" count="1">
            <x v="205"/>
          </reference>
        </references>
      </pivotArea>
    </format>
    <format dxfId="760">
      <pivotArea dataOnly="0" labelOnly="1" fieldPosition="0">
        <references count="2">
          <reference field="0" count="1" selected="0">
            <x v="149"/>
          </reference>
          <reference field="1" count="1">
            <x v="95"/>
          </reference>
        </references>
      </pivotArea>
    </format>
    <format dxfId="759">
      <pivotArea dataOnly="0" labelOnly="1" fieldPosition="0">
        <references count="2">
          <reference field="0" count="1" selected="0">
            <x v="90"/>
          </reference>
          <reference field="1" count="1">
            <x v="60"/>
          </reference>
        </references>
      </pivotArea>
    </format>
    <format dxfId="758">
      <pivotArea dataOnly="0" labelOnly="1" fieldPosition="0">
        <references count="2">
          <reference field="0" count="1" selected="0">
            <x v="206"/>
          </reference>
          <reference field="1" count="1">
            <x v="98"/>
          </reference>
        </references>
      </pivotArea>
    </format>
    <format dxfId="757">
      <pivotArea dataOnly="0" labelOnly="1" fieldPosition="0">
        <references count="2">
          <reference field="0" count="1" selected="0">
            <x v="86"/>
          </reference>
          <reference field="1" count="1">
            <x v="30"/>
          </reference>
        </references>
      </pivotArea>
    </format>
    <format dxfId="756">
      <pivotArea dataOnly="0" labelOnly="1" fieldPosition="0">
        <references count="2">
          <reference field="0" count="1" selected="0">
            <x v="148"/>
          </reference>
          <reference field="1" count="1">
            <x v="208"/>
          </reference>
        </references>
      </pivotArea>
    </format>
    <format dxfId="755">
      <pivotArea dataOnly="0" labelOnly="1" fieldPosition="0">
        <references count="2">
          <reference field="0" count="1" selected="0">
            <x v="20"/>
          </reference>
          <reference field="1" count="1">
            <x v="172"/>
          </reference>
        </references>
      </pivotArea>
    </format>
    <format dxfId="754">
      <pivotArea dataOnly="0" labelOnly="1" fieldPosition="0">
        <references count="2">
          <reference field="0" count="1" selected="0">
            <x v="2"/>
          </reference>
          <reference field="1" count="1">
            <x v="177"/>
          </reference>
        </references>
      </pivotArea>
    </format>
    <format dxfId="753">
      <pivotArea dataOnly="0" labelOnly="1" fieldPosition="0">
        <references count="2">
          <reference field="0" count="1" selected="0">
            <x v="22"/>
          </reference>
          <reference field="1" count="1">
            <x v="13"/>
          </reference>
        </references>
      </pivotArea>
    </format>
    <format dxfId="752">
      <pivotArea dataOnly="0" labelOnly="1" fieldPosition="0">
        <references count="2">
          <reference field="0" count="1" selected="0">
            <x v="189"/>
          </reference>
          <reference field="1" count="1">
            <x v="235"/>
          </reference>
        </references>
      </pivotArea>
    </format>
    <format dxfId="751">
      <pivotArea dataOnly="0" labelOnly="1" fieldPosition="0">
        <references count="2">
          <reference field="0" count="1" selected="0">
            <x v="42"/>
          </reference>
          <reference field="1" count="1">
            <x v="198"/>
          </reference>
        </references>
      </pivotArea>
    </format>
    <format dxfId="750">
      <pivotArea dataOnly="0" labelOnly="1" fieldPosition="0">
        <references count="2">
          <reference field="0" count="1" selected="0">
            <x v="95"/>
          </reference>
          <reference field="1" count="1">
            <x v="157"/>
          </reference>
        </references>
      </pivotArea>
    </format>
    <format dxfId="749">
      <pivotArea dataOnly="0" labelOnly="1" fieldPosition="0">
        <references count="2">
          <reference field="0" count="1" selected="0">
            <x v="139"/>
          </reference>
          <reference field="1" count="1">
            <x v="104"/>
          </reference>
        </references>
      </pivotArea>
    </format>
    <format dxfId="748">
      <pivotArea dataOnly="0" labelOnly="1" fieldPosition="0">
        <references count="2">
          <reference field="0" count="1" selected="0">
            <x v="60"/>
          </reference>
          <reference field="1" count="1">
            <x v="238"/>
          </reference>
        </references>
      </pivotArea>
    </format>
    <format dxfId="747">
      <pivotArea dataOnly="0" labelOnly="1" fieldPosition="0">
        <references count="2">
          <reference field="0" count="1" selected="0">
            <x v="39"/>
          </reference>
          <reference field="1" count="1">
            <x v="22"/>
          </reference>
        </references>
      </pivotArea>
    </format>
    <format dxfId="746">
      <pivotArea dataOnly="0" labelOnly="1" fieldPosition="0">
        <references count="2">
          <reference field="0" count="1" selected="0">
            <x v="16"/>
          </reference>
          <reference field="1" count="1">
            <x v="243"/>
          </reference>
        </references>
      </pivotArea>
    </format>
    <format dxfId="745">
      <pivotArea dataOnly="0" labelOnly="1" fieldPosition="0">
        <references count="2">
          <reference field="0" count="1" selected="0">
            <x v="181"/>
          </reference>
          <reference field="1" count="1">
            <x v="118"/>
          </reference>
        </references>
      </pivotArea>
    </format>
    <format dxfId="744">
      <pivotArea dataOnly="0" labelOnly="1" fieldPosition="0">
        <references count="2">
          <reference field="0" count="1" selected="0">
            <x v="196"/>
          </reference>
          <reference field="1" count="1">
            <x v="125"/>
          </reference>
        </references>
      </pivotArea>
    </format>
    <format dxfId="743">
      <pivotArea dataOnly="0" labelOnly="1" fieldPosition="0">
        <references count="2">
          <reference field="0" count="1" selected="0">
            <x v="145"/>
          </reference>
          <reference field="1" count="1">
            <x v="254"/>
          </reference>
        </references>
      </pivotArea>
    </format>
    <format dxfId="742">
      <pivotArea dataOnly="0" labelOnly="1" fieldPosition="0">
        <references count="2">
          <reference field="0" count="1" selected="0">
            <x v="208"/>
          </reference>
          <reference field="1" count="1">
            <x v="132"/>
          </reference>
        </references>
      </pivotArea>
    </format>
    <format dxfId="741">
      <pivotArea dataOnly="0" labelOnly="1" fieldPosition="0">
        <references count="2">
          <reference field="0" count="1" selected="0">
            <x v="237"/>
          </reference>
          <reference field="1" count="1">
            <x v="164"/>
          </reference>
        </references>
      </pivotArea>
    </format>
    <format dxfId="740">
      <pivotArea dataOnly="0" labelOnly="1" fieldPosition="0">
        <references count="2">
          <reference field="0" count="1" selected="0">
            <x v="111"/>
          </reference>
          <reference field="1" count="1">
            <x v="14"/>
          </reference>
        </references>
      </pivotArea>
    </format>
    <format dxfId="739">
      <pivotArea dataOnly="0" labelOnly="1" fieldPosition="0">
        <references count="2">
          <reference field="0" count="1" selected="0">
            <x v="129"/>
          </reference>
          <reference field="1" count="1">
            <x v="213"/>
          </reference>
        </references>
      </pivotArea>
    </format>
    <format dxfId="738">
      <pivotArea dataOnly="0" labelOnly="1" fieldPosition="0">
        <references count="2">
          <reference field="0" count="1" selected="0">
            <x v="223"/>
          </reference>
          <reference field="1" count="1">
            <x v="103"/>
          </reference>
        </references>
      </pivotArea>
    </format>
    <format dxfId="737">
      <pivotArea dataOnly="0" labelOnly="1" fieldPosition="0">
        <references count="2">
          <reference field="0" count="1" selected="0">
            <x v="166"/>
          </reference>
          <reference field="1" count="1">
            <x v="137"/>
          </reference>
        </references>
      </pivotArea>
    </format>
    <format dxfId="736">
      <pivotArea dataOnly="0" labelOnly="1" fieldPosition="0">
        <references count="2">
          <reference field="0" count="1" selected="0">
            <x v="101"/>
          </reference>
          <reference field="1" count="1">
            <x v="169"/>
          </reference>
        </references>
      </pivotArea>
    </format>
    <format dxfId="735">
      <pivotArea dataOnly="0" labelOnly="1" fieldPosition="0">
        <references count="2">
          <reference field="0" count="1" selected="0">
            <x v="238"/>
          </reference>
          <reference field="1" count="1">
            <x v="83"/>
          </reference>
        </references>
      </pivotArea>
    </format>
    <format dxfId="734">
      <pivotArea dataOnly="0" labelOnly="1" fieldPosition="0">
        <references count="2">
          <reference field="0" count="1" selected="0">
            <x v="68"/>
          </reference>
          <reference field="1" count="1">
            <x v="51"/>
          </reference>
        </references>
      </pivotArea>
    </format>
    <format dxfId="733">
      <pivotArea dataOnly="0" labelOnly="1" fieldPosition="0">
        <references count="2">
          <reference field="0" count="1" selected="0">
            <x v="122"/>
          </reference>
          <reference field="1" count="1">
            <x v="255"/>
          </reference>
        </references>
      </pivotArea>
    </format>
    <format dxfId="732">
      <pivotArea dataOnly="0" labelOnly="1" fieldPosition="0">
        <references count="2">
          <reference field="0" count="1" selected="0">
            <x v="225"/>
          </reference>
          <reference field="1" count="1">
            <x v="69"/>
          </reference>
        </references>
      </pivotArea>
    </format>
    <format dxfId="731">
      <pivotArea dataOnly="0" labelOnly="1" fieldPosition="0">
        <references count="2">
          <reference field="0" count="1" selected="0">
            <x v="242"/>
          </reference>
          <reference field="1" count="1">
            <x v="185"/>
          </reference>
        </references>
      </pivotArea>
    </format>
    <format dxfId="730">
      <pivotArea dataOnly="0" labelOnly="1" fieldPosition="0">
        <references count="2">
          <reference field="0" count="1" selected="0">
            <x v="97"/>
          </reference>
          <reference field="1" count="1">
            <x v="250"/>
          </reference>
        </references>
      </pivotArea>
    </format>
    <format dxfId="729">
      <pivotArea dataOnly="0" labelOnly="1" fieldPosition="0">
        <references count="2">
          <reference field="0" count="1" selected="0">
            <x v="30"/>
          </reference>
          <reference field="1" count="1">
            <x v="211"/>
          </reference>
        </references>
      </pivotArea>
    </format>
    <format dxfId="728">
      <pivotArea dataOnly="0" labelOnly="1" fieldPosition="0">
        <references count="2">
          <reference field="0" count="1" selected="0">
            <x v="59"/>
          </reference>
          <reference field="1" count="1">
            <x v="240"/>
          </reference>
        </references>
      </pivotArea>
    </format>
    <format dxfId="727">
      <pivotArea dataOnly="0" labelOnly="1" fieldPosition="0">
        <references count="2">
          <reference field="0" count="1" selected="0">
            <x v="248"/>
          </reference>
          <reference field="1" count="1">
            <x v="234"/>
          </reference>
        </references>
      </pivotArea>
    </format>
    <format dxfId="726">
      <pivotArea dataOnly="0" labelOnly="1" fieldPosition="0">
        <references count="2">
          <reference field="0" count="1" selected="0">
            <x v="185"/>
          </reference>
          <reference field="1" count="1">
            <x v="114"/>
          </reference>
        </references>
      </pivotArea>
    </format>
    <format dxfId="725">
      <pivotArea dataOnly="0" labelOnly="1" fieldPosition="0">
        <references count="2">
          <reference field="0" count="1" selected="0">
            <x v="112"/>
          </reference>
          <reference field="1" count="1">
            <x v="158"/>
          </reference>
        </references>
      </pivotArea>
    </format>
    <format dxfId="724">
      <pivotArea dataOnly="0" labelOnly="1" fieldPosition="0">
        <references count="2">
          <reference field="0" count="1" selected="0">
            <x v="190"/>
          </reference>
          <reference field="1" count="1">
            <x v="120"/>
          </reference>
        </references>
      </pivotArea>
    </format>
    <format dxfId="723">
      <pivotArea dataOnly="0" labelOnly="1" fieldPosition="0">
        <references count="2">
          <reference field="0" count="1" selected="0">
            <x v="236"/>
          </reference>
          <reference field="1" count="1">
            <x v="146"/>
          </reference>
        </references>
      </pivotArea>
    </format>
    <format dxfId="722">
      <pivotArea dataOnly="0" labelOnly="1" fieldPosition="0">
        <references count="2">
          <reference field="0" count="1" selected="0">
            <x v="243"/>
          </reference>
          <reference field="1" count="1">
            <x v="75"/>
          </reference>
        </references>
      </pivotArea>
    </format>
    <format dxfId="721">
      <pivotArea dataOnly="0" labelOnly="1" fieldPosition="0">
        <references count="2">
          <reference field="0" count="1" selected="0">
            <x v="160"/>
          </reference>
          <reference field="1" count="1">
            <x v="130"/>
          </reference>
        </references>
      </pivotArea>
    </format>
    <format dxfId="720">
      <pivotArea dataOnly="0" labelOnly="1" fieldPosition="0">
        <references count="2">
          <reference field="0" count="1" selected="0">
            <x v="113"/>
          </reference>
          <reference field="1" count="1">
            <x v="31"/>
          </reference>
        </references>
      </pivotArea>
    </format>
    <format dxfId="719">
      <pivotArea dataOnly="0" labelOnly="1" fieldPosition="0">
        <references count="2">
          <reference field="0" count="1" selected="0">
            <x v="162"/>
          </reference>
          <reference field="1" count="1">
            <x v="35"/>
          </reference>
        </references>
      </pivotArea>
    </format>
    <format dxfId="718">
      <pivotArea dataOnly="0" labelOnly="1" fieldPosition="0">
        <references count="2">
          <reference field="0" count="1" selected="0">
            <x v="209"/>
          </reference>
          <reference field="1" count="1">
            <x v="128"/>
          </reference>
        </references>
      </pivotArea>
    </format>
    <format dxfId="717">
      <pivotArea dataOnly="0" labelOnly="1" fieldPosition="0">
        <references count="2">
          <reference field="0" count="1" selected="0">
            <x v="215"/>
          </reference>
          <reference field="1" count="1">
            <x v="184"/>
          </reference>
        </references>
      </pivotArea>
    </format>
    <format dxfId="716">
      <pivotArea dataOnly="0" labelOnly="1" fieldPosition="0">
        <references count="2">
          <reference field="0" count="1" selected="0">
            <x v="227"/>
          </reference>
          <reference field="1" count="1">
            <x v="143"/>
          </reference>
        </references>
      </pivotArea>
    </format>
    <format dxfId="715">
      <pivotArea dataOnly="0" labelOnly="1" fieldPosition="0">
        <references count="2">
          <reference field="0" count="1" selected="0">
            <x v="63"/>
          </reference>
          <reference field="1" count="1">
            <x v="231"/>
          </reference>
        </references>
      </pivotArea>
    </format>
    <format dxfId="714">
      <pivotArea dataOnly="0" labelOnly="1" fieldPosition="0">
        <references count="2">
          <reference field="0" count="1" selected="0">
            <x v="72"/>
          </reference>
          <reference field="1" count="1">
            <x v="206"/>
          </reference>
        </references>
      </pivotArea>
    </format>
    <format dxfId="713">
      <pivotArea dataOnly="0" labelOnly="1" fieldPosition="0">
        <references count="2">
          <reference field="0" count="1" selected="0">
            <x v="13"/>
          </reference>
          <reference field="1" count="1">
            <x v="107"/>
          </reference>
        </references>
      </pivotArea>
    </format>
    <format dxfId="712">
      <pivotArea dataOnly="0" labelOnly="1" fieldPosition="0">
        <references count="2">
          <reference field="0" count="1" selected="0">
            <x v="253"/>
          </reference>
          <reference field="1" count="1">
            <x v="40"/>
          </reference>
        </references>
      </pivotArea>
    </format>
    <format dxfId="711">
      <pivotArea dataOnly="0" labelOnly="1" fieldPosition="0">
        <references count="2">
          <reference field="0" count="1" selected="0">
            <x v="147"/>
          </reference>
          <reference field="1" count="1">
            <x v="188"/>
          </reference>
        </references>
      </pivotArea>
    </format>
    <format dxfId="710">
      <pivotArea dataOnly="0" labelOnly="1" fieldPosition="0">
        <references count="2">
          <reference field="0" count="1" selected="0">
            <x v="29"/>
          </reference>
          <reference field="1" count="1">
            <x v="153"/>
          </reference>
        </references>
      </pivotArea>
    </format>
    <format dxfId="709">
      <pivotArea dataOnly="0" labelOnly="1" fieldPosition="0">
        <references count="2">
          <reference field="0" count="1" selected="0">
            <x v="140"/>
          </reference>
          <reference field="1" count="1">
            <x v="195"/>
          </reference>
        </references>
      </pivotArea>
    </format>
    <format dxfId="708">
      <pivotArea dataOnly="0" labelOnly="1" fieldPosition="0">
        <references count="2">
          <reference field="0" count="1" selected="0">
            <x v="78"/>
          </reference>
          <reference field="1" count="1">
            <x v="18"/>
          </reference>
        </references>
      </pivotArea>
    </format>
    <format dxfId="707">
      <pivotArea dataOnly="0" labelOnly="1" fieldPosition="0">
        <references count="2">
          <reference field="0" count="1" selected="0">
            <x v="53"/>
          </reference>
          <reference field="1" count="1">
            <x v="45"/>
          </reference>
        </references>
      </pivotArea>
    </format>
    <format dxfId="706">
      <pivotArea dataOnly="0" labelOnly="1" fieldPosition="0">
        <references count="2">
          <reference field="0" count="1" selected="0">
            <x v="91"/>
          </reference>
          <reference field="1" count="1">
            <x v="59"/>
          </reference>
        </references>
      </pivotArea>
    </format>
    <format dxfId="705">
      <pivotArea dataOnly="0" labelOnly="1" fieldPosition="0">
        <references count="2">
          <reference field="0" count="1" selected="0">
            <x v="173"/>
          </reference>
          <reference field="1" count="1">
            <x v="119"/>
          </reference>
        </references>
      </pivotArea>
    </format>
    <format dxfId="704">
      <pivotArea dataOnly="0" labelOnly="1" fieldPosition="0">
        <references count="2">
          <reference field="0" count="1" selected="0">
            <x v="89"/>
          </reference>
          <reference field="1" count="1">
            <x v="57"/>
          </reference>
        </references>
      </pivotArea>
    </format>
    <format dxfId="703">
      <pivotArea dataOnly="0" labelOnly="1" fieldPosition="0">
        <references count="2">
          <reference field="0" count="1" selected="0">
            <x v="239"/>
          </reference>
          <reference field="1" count="1">
            <x v="72"/>
          </reference>
        </references>
      </pivotArea>
    </format>
    <format dxfId="702">
      <pivotArea dataOnly="0" labelOnly="1" fieldPosition="0">
        <references count="2">
          <reference field="0" count="1" selected="0">
            <x v="83"/>
          </reference>
          <reference field="1" count="1">
            <x v="251"/>
          </reference>
        </references>
      </pivotArea>
    </format>
    <format dxfId="701">
      <pivotArea dataOnly="0" labelOnly="1" fieldPosition="0">
        <references count="2">
          <reference field="0" count="1" selected="0">
            <x v="152"/>
          </reference>
          <reference field="1" count="1">
            <x v="150"/>
          </reference>
        </references>
      </pivotArea>
    </format>
    <format dxfId="700">
      <pivotArea dataOnly="0" labelOnly="1" fieldPosition="0">
        <references count="2">
          <reference field="0" count="1" selected="0">
            <x v="12"/>
          </reference>
          <reference field="1" count="1">
            <x v="154"/>
          </reference>
        </references>
      </pivotArea>
    </format>
    <format dxfId="699">
      <pivotArea dataOnly="0" labelOnly="1" fieldPosition="0">
        <references count="2">
          <reference field="0" count="1" selected="0">
            <x v="85"/>
          </reference>
          <reference field="1" count="1">
            <x v="182"/>
          </reference>
        </references>
      </pivotArea>
    </format>
    <format dxfId="698">
      <pivotArea dataOnly="0" labelOnly="1" fieldPosition="0">
        <references count="2">
          <reference field="0" count="1" selected="0">
            <x v="75"/>
          </reference>
          <reference field="1" count="1">
            <x v="191"/>
          </reference>
        </references>
      </pivotArea>
    </format>
    <format dxfId="697">
      <pivotArea dataOnly="0" labelOnly="1" fieldPosition="0">
        <references count="2">
          <reference field="0" count="1" selected="0">
            <x v="102"/>
          </reference>
          <reference field="1" count="1">
            <x v="6"/>
          </reference>
        </references>
      </pivotArea>
    </format>
    <format dxfId="696">
      <pivotArea dataOnly="0" labelOnly="1" fieldPosition="0">
        <references count="2">
          <reference field="0" count="1" selected="0">
            <x v="38"/>
          </reference>
          <reference field="1" count="1">
            <x v="256"/>
          </reference>
        </references>
      </pivotArea>
    </format>
    <format dxfId="695">
      <pivotArea dataOnly="0" labelOnly="1" fieldPosition="0">
        <references count="2">
          <reference field="0" count="1" selected="0">
            <x v="118"/>
          </reference>
          <reference field="1" count="1">
            <x v="93"/>
          </reference>
        </references>
      </pivotArea>
    </format>
    <format dxfId="694">
      <pivotArea dataOnly="0" labelOnly="1" fieldPosition="0">
        <references count="2">
          <reference field="0" count="1" selected="0">
            <x v="99"/>
          </reference>
          <reference field="1" count="1">
            <x v="29"/>
          </reference>
        </references>
      </pivotArea>
    </format>
    <format dxfId="693">
      <pivotArea dataOnly="0" labelOnly="1" fieldPosition="0">
        <references count="2">
          <reference field="0" count="1" selected="0">
            <x v="15"/>
          </reference>
          <reference field="1" count="1">
            <x v="147"/>
          </reference>
        </references>
      </pivotArea>
    </format>
    <format dxfId="692">
      <pivotArea dataOnly="0" labelOnly="1" fieldPosition="0">
        <references count="2">
          <reference field="0" count="1" selected="0">
            <x v="65"/>
          </reference>
          <reference field="1" count="1">
            <x v="222"/>
          </reference>
        </references>
      </pivotArea>
    </format>
    <format dxfId="691">
      <pivotArea dataOnly="0" labelOnly="1" fieldPosition="0">
        <references count="2">
          <reference field="0" count="1" selected="0">
            <x v="103"/>
          </reference>
          <reference field="1" count="1">
            <x v="8"/>
          </reference>
        </references>
      </pivotArea>
    </format>
    <format dxfId="690">
      <pivotArea dataOnly="0" labelOnly="1" fieldPosition="0">
        <references count="2">
          <reference field="0" count="1" selected="0">
            <x v="234"/>
          </reference>
          <reference field="1" count="1">
            <x v="190"/>
          </reference>
        </references>
      </pivotArea>
    </format>
    <format dxfId="689">
      <pivotArea dataOnly="0" labelOnly="1" fieldPosition="0">
        <references count="2">
          <reference field="0" count="1" selected="0">
            <x v="154"/>
          </reference>
          <reference field="1" count="1">
            <x v="1"/>
          </reference>
        </references>
      </pivotArea>
    </format>
    <format dxfId="688">
      <pivotArea dataOnly="0" labelOnly="1" fieldPosition="0">
        <references count="2">
          <reference field="0" count="1" selected="0">
            <x v="187"/>
          </reference>
          <reference field="1" count="1">
            <x v="116"/>
          </reference>
        </references>
      </pivotArea>
    </format>
    <format dxfId="687">
      <pivotArea dataOnly="0" labelOnly="1" fieldPosition="0">
        <references count="2">
          <reference field="0" count="1" selected="0">
            <x v="161"/>
          </reference>
          <reference field="1" count="1">
            <x v="121"/>
          </reference>
        </references>
      </pivotArea>
    </format>
    <format dxfId="686">
      <pivotArea dataOnly="0" labelOnly="1" fieldPosition="0">
        <references count="2">
          <reference field="0" count="1" selected="0">
            <x v="67"/>
          </reference>
          <reference field="1" count="1">
            <x v="53"/>
          </reference>
        </references>
      </pivotArea>
    </format>
    <format dxfId="685">
      <pivotArea dataOnly="0" labelOnly="1" fieldPosition="0">
        <references count="2">
          <reference field="0" count="1" selected="0">
            <x v="235"/>
          </reference>
          <reference field="1" count="1">
            <x v="193"/>
          </reference>
        </references>
      </pivotArea>
    </format>
    <format dxfId="684">
      <pivotArea dataOnly="0" labelOnly="1" fieldPosition="0">
        <references count="2">
          <reference field="0" count="1" selected="0">
            <x v="229"/>
          </reference>
          <reference field="1" count="1">
            <x v="248"/>
          </reference>
        </references>
      </pivotArea>
    </format>
    <format dxfId="683">
      <pivotArea dataOnly="0" labelOnly="1" fieldPosition="0">
        <references count="2">
          <reference field="0" count="1" selected="0">
            <x v="121"/>
          </reference>
          <reference field="1" count="1">
            <x v="209"/>
          </reference>
        </references>
      </pivotArea>
    </format>
    <format dxfId="682">
      <pivotArea dataOnly="0" labelOnly="1" fieldPosition="0">
        <references count="2">
          <reference field="0" count="1" selected="0">
            <x v="98"/>
          </reference>
          <reference field="1" count="1">
            <x v="181"/>
          </reference>
        </references>
      </pivotArea>
    </format>
    <format dxfId="681">
      <pivotArea dataOnly="0" labelOnly="1" fieldPosition="0">
        <references count="2">
          <reference field="0" count="1" selected="0">
            <x v="93"/>
          </reference>
          <reference field="1" count="1">
            <x v="152"/>
          </reference>
        </references>
      </pivotArea>
    </format>
    <format dxfId="680">
      <pivotArea dataOnly="0" labelOnly="1" fieldPosition="0">
        <references count="2">
          <reference field="0" count="1" selected="0">
            <x v="158"/>
          </reference>
          <reference field="1" count="1">
            <x v="2"/>
          </reference>
        </references>
      </pivotArea>
    </format>
    <format dxfId="679">
      <pivotArea dataOnly="0" labelOnly="1" fieldPosition="0">
        <references count="2">
          <reference field="0" count="1" selected="0">
            <x v="49"/>
          </reference>
          <reference field="1" count="1">
            <x v="49"/>
          </reference>
        </references>
      </pivotArea>
    </format>
    <format dxfId="678">
      <pivotArea dataOnly="0" labelOnly="1" fieldPosition="0">
        <references count="2">
          <reference field="0" count="1" selected="0">
            <x v="105"/>
          </reference>
          <reference field="1" count="1">
            <x v="224"/>
          </reference>
        </references>
      </pivotArea>
    </format>
    <format dxfId="677">
      <pivotArea dataOnly="0" labelOnly="1" fieldPosition="0">
        <references count="2">
          <reference field="0" count="1" selected="0">
            <x v="254"/>
          </reference>
          <reference field="1" count="1">
            <x v="79"/>
          </reference>
        </references>
      </pivotArea>
    </format>
    <format dxfId="676">
      <pivotArea dataOnly="0" labelOnly="1" fieldPosition="0">
        <references count="2">
          <reference field="0" count="1" selected="0">
            <x v="257"/>
          </reference>
          <reference field="1" count="1">
            <x v="74"/>
          </reference>
        </references>
      </pivotArea>
    </format>
    <format dxfId="675">
      <pivotArea dataOnly="0" labelOnly="1" fieldPosition="0">
        <references count="2">
          <reference field="0" count="1" selected="0">
            <x v="120"/>
          </reference>
          <reference field="1" count="1">
            <x v="218"/>
          </reference>
        </references>
      </pivotArea>
    </format>
    <format dxfId="674">
      <pivotArea dataOnly="0" labelOnly="1" fieldPosition="0">
        <references count="2">
          <reference field="0" count="1" selected="0">
            <x v="164"/>
          </reference>
          <reference field="1" count="1">
            <x v="129"/>
          </reference>
        </references>
      </pivotArea>
    </format>
    <format dxfId="673">
      <pivotArea dataOnly="0" labelOnly="1" fieldPosition="0">
        <references count="2">
          <reference field="0" count="1" selected="0">
            <x v="62"/>
          </reference>
          <reference field="1" count="1">
            <x v="197"/>
          </reference>
        </references>
      </pivotArea>
    </format>
    <format dxfId="672">
      <pivotArea dataOnly="0" labelOnly="1" fieldPosition="0">
        <references count="2">
          <reference field="0" count="1" selected="0">
            <x v="142"/>
          </reference>
          <reference field="1" count="1">
            <x v="39"/>
          </reference>
        </references>
      </pivotArea>
    </format>
    <format dxfId="671">
      <pivotArea dataOnly="0" labelOnly="1" fieldPosition="0">
        <references count="2">
          <reference field="0" count="1" selected="0">
            <x v="194"/>
          </reference>
          <reference field="1" count="1">
            <x v="156"/>
          </reference>
        </references>
      </pivotArea>
    </format>
    <format dxfId="670">
      <pivotArea dataOnly="0" labelOnly="1" fieldPosition="0">
        <references count="2">
          <reference field="0" count="1" selected="0">
            <x v="100"/>
          </reference>
          <reference field="1" count="1">
            <x v="9"/>
          </reference>
        </references>
      </pivotArea>
    </format>
    <format dxfId="669">
      <pivotArea dataOnly="0" labelOnly="1" fieldPosition="0">
        <references count="2">
          <reference field="0" count="1" selected="0">
            <x v="64"/>
          </reference>
          <reference field="1" count="1">
            <x v="55"/>
          </reference>
        </references>
      </pivotArea>
    </format>
    <format dxfId="668">
      <pivotArea dataOnly="0" labelOnly="1" fieldPosition="0">
        <references count="2">
          <reference field="0" count="1" selected="0">
            <x v="96"/>
          </reference>
          <reference field="1" count="1">
            <x v="246"/>
          </reference>
        </references>
      </pivotArea>
    </format>
    <format dxfId="667">
      <pivotArea dataOnly="0" labelOnly="1" fieldPosition="0">
        <references count="2">
          <reference field="0" count="1" selected="0">
            <x v="138"/>
          </reference>
          <reference field="1" count="1">
            <x v="97"/>
          </reference>
        </references>
      </pivotArea>
    </format>
    <format dxfId="666">
      <pivotArea dataOnly="0" labelOnly="1" fieldPosition="0">
        <references count="2">
          <reference field="0" count="1" selected="0">
            <x v="23"/>
          </reference>
          <reference field="1" count="1">
            <x v="229"/>
          </reference>
        </references>
      </pivotArea>
    </format>
    <format dxfId="665">
      <pivotArea dataOnly="0" labelOnly="1" fieldPosition="0">
        <references count="2">
          <reference field="0" count="1" selected="0">
            <x v="36"/>
          </reference>
          <reference field="1" count="1">
            <x v="89"/>
          </reference>
        </references>
      </pivotArea>
    </format>
    <format dxfId="664">
      <pivotArea dataOnly="0" labelOnly="1" fieldPosition="0">
        <references count="2">
          <reference field="0" count="1" selected="0">
            <x v="107"/>
          </reference>
          <reference field="1" count="1">
            <x v="41"/>
          </reference>
        </references>
      </pivotArea>
    </format>
    <format dxfId="663">
      <pivotArea dataOnly="0" labelOnly="1" fieldPosition="0">
        <references count="2">
          <reference field="0" count="1" selected="0">
            <x v="159"/>
          </reference>
          <reference field="1" count="1">
            <x v="136"/>
          </reference>
        </references>
      </pivotArea>
    </format>
    <format dxfId="662">
      <pivotArea dataOnly="0" labelOnly="1" fieldPosition="0">
        <references count="2">
          <reference field="0" count="1" selected="0">
            <x v="127"/>
          </reference>
          <reference field="1" count="1">
            <x v="187"/>
          </reference>
        </references>
      </pivotArea>
    </format>
    <format dxfId="661">
      <pivotArea dataOnly="0" labelOnly="1" fieldPosition="0">
        <references count="2">
          <reference field="0" count="1" selected="0">
            <x v="197"/>
          </reference>
          <reference field="1" count="1">
            <x v="135"/>
          </reference>
        </references>
      </pivotArea>
    </format>
    <format dxfId="660">
      <pivotArea dataOnly="0" labelOnly="1" fieldPosition="0">
        <references count="2">
          <reference field="0" count="1" selected="0">
            <x v="50"/>
          </reference>
          <reference field="1" count="1">
            <x v="230"/>
          </reference>
        </references>
      </pivotArea>
    </format>
    <format dxfId="659">
      <pivotArea dataOnly="0" labelOnly="1" fieldPosition="0">
        <references count="2">
          <reference field="0" count="1" selected="0">
            <x v="119"/>
          </reference>
          <reference field="1" count="1">
            <x v="52"/>
          </reference>
        </references>
      </pivotArea>
    </format>
    <format dxfId="658">
      <pivotArea dataOnly="0" labelOnly="1" fieldPosition="0">
        <references count="2">
          <reference field="0" count="1" selected="0">
            <x v="104"/>
          </reference>
          <reference field="1" count="1">
            <x v="7"/>
          </reference>
        </references>
      </pivotArea>
    </format>
    <format dxfId="657">
      <pivotArea dataOnly="0" labelOnly="1" fieldPosition="0">
        <references count="2">
          <reference field="0" count="1" selected="0">
            <x v="198"/>
          </reference>
          <reference field="1" count="1">
            <x v="24"/>
          </reference>
        </references>
      </pivotArea>
    </format>
    <format dxfId="656">
      <pivotArea dataOnly="0" labelOnly="1" fieldPosition="0">
        <references count="2">
          <reference field="0" count="1" selected="0">
            <x v="24"/>
          </reference>
          <reference field="1" count="1">
            <x v="37"/>
          </reference>
        </references>
      </pivotArea>
    </format>
    <format dxfId="655">
      <pivotArea dataOnly="0" labelOnly="1" fieldPosition="0">
        <references count="2">
          <reference field="0" count="1" selected="0">
            <x v="228"/>
          </reference>
          <reference field="1" count="1">
            <x v="212"/>
          </reference>
        </references>
      </pivotArea>
    </format>
    <format dxfId="654">
      <pivotArea dataOnly="0" labelOnly="1" fieldPosition="0">
        <references count="2">
          <reference field="0" count="1" selected="0">
            <x v="126"/>
          </reference>
          <reference field="1" count="1">
            <x v="26"/>
          </reference>
        </references>
      </pivotArea>
    </format>
    <format dxfId="653">
      <pivotArea dataOnly="0" labelOnly="1" fieldPosition="0">
        <references count="2">
          <reference field="0" count="1" selected="0">
            <x v="17"/>
          </reference>
          <reference field="1" count="1">
            <x v="94"/>
          </reference>
        </references>
      </pivotArea>
    </format>
    <format dxfId="652">
      <pivotArea dataOnly="0" labelOnly="1" fieldPosition="0">
        <references count="2">
          <reference field="0" count="1" selected="0">
            <x v="76"/>
          </reference>
          <reference field="1" count="1">
            <x v="225"/>
          </reference>
        </references>
      </pivotArea>
    </format>
    <format dxfId="651">
      <pivotArea dataOnly="0" labelOnly="1" fieldPosition="0">
        <references count="2">
          <reference field="0" count="1" selected="0">
            <x v="186"/>
          </reference>
          <reference field="1" count="1">
            <x v="115"/>
          </reference>
        </references>
      </pivotArea>
    </format>
    <format dxfId="650">
      <pivotArea dataOnly="0" labelOnly="1" fieldPosition="0">
        <references count="2">
          <reference field="0" count="1" selected="0">
            <x v="92"/>
          </reference>
          <reference field="1" count="1">
            <x v="221"/>
          </reference>
        </references>
      </pivotArea>
    </format>
    <format dxfId="649">
      <pivotArea dataOnly="0" labelOnly="1" fieldPosition="0">
        <references count="2">
          <reference field="0" count="1" selected="0">
            <x v="217"/>
          </reference>
          <reference field="1" count="1">
            <x v="247"/>
          </reference>
        </references>
      </pivotArea>
    </format>
    <format dxfId="648">
      <pivotArea dataOnly="0" labelOnly="1" fieldPosition="0">
        <references count="2">
          <reference field="0" count="1" selected="0">
            <x v="256"/>
          </reference>
          <reference field="1" count="1">
            <x v="249"/>
          </reference>
        </references>
      </pivotArea>
    </format>
    <format dxfId="647">
      <pivotArea dataOnly="0" labelOnly="1" fieldPosition="0">
        <references count="2">
          <reference field="0" count="1" selected="0">
            <x v="132"/>
          </reference>
          <reference field="1" count="1">
            <x v="102"/>
          </reference>
        </references>
      </pivotArea>
    </format>
    <format dxfId="646">
      <pivotArea dataOnly="0" labelOnly="1" fieldPosition="0">
        <references count="2">
          <reference field="0" count="1" selected="0">
            <x v="230"/>
          </reference>
          <reference field="1" count="1">
            <x v="161"/>
          </reference>
        </references>
      </pivotArea>
    </format>
    <format dxfId="645">
      <pivotArea dataOnly="0" labelOnly="1" fieldPosition="0">
        <references count="2">
          <reference field="0" count="1" selected="0">
            <x v="116"/>
          </reference>
          <reference field="1" count="1">
            <x v="91"/>
          </reference>
        </references>
      </pivotArea>
    </format>
    <format dxfId="644">
      <pivotArea dataOnly="0" labelOnly="1" fieldPosition="0">
        <references count="2">
          <reference field="0" count="1" selected="0">
            <x v="58"/>
          </reference>
          <reference field="1" count="1">
            <x v="239"/>
          </reference>
        </references>
      </pivotArea>
    </format>
    <format dxfId="643">
      <pivotArea dataOnly="0" labelOnly="1" fieldPosition="0">
        <references count="2">
          <reference field="0" count="1" selected="0">
            <x v="51"/>
          </reference>
          <reference field="1" count="1">
            <x v="228"/>
          </reference>
        </references>
      </pivotArea>
    </format>
    <format dxfId="642">
      <pivotArea dataOnly="0" labelOnly="1" fieldPosition="0">
        <references count="2">
          <reference field="0" count="1" selected="0">
            <x v="218"/>
          </reference>
          <reference field="1" count="1">
            <x v="86"/>
          </reference>
        </references>
      </pivotArea>
    </format>
    <format dxfId="641">
      <pivotArea dataOnly="0" labelOnly="1" fieldPosition="0">
        <references count="2">
          <reference field="0" count="1" selected="0">
            <x v="56"/>
          </reference>
          <reference field="1" count="1">
            <x v="241"/>
          </reference>
        </references>
      </pivotArea>
    </format>
    <format dxfId="640">
      <pivotArea dataOnly="0" labelOnly="1" fieldPosition="0">
        <references count="2">
          <reference field="0" count="1" selected="0">
            <x v="94"/>
          </reference>
          <reference field="1" count="1">
            <x v="227"/>
          </reference>
        </references>
      </pivotArea>
    </format>
    <format dxfId="639">
      <pivotArea dataOnly="0" labelOnly="1" fieldPosition="0">
        <references count="2">
          <reference field="0" count="1" selected="0">
            <x v="211"/>
          </reference>
          <reference field="1" count="1">
            <x v="68"/>
          </reference>
        </references>
      </pivotArea>
    </format>
    <format dxfId="638">
      <pivotArea dataOnly="0" labelOnly="1" fieldPosition="0">
        <references count="2">
          <reference field="0" count="1" selected="0">
            <x v="207"/>
          </reference>
          <reference field="1" count="1">
            <x v="134"/>
          </reference>
        </references>
      </pivotArea>
    </format>
    <format dxfId="637">
      <pivotArea dataOnly="0" labelOnly="1" fieldPosition="0">
        <references count="2">
          <reference field="0" count="1" selected="0">
            <x v="44"/>
          </reference>
          <reference field="1" count="1">
            <x v="199"/>
          </reference>
        </references>
      </pivotArea>
    </format>
    <format dxfId="636">
      <pivotArea dataOnly="0" labelOnly="1" fieldPosition="0">
        <references count="2">
          <reference field="0" count="1" selected="0">
            <x v="222"/>
          </reference>
          <reference field="1" count="1">
            <x v="180"/>
          </reference>
        </references>
      </pivotArea>
    </format>
    <format dxfId="635">
      <pivotArea dataOnly="0" labelOnly="1" fieldPosition="0">
        <references count="2">
          <reference field="0" count="1" selected="0">
            <x v="70"/>
          </reference>
          <reference field="1" count="1">
            <x v="151"/>
          </reference>
        </references>
      </pivotArea>
    </format>
    <format dxfId="634">
      <pivotArea dataOnly="0" labelOnly="1" fieldPosition="0">
        <references count="2">
          <reference field="0" count="1" selected="0">
            <x v="34"/>
          </reference>
          <reference field="1" count="1">
            <x v="17"/>
          </reference>
        </references>
      </pivotArea>
    </format>
    <format dxfId="633">
      <pivotArea dataOnly="0" labelOnly="1" fieldPosition="0">
        <references count="2">
          <reference field="0" count="1" selected="0">
            <x v="81"/>
          </reference>
          <reference field="1" count="1">
            <x v="63"/>
          </reference>
        </references>
      </pivotArea>
    </format>
    <format dxfId="632">
      <pivotArea dataOnly="0" labelOnly="1" fieldPosition="0">
        <references count="2">
          <reference field="0" count="1" selected="0">
            <x v="45"/>
          </reference>
          <reference field="1" count="1">
            <x v="48"/>
          </reference>
        </references>
      </pivotArea>
    </format>
    <format dxfId="631">
      <pivotArea dataOnly="0" labelOnly="1" fieldPosition="0">
        <references count="2">
          <reference field="0" count="1" selected="0">
            <x v="175"/>
          </reference>
          <reference field="1" count="1">
            <x v="124"/>
          </reference>
        </references>
      </pivotArea>
    </format>
    <format dxfId="630">
      <pivotArea dataOnly="0" labelOnly="1" fieldPosition="0">
        <references count="2">
          <reference field="0" count="1" selected="0">
            <x v="69"/>
          </reference>
          <reference field="1" count="1">
            <x v="11"/>
          </reference>
        </references>
      </pivotArea>
    </format>
    <format dxfId="629">
      <pivotArea dataOnly="0" labelOnly="1" fieldPosition="0">
        <references count="2">
          <reference field="0" count="1" selected="0">
            <x v="21"/>
          </reference>
          <reference field="1" count="1">
            <x v="32"/>
          </reference>
        </references>
      </pivotArea>
    </format>
    <format dxfId="628">
      <pivotArea dataOnly="0" labelOnly="1" fieldPosition="0">
        <references count="2">
          <reference field="0" count="1" selected="0">
            <x v="114"/>
          </reference>
          <reference field="1" count="1">
            <x v="12"/>
          </reference>
        </references>
      </pivotArea>
    </format>
    <format dxfId="627">
      <pivotArea dataOnly="0" labelOnly="1" fieldPosition="0">
        <references count="2">
          <reference field="0" count="1" selected="0">
            <x v="84"/>
          </reference>
          <reference field="1" count="1">
            <x v="140"/>
          </reference>
        </references>
      </pivotArea>
    </format>
    <format dxfId="626">
      <pivotArea dataOnly="0" labelOnly="1" fieldPosition="0">
        <references count="2">
          <reference field="0" count="1" selected="0">
            <x v="110"/>
          </reference>
          <reference field="1" count="1">
            <x v="226"/>
          </reference>
        </references>
      </pivotArea>
    </format>
    <format dxfId="625">
      <pivotArea dataOnly="0" labelOnly="1" fieldPosition="0">
        <references count="2">
          <reference field="0" count="1" selected="0">
            <x v="106"/>
          </reference>
          <reference field="1" count="1">
            <x v="196"/>
          </reference>
        </references>
      </pivotArea>
    </format>
    <format dxfId="624">
      <pivotArea dataOnly="0" labelOnly="1" fieldPosition="0">
        <references count="2">
          <reference field="0" count="1" selected="0">
            <x v="77"/>
          </reference>
          <reference field="1" count="1">
            <x v="200"/>
          </reference>
        </references>
      </pivotArea>
    </format>
    <format dxfId="623">
      <pivotArea dataOnly="0" labelOnly="1" fieldPosition="0">
        <references count="2">
          <reference field="0" count="1" selected="0">
            <x v="117"/>
          </reference>
          <reference field="1" count="1">
            <x v="33"/>
          </reference>
        </references>
      </pivotArea>
    </format>
    <format dxfId="622">
      <pivotArea dataOnly="0" labelOnly="1" fieldPosition="0">
        <references count="2">
          <reference field="0" count="1" selected="0">
            <x v="124"/>
          </reference>
          <reference field="1" count="1">
            <x v="216"/>
          </reference>
        </references>
      </pivotArea>
    </format>
    <format dxfId="621">
      <pivotArea dataOnly="0" labelOnly="1" fieldPosition="0">
        <references count="2">
          <reference field="0" count="1" selected="0">
            <x v="80"/>
          </reference>
          <reference field="1" count="1">
            <x v="58"/>
          </reference>
        </references>
      </pivotArea>
    </format>
    <format dxfId="620">
      <pivotArea dataOnly="0" labelOnly="1" fieldPosition="0">
        <references count="2">
          <reference field="0" count="1" selected="0">
            <x v="172"/>
          </reference>
          <reference field="1" count="1">
            <x v="101"/>
          </reference>
        </references>
      </pivotArea>
    </format>
    <format dxfId="619">
      <pivotArea dataOnly="0" labelOnly="1" fieldPosition="0">
        <references count="2">
          <reference field="0" count="1" selected="0">
            <x v="157"/>
          </reference>
          <reference field="1" count="1">
            <x v="183"/>
          </reference>
        </references>
      </pivotArea>
    </format>
    <format dxfId="618">
      <pivotArea dataOnly="0" labelOnly="1" fieldPosition="0">
        <references count="2">
          <reference field="0" count="1" selected="0">
            <x v="109"/>
          </reference>
          <reference field="1" count="1">
            <x v="220"/>
          </reference>
        </references>
      </pivotArea>
    </format>
    <format dxfId="617">
      <pivotArea dataOnly="0" labelOnly="1" fieldPosition="0">
        <references count="2">
          <reference field="0" count="1" selected="0">
            <x v="32"/>
          </reference>
          <reference field="1" count="1">
            <x v="159"/>
          </reference>
        </references>
      </pivotArea>
    </format>
    <format dxfId="616">
      <pivotArea dataOnly="0" labelOnly="1" fieldPosition="0">
        <references count="2">
          <reference field="0" count="1" selected="0">
            <x v="40"/>
          </reference>
          <reference field="1" count="1">
            <x v="36"/>
          </reference>
        </references>
      </pivotArea>
    </format>
    <format dxfId="615">
      <pivotArea dataOnly="0" labelOnly="1" fieldPosition="0">
        <references count="2">
          <reference field="0" count="1" selected="0">
            <x v="54"/>
          </reference>
          <reference field="1" count="1">
            <x v="207"/>
          </reference>
        </references>
      </pivotArea>
    </format>
    <format dxfId="614">
      <pivotArea dataOnly="0" labelOnly="1" fieldPosition="0">
        <references count="2">
          <reference field="0" count="1" selected="0">
            <x v="108"/>
          </reference>
          <reference field="1" count="1">
            <x v="5"/>
          </reference>
        </references>
      </pivotArea>
    </format>
    <format dxfId="613">
      <pivotArea dataOnly="0" labelOnly="1" fieldPosition="0">
        <references count="2">
          <reference field="0" count="1" selected="0">
            <x v="200"/>
          </reference>
          <reference field="1" count="1">
            <x v="123"/>
          </reference>
        </references>
      </pivotArea>
    </format>
    <format dxfId="612">
      <pivotArea dataOnly="0" labelOnly="1" fieldPosition="0">
        <references count="2">
          <reference field="0" count="1" selected="0">
            <x v="156"/>
          </reference>
          <reference field="1" count="1">
            <x v="144"/>
          </reference>
        </references>
      </pivotArea>
    </format>
    <format dxfId="611">
      <pivotArea dataOnly="0" labelOnly="1" fieldPosition="0">
        <references count="2">
          <reference field="0" count="1" selected="0">
            <x v="74"/>
          </reference>
          <reference field="1" count="1">
            <x v="219"/>
          </reference>
        </references>
      </pivotArea>
    </format>
    <format dxfId="610">
      <pivotArea dataOnly="0" labelOnly="1" fieldPosition="0">
        <references count="2">
          <reference field="0" count="1" selected="0">
            <x v="27"/>
          </reference>
          <reference field="1" count="1">
            <x v="257"/>
          </reference>
        </references>
      </pivotArea>
    </format>
    <format dxfId="609">
      <pivotArea dataOnly="0" labelOnly="1" fieldPosition="0">
        <references count="2">
          <reference field="0" count="1" selected="0">
            <x v="43"/>
          </reference>
          <reference field="1" count="1">
            <x v="46"/>
          </reference>
        </references>
      </pivotArea>
    </format>
    <format dxfId="608">
      <pivotArea dataOnly="0" labelOnly="1" fieldPosition="0">
        <references count="2">
          <reference field="0" count="1" selected="0">
            <x v="66"/>
          </reference>
          <reference field="1" count="1">
            <x v="28"/>
          </reference>
        </references>
      </pivotArea>
    </format>
    <format dxfId="607">
      <pivotArea dataOnly="0" labelOnly="1" fieldPosition="0">
        <references count="2">
          <reference field="0" count="1" selected="0">
            <x v="47"/>
          </reference>
          <reference field="1" count="1">
            <x v="99"/>
          </reference>
        </references>
      </pivotArea>
    </format>
    <format dxfId="606">
      <pivotArea dataOnly="0" labelOnly="1" fieldPosition="0">
        <references count="2">
          <reference field="0" count="1" selected="0">
            <x v="33"/>
          </reference>
          <reference field="1" count="1">
            <x v="20"/>
          </reference>
        </references>
      </pivotArea>
    </format>
    <format dxfId="605">
      <pivotArea dataOnly="0" labelOnly="1" fieldPosition="0">
        <references count="2">
          <reference field="0" count="1" selected="0">
            <x v="219"/>
          </reference>
          <reference field="1" count="1">
            <x v="71"/>
          </reference>
        </references>
      </pivotArea>
    </format>
    <format dxfId="604">
      <pivotArea dataOnly="0" labelOnly="1" fieldPosition="0">
        <references count="2">
          <reference field="0" count="1" selected="0">
            <x v="191"/>
          </reference>
          <reference field="1" count="1">
            <x v="245"/>
          </reference>
        </references>
      </pivotArea>
    </format>
    <format dxfId="603">
      <pivotArea dataOnly="0" labelOnly="1" fieldPosition="0">
        <references count="2">
          <reference field="0" count="1" selected="0">
            <x v="123"/>
          </reference>
          <reference field="1" count="1">
            <x v="155"/>
          </reference>
        </references>
      </pivotArea>
    </format>
    <format dxfId="602">
      <pivotArea dataOnly="0" labelOnly="1" fieldPosition="0">
        <references count="2">
          <reference field="0" count="1" selected="0">
            <x v="192"/>
          </reference>
          <reference field="1" count="1">
            <x v="38"/>
          </reference>
        </references>
      </pivotArea>
    </format>
    <format dxfId="601">
      <pivotArea dataOnly="0" labelOnly="1" fieldPosition="0">
        <references count="2">
          <reference field="0" count="1" selected="0">
            <x v="171"/>
          </reference>
          <reference field="1" count="1">
            <x v="126"/>
          </reference>
        </references>
      </pivotArea>
    </format>
    <format dxfId="600">
      <pivotArea dataOnly="0" labelOnly="1" fieldPosition="0">
        <references count="2">
          <reference field="0" count="1" selected="0">
            <x v="46"/>
          </reference>
          <reference field="1" count="1">
            <x v="47"/>
          </reference>
        </references>
      </pivotArea>
    </format>
    <format dxfId="599">
      <pivotArea dataOnly="0" labelOnly="1" fieldPosition="0">
        <references count="2">
          <reference field="0" count="1" selected="0">
            <x v="31"/>
          </reference>
          <reference field="1" count="1">
            <x v="16"/>
          </reference>
        </references>
      </pivotArea>
    </format>
    <format dxfId="598">
      <pivotArea dataOnly="0" labelOnly="1" fieldPosition="0">
        <references count="2">
          <reference field="0" count="1" selected="0">
            <x v="52"/>
          </reference>
          <reference field="1" count="1">
            <x v="215"/>
          </reference>
        </references>
      </pivotArea>
    </format>
    <format dxfId="597">
      <pivotArea dataOnly="0" labelOnly="1" fieldPosition="0">
        <references count="2">
          <reference field="0" count="1" selected="0">
            <x v="26"/>
          </reference>
          <reference field="1" count="1">
            <x v="148"/>
          </reference>
        </references>
      </pivotArea>
    </format>
    <format dxfId="596">
      <pivotArea dataOnly="0" labelOnly="1" fieldPosition="0">
        <references count="2">
          <reference field="0" count="1" selected="0">
            <x v="14"/>
          </reference>
          <reference field="1" count="1">
            <x v="252"/>
          </reference>
        </references>
      </pivotArea>
    </format>
    <format dxfId="595">
      <pivotArea dataOnly="0" labelOnly="1" fieldPosition="0">
        <references count="2">
          <reference field="0" count="1" selected="0">
            <x v="125"/>
          </reference>
          <reference field="1" count="1">
            <x v="43"/>
          </reference>
        </references>
      </pivotArea>
    </format>
    <format dxfId="594">
      <pivotArea dataOnly="0" labelOnly="1" fieldPosition="0">
        <references count="2">
          <reference field="0" count="1" selected="0">
            <x v="115"/>
          </reference>
          <reference field="1" count="1">
            <x v="90"/>
          </reference>
        </references>
      </pivotArea>
    </format>
    <format dxfId="593">
      <pivotArea dataOnly="0" labelOnly="1" fieldPosition="0">
        <references count="2">
          <reference field="0" count="1" selected="0">
            <x v="35"/>
          </reference>
          <reference field="1" count="1">
            <x v="15"/>
          </reference>
        </references>
      </pivotArea>
    </format>
    <format dxfId="592">
      <pivotArea field="0" type="button" dataOnly="0" labelOnly="1" outline="0" axis="axisRow" fieldPosition="0"/>
    </format>
    <format dxfId="591">
      <pivotArea dataOnly="0" labelOnly="1" fieldPosition="0">
        <references count="1">
          <reference field="0" count="50">
            <x v="0"/>
            <x v="1"/>
            <x v="3"/>
            <x v="5"/>
            <x v="6"/>
            <x v="8"/>
            <x v="11"/>
            <x v="25"/>
            <x v="71"/>
            <x v="79"/>
            <x v="82"/>
            <x v="87"/>
            <x v="130"/>
            <x v="131"/>
            <x v="133"/>
            <x v="134"/>
            <x v="135"/>
            <x v="136"/>
            <x v="143"/>
            <x v="150"/>
            <x v="151"/>
            <x v="153"/>
            <x v="165"/>
            <x v="167"/>
            <x v="168"/>
            <x v="176"/>
            <x v="177"/>
            <x v="179"/>
            <x v="180"/>
            <x v="182"/>
            <x v="184"/>
            <x v="188"/>
            <x v="199"/>
            <x v="201"/>
            <x v="203"/>
            <x v="204"/>
            <x v="205"/>
            <x v="210"/>
            <x v="213"/>
            <x v="216"/>
            <x v="220"/>
            <x v="224"/>
            <x v="226"/>
            <x v="233"/>
            <x v="240"/>
            <x v="244"/>
            <x v="245"/>
            <x v="246"/>
            <x v="249"/>
            <x v="250"/>
          </reference>
        </references>
      </pivotArea>
    </format>
    <format dxfId="590">
      <pivotArea dataOnly="0" labelOnly="1" fieldPosition="0">
        <references count="1">
          <reference field="0" count="50">
            <x v="2"/>
            <x v="4"/>
            <x v="7"/>
            <x v="9"/>
            <x v="10"/>
            <x v="18"/>
            <x v="19"/>
            <x v="20"/>
            <x v="22"/>
            <x v="28"/>
            <x v="37"/>
            <x v="41"/>
            <x v="42"/>
            <x v="48"/>
            <x v="55"/>
            <x v="57"/>
            <x v="61"/>
            <x v="73"/>
            <x v="86"/>
            <x v="88"/>
            <x v="90"/>
            <x v="128"/>
            <x v="137"/>
            <x v="141"/>
            <x v="144"/>
            <x v="146"/>
            <x v="148"/>
            <x v="149"/>
            <x v="155"/>
            <x v="163"/>
            <x v="169"/>
            <x v="170"/>
            <x v="174"/>
            <x v="178"/>
            <x v="183"/>
            <x v="189"/>
            <x v="193"/>
            <x v="195"/>
            <x v="202"/>
            <x v="206"/>
            <x v="212"/>
            <x v="214"/>
            <x v="221"/>
            <x v="231"/>
            <x v="232"/>
            <x v="241"/>
            <x v="247"/>
            <x v="251"/>
            <x v="252"/>
            <x v="255"/>
          </reference>
        </references>
      </pivotArea>
    </format>
    <format dxfId="589">
      <pivotArea dataOnly="0" labelOnly="1" fieldPosition="0">
        <references count="1">
          <reference field="0" count="50">
            <x v="13"/>
            <x v="16"/>
            <x v="29"/>
            <x v="30"/>
            <x v="39"/>
            <x v="53"/>
            <x v="59"/>
            <x v="60"/>
            <x v="63"/>
            <x v="68"/>
            <x v="72"/>
            <x v="78"/>
            <x v="83"/>
            <x v="89"/>
            <x v="91"/>
            <x v="95"/>
            <x v="97"/>
            <x v="101"/>
            <x v="111"/>
            <x v="112"/>
            <x v="113"/>
            <x v="122"/>
            <x v="129"/>
            <x v="139"/>
            <x v="140"/>
            <x v="145"/>
            <x v="147"/>
            <x v="152"/>
            <x v="160"/>
            <x v="162"/>
            <x v="166"/>
            <x v="173"/>
            <x v="181"/>
            <x v="185"/>
            <x v="190"/>
            <x v="196"/>
            <x v="208"/>
            <x v="209"/>
            <x v="215"/>
            <x v="223"/>
            <x v="225"/>
            <x v="227"/>
            <x v="236"/>
            <x v="237"/>
            <x v="238"/>
            <x v="239"/>
            <x v="242"/>
            <x v="243"/>
            <x v="248"/>
            <x v="253"/>
          </reference>
        </references>
      </pivotArea>
    </format>
    <format dxfId="588">
      <pivotArea dataOnly="0" labelOnly="1" fieldPosition="0">
        <references count="1">
          <reference field="0" count="50">
            <x v="12"/>
            <x v="15"/>
            <x v="17"/>
            <x v="23"/>
            <x v="24"/>
            <x v="36"/>
            <x v="38"/>
            <x v="49"/>
            <x v="50"/>
            <x v="62"/>
            <x v="64"/>
            <x v="65"/>
            <x v="67"/>
            <x v="75"/>
            <x v="76"/>
            <x v="85"/>
            <x v="93"/>
            <x v="96"/>
            <x v="98"/>
            <x v="99"/>
            <x v="100"/>
            <x v="102"/>
            <x v="103"/>
            <x v="104"/>
            <x v="105"/>
            <x v="107"/>
            <x v="118"/>
            <x v="119"/>
            <x v="120"/>
            <x v="121"/>
            <x v="126"/>
            <x v="127"/>
            <x v="138"/>
            <x v="142"/>
            <x v="154"/>
            <x v="158"/>
            <x v="159"/>
            <x v="161"/>
            <x v="164"/>
            <x v="186"/>
            <x v="187"/>
            <x v="194"/>
            <x v="197"/>
            <x v="198"/>
            <x v="228"/>
            <x v="229"/>
            <x v="234"/>
            <x v="235"/>
            <x v="254"/>
            <x v="257"/>
          </reference>
        </references>
      </pivotArea>
    </format>
    <format dxfId="587">
      <pivotArea dataOnly="0" labelOnly="1" fieldPosition="0">
        <references count="1">
          <reference field="0" count="50">
            <x v="21"/>
            <x v="27"/>
            <x v="32"/>
            <x v="33"/>
            <x v="34"/>
            <x v="40"/>
            <x v="43"/>
            <x v="44"/>
            <x v="45"/>
            <x v="47"/>
            <x v="51"/>
            <x v="54"/>
            <x v="56"/>
            <x v="58"/>
            <x v="66"/>
            <x v="69"/>
            <x v="70"/>
            <x v="74"/>
            <x v="77"/>
            <x v="80"/>
            <x v="81"/>
            <x v="84"/>
            <x v="92"/>
            <x v="94"/>
            <x v="106"/>
            <x v="108"/>
            <x v="109"/>
            <x v="110"/>
            <x v="114"/>
            <x v="116"/>
            <x v="117"/>
            <x v="123"/>
            <x v="124"/>
            <x v="132"/>
            <x v="156"/>
            <x v="157"/>
            <x v="171"/>
            <x v="172"/>
            <x v="175"/>
            <x v="191"/>
            <x v="192"/>
            <x v="200"/>
            <x v="207"/>
            <x v="211"/>
            <x v="217"/>
            <x v="218"/>
            <x v="219"/>
            <x v="222"/>
            <x v="230"/>
            <x v="256"/>
          </reference>
        </references>
      </pivotArea>
    </format>
    <format dxfId="586">
      <pivotArea dataOnly="0" labelOnly="1" fieldPosition="0">
        <references count="1">
          <reference field="0" count="8">
            <x v="14"/>
            <x v="26"/>
            <x v="31"/>
            <x v="35"/>
            <x v="46"/>
            <x v="52"/>
            <x v="115"/>
            <x v="125"/>
          </reference>
        </references>
      </pivotArea>
    </format>
    <format dxfId="585">
      <pivotArea dataOnly="0" labelOnly="1" grandRow="1" outline="0" fieldPosition="0"/>
    </format>
    <format dxfId="584">
      <pivotArea dataOnly="0" labelOnly="1" fieldPosition="0">
        <references count="2">
          <reference field="0" count="1" selected="0">
            <x v="82"/>
          </reference>
          <reference field="1" count="1">
            <x v="62"/>
          </reference>
        </references>
      </pivotArea>
    </format>
    <format dxfId="583">
      <pivotArea dataOnly="0" labelOnly="1" fieldPosition="0">
        <references count="2">
          <reference field="0" count="1" selected="0">
            <x v="3"/>
          </reference>
          <reference field="1" count="1">
            <x v="179"/>
          </reference>
        </references>
      </pivotArea>
    </format>
    <format dxfId="582">
      <pivotArea dataOnly="0" labelOnly="1" fieldPosition="0">
        <references count="2">
          <reference field="0" count="1" selected="0">
            <x v="250"/>
          </reference>
          <reference field="1" count="1">
            <x v="87"/>
          </reference>
        </references>
      </pivotArea>
    </format>
    <format dxfId="581">
      <pivotArea dataOnly="0" labelOnly="1" fieldPosition="0">
        <references count="2">
          <reference field="0" count="1" selected="0">
            <x v="201"/>
          </reference>
          <reference field="1" count="1">
            <x v="133"/>
          </reference>
        </references>
      </pivotArea>
    </format>
    <format dxfId="580">
      <pivotArea dataOnly="0" labelOnly="1" fieldPosition="0">
        <references count="2">
          <reference field="0" count="1" selected="0">
            <x v="133"/>
          </reference>
          <reference field="1" count="1">
            <x v="244"/>
          </reference>
        </references>
      </pivotArea>
    </format>
    <format dxfId="579">
      <pivotArea dataOnly="0" labelOnly="1" fieldPosition="0">
        <references count="2">
          <reference field="0" count="1" selected="0">
            <x v="244"/>
          </reference>
          <reference field="1" count="1">
            <x v="76"/>
          </reference>
        </references>
      </pivotArea>
    </format>
    <format dxfId="578">
      <pivotArea dataOnly="0" labelOnly="1" fieldPosition="0">
        <references count="2">
          <reference field="0" count="1" selected="0">
            <x v="249"/>
          </reference>
          <reference field="1" count="1">
            <x v="204"/>
          </reference>
        </references>
      </pivotArea>
    </format>
    <format dxfId="577">
      <pivotArea dataOnly="0" labelOnly="1" fieldPosition="0">
        <references count="2">
          <reference field="0" count="1" selected="0">
            <x v="179"/>
          </reference>
          <reference field="1" count="1">
            <x v="139"/>
          </reference>
        </references>
      </pivotArea>
    </format>
    <format dxfId="576">
      <pivotArea dataOnly="0" labelOnly="1" fieldPosition="0">
        <references count="2">
          <reference field="0" count="1" selected="0">
            <x v="165"/>
          </reference>
          <reference field="1" count="1">
            <x v="186"/>
          </reference>
        </references>
      </pivotArea>
    </format>
    <format dxfId="575">
      <pivotArea dataOnly="0" labelOnly="1" fieldPosition="0">
        <references count="2">
          <reference field="0" count="1" selected="0">
            <x v="131"/>
          </reference>
          <reference field="1" count="1">
            <x v="165"/>
          </reference>
        </references>
      </pivotArea>
    </format>
    <format dxfId="574">
      <pivotArea dataOnly="0" labelOnly="1" fieldPosition="0">
        <references count="2">
          <reference field="0" count="1" selected="0">
            <x v="143"/>
          </reference>
          <reference field="1" count="1">
            <x v="44"/>
          </reference>
        </references>
      </pivotArea>
    </format>
    <format dxfId="573">
      <pivotArea dataOnly="0" labelOnly="1" fieldPosition="0">
        <references count="2">
          <reference field="0" count="1" selected="0">
            <x v="203"/>
          </reference>
          <reference field="1" count="1">
            <x v="232"/>
          </reference>
        </references>
      </pivotArea>
    </format>
    <format dxfId="572">
      <pivotArea dataOnly="0" labelOnly="1" fieldPosition="0">
        <references count="2">
          <reference field="0" count="1" selected="0">
            <x v="204"/>
          </reference>
          <reference field="1" count="1">
            <x v="27"/>
          </reference>
        </references>
      </pivotArea>
    </format>
    <format dxfId="571">
      <pivotArea dataOnly="0" labelOnly="1" fieldPosition="0">
        <references count="2">
          <reference field="0" count="1" selected="0">
            <x v="168"/>
          </reference>
          <reference field="1" count="1">
            <x v="253"/>
          </reference>
        </references>
      </pivotArea>
    </format>
    <format dxfId="570">
      <pivotArea dataOnly="0" labelOnly="1" fieldPosition="0">
        <references count="2">
          <reference field="0" count="1" selected="0">
            <x v="71"/>
          </reference>
          <reference field="1" count="1">
            <x v="201"/>
          </reference>
        </references>
      </pivotArea>
    </format>
    <format dxfId="569">
      <pivotArea dataOnly="0" labelOnly="1" fieldPosition="0">
        <references count="2">
          <reference field="0" count="1" selected="0">
            <x v="245"/>
          </reference>
          <reference field="1" count="1">
            <x v="34"/>
          </reference>
        </references>
      </pivotArea>
    </format>
    <format dxfId="568">
      <pivotArea dataOnly="0" labelOnly="1" fieldPosition="0">
        <references count="2">
          <reference field="0" count="1" selected="0">
            <x v="135"/>
          </reference>
          <reference field="1" count="1">
            <x v="189"/>
          </reference>
        </references>
      </pivotArea>
    </format>
    <format dxfId="567">
      <pivotArea dataOnly="0" labelOnly="1" fieldPosition="0">
        <references count="2">
          <reference field="0" count="1" selected="0">
            <x v="184"/>
          </reference>
          <reference field="1" count="1">
            <x v="117"/>
          </reference>
        </references>
      </pivotArea>
    </format>
    <format dxfId="566">
      <pivotArea dataOnly="0" labelOnly="1" fieldPosition="0">
        <references count="2">
          <reference field="0" count="1" selected="0">
            <x v="224"/>
          </reference>
          <reference field="1" count="1">
            <x v="73"/>
          </reference>
        </references>
      </pivotArea>
    </format>
    <format dxfId="565">
      <pivotArea dataOnly="0" labelOnly="1" fieldPosition="0">
        <references count="2">
          <reference field="0" count="1" selected="0">
            <x v="87"/>
          </reference>
          <reference field="1" count="1">
            <x v="61"/>
          </reference>
        </references>
      </pivotArea>
    </format>
    <format dxfId="564">
      <pivotArea dataOnly="0" labelOnly="1" fieldPosition="0">
        <references count="2">
          <reference field="0" count="1" selected="0">
            <x v="199"/>
          </reference>
          <reference field="1" count="1">
            <x v="127"/>
          </reference>
        </references>
      </pivotArea>
    </format>
    <format dxfId="563">
      <pivotArea dataOnly="0" labelOnly="1" fieldPosition="0">
        <references count="2">
          <reference field="0" count="1" selected="0">
            <x v="220"/>
          </reference>
          <reference field="1" count="1">
            <x v="78"/>
          </reference>
        </references>
      </pivotArea>
    </format>
    <format dxfId="562">
      <pivotArea dataOnly="0" labelOnly="1" fieldPosition="0">
        <references count="2">
          <reference field="0" count="1" selected="0">
            <x v="213"/>
          </reference>
          <reference field="1" count="1">
            <x v="84"/>
          </reference>
        </references>
      </pivotArea>
    </format>
    <format dxfId="561">
      <pivotArea dataOnly="0" labelOnly="1" fieldPosition="0">
        <references count="2">
          <reference field="0" count="1" selected="0">
            <x v="5"/>
          </reference>
          <reference field="1" count="1">
            <x v="0"/>
          </reference>
        </references>
      </pivotArea>
    </format>
    <format dxfId="560">
      <pivotArea dataOnly="0" labelOnly="1" fieldPosition="0">
        <references count="2">
          <reference field="0" count="1" selected="0">
            <x v="136"/>
          </reference>
          <reference field="1" count="1">
            <x v="4"/>
          </reference>
        </references>
      </pivotArea>
    </format>
    <format dxfId="559">
      <pivotArea dataOnly="0" labelOnly="1" fieldPosition="0">
        <references count="2">
          <reference field="0" count="1" selected="0">
            <x v="8"/>
          </reference>
          <reference field="1" count="1">
            <x v="10"/>
          </reference>
        </references>
      </pivotArea>
    </format>
    <format dxfId="558">
      <pivotArea dataOnly="0" labelOnly="1" fieldPosition="0">
        <references count="2">
          <reference field="0" count="1" selected="0">
            <x v="240"/>
          </reference>
          <reference field="1" count="1">
            <x v="77"/>
          </reference>
        </references>
      </pivotArea>
    </format>
    <format dxfId="557">
      <pivotArea dataOnly="0" labelOnly="1" fieldPosition="0">
        <references count="2">
          <reference field="0" count="1" selected="0">
            <x v="153"/>
          </reference>
          <reference field="1" count="1">
            <x v="167"/>
          </reference>
        </references>
      </pivotArea>
    </format>
    <format dxfId="556">
      <pivotArea dataOnly="0" labelOnly="1" fieldPosition="0">
        <references count="2">
          <reference field="0" count="1" selected="0">
            <x v="167"/>
          </reference>
          <reference field="1" count="1">
            <x v="138"/>
          </reference>
        </references>
      </pivotArea>
    </format>
    <format dxfId="555">
      <pivotArea dataOnly="0" labelOnly="1" fieldPosition="0">
        <references count="2">
          <reference field="0" count="1" selected="0">
            <x v="151"/>
          </reference>
          <reference field="1" count="1">
            <x v="203"/>
          </reference>
        </references>
      </pivotArea>
    </format>
    <format dxfId="554">
      <pivotArea dataOnly="0" labelOnly="1" fieldPosition="0">
        <references count="2">
          <reference field="0" count="1" selected="0">
            <x v="188"/>
          </reference>
          <reference field="1" count="1">
            <x v="162"/>
          </reference>
        </references>
      </pivotArea>
    </format>
    <format dxfId="553">
      <pivotArea dataOnly="0" labelOnly="1" fieldPosition="0">
        <references count="2">
          <reference field="0" count="1" selected="0">
            <x v="205"/>
          </reference>
          <reference field="1" count="1">
            <x v="237"/>
          </reference>
        </references>
      </pivotArea>
    </format>
    <format dxfId="552">
      <pivotArea dataOnly="0" labelOnly="1" fieldPosition="0">
        <references count="2">
          <reference field="0" count="1" selected="0">
            <x v="210"/>
          </reference>
          <reference field="1" count="1">
            <x v="70"/>
          </reference>
        </references>
      </pivotArea>
    </format>
    <format dxfId="551">
      <pivotArea dataOnly="0" labelOnly="1" fieldPosition="0">
        <references count="2">
          <reference field="0" count="1" selected="0">
            <x v="0"/>
          </reference>
          <reference field="1" count="1">
            <x v="175"/>
          </reference>
        </references>
      </pivotArea>
    </format>
    <format dxfId="550">
      <pivotArea dataOnly="0" labelOnly="1" fieldPosition="0">
        <references count="2">
          <reference field="0" count="1" selected="0">
            <x v="216"/>
          </reference>
          <reference field="1" count="1">
            <x v="66"/>
          </reference>
        </references>
      </pivotArea>
    </format>
    <format dxfId="549">
      <pivotArea dataOnly="0" labelOnly="1" fieldPosition="0">
        <references count="2">
          <reference field="0" count="1" selected="0">
            <x v="130"/>
          </reference>
          <reference field="1" count="1">
            <x v="54"/>
          </reference>
        </references>
      </pivotArea>
    </format>
    <format dxfId="548">
      <pivotArea dataOnly="0" labelOnly="1" fieldPosition="0">
        <references count="2">
          <reference field="0" count="1" selected="0">
            <x v="79"/>
          </reference>
          <reference field="1" count="1">
            <x v="19"/>
          </reference>
        </references>
      </pivotArea>
    </format>
    <format dxfId="547">
      <pivotArea dataOnly="0" labelOnly="1" fieldPosition="0">
        <references count="2">
          <reference field="0" count="1" selected="0">
            <x v="25"/>
          </reference>
          <reference field="1" count="1">
            <x v="21"/>
          </reference>
        </references>
      </pivotArea>
    </format>
    <format dxfId="546">
      <pivotArea dataOnly="0" labelOnly="1" fieldPosition="0">
        <references count="2">
          <reference field="0" count="1" selected="0">
            <x v="11"/>
          </reference>
          <reference field="1" count="1">
            <x v="42"/>
          </reference>
        </references>
      </pivotArea>
    </format>
    <format dxfId="545">
      <pivotArea dataOnly="0" labelOnly="1" fieldPosition="0">
        <references count="2">
          <reference field="0" count="1" selected="0">
            <x v="246"/>
          </reference>
          <reference field="1" count="1">
            <x v="166"/>
          </reference>
        </references>
      </pivotArea>
    </format>
    <format dxfId="544">
      <pivotArea dataOnly="0" labelOnly="1" fieldPosition="0">
        <references count="2">
          <reference field="0" count="1" selected="0">
            <x v="182"/>
          </reference>
          <reference field="1" count="1">
            <x v="111"/>
          </reference>
        </references>
      </pivotArea>
    </format>
    <format dxfId="543">
      <pivotArea dataOnly="0" labelOnly="1" fieldPosition="0">
        <references count="2">
          <reference field="0" count="1" selected="0">
            <x v="177"/>
          </reference>
          <reference field="1" count="1">
            <x v="142"/>
          </reference>
        </references>
      </pivotArea>
    </format>
    <format dxfId="542">
      <pivotArea dataOnly="0" labelOnly="1" fieldPosition="0">
        <references count="2">
          <reference field="0" count="1" selected="0">
            <x v="1"/>
          </reference>
          <reference field="1" count="1">
            <x v="176"/>
          </reference>
        </references>
      </pivotArea>
    </format>
    <format dxfId="541">
      <pivotArea dataOnly="0" labelOnly="1" fieldPosition="0">
        <references count="2">
          <reference field="0" count="1" selected="0">
            <x v="150"/>
          </reference>
          <reference field="1" count="1">
            <x v="110"/>
          </reference>
        </references>
      </pivotArea>
    </format>
    <format dxfId="540">
      <pivotArea dataOnly="0" labelOnly="1" fieldPosition="0">
        <references count="2">
          <reference field="0" count="1" selected="0">
            <x v="6"/>
          </reference>
          <reference field="1" count="1">
            <x v="173"/>
          </reference>
        </references>
      </pivotArea>
    </format>
    <format dxfId="539">
      <pivotArea dataOnly="0" labelOnly="1" fieldPosition="0">
        <references count="2">
          <reference field="0" count="1" selected="0">
            <x v="226"/>
          </reference>
          <reference field="1" count="1">
            <x v="233"/>
          </reference>
        </references>
      </pivotArea>
    </format>
    <format dxfId="538">
      <pivotArea dataOnly="0" labelOnly="1" fieldPosition="0">
        <references count="2">
          <reference field="0" count="1" selected="0">
            <x v="233"/>
          </reference>
          <reference field="1" count="1">
            <x v="236"/>
          </reference>
        </references>
      </pivotArea>
    </format>
    <format dxfId="537">
      <pivotArea dataOnly="0" labelOnly="1" fieldPosition="0">
        <references count="2">
          <reference field="0" count="1" selected="0">
            <x v="180"/>
          </reference>
          <reference field="1" count="1">
            <x v="109"/>
          </reference>
        </references>
      </pivotArea>
    </format>
    <format dxfId="536">
      <pivotArea dataOnly="0" labelOnly="1" fieldPosition="0">
        <references count="2">
          <reference field="0" count="1" selected="0">
            <x v="176"/>
          </reference>
          <reference field="1" count="1">
            <x v="56"/>
          </reference>
        </references>
      </pivotArea>
    </format>
    <format dxfId="535">
      <pivotArea dataOnly="0" labelOnly="1" fieldPosition="0">
        <references count="2">
          <reference field="0" count="1" selected="0">
            <x v="134"/>
          </reference>
          <reference field="1" count="1">
            <x v="88"/>
          </reference>
        </references>
      </pivotArea>
    </format>
    <format dxfId="534">
      <pivotArea dataOnly="0" labelOnly="1" fieldPosition="0">
        <references count="2">
          <reference field="0" count="1" selected="0">
            <x v="252"/>
          </reference>
          <reference field="1" count="1">
            <x v="105"/>
          </reference>
        </references>
      </pivotArea>
    </format>
    <format dxfId="533">
      <pivotArea dataOnly="0" labelOnly="1" fieldPosition="0">
        <references count="2">
          <reference field="0" count="1" selected="0">
            <x v="255"/>
          </reference>
          <reference field="1" count="1">
            <x v="106"/>
          </reference>
        </references>
      </pivotArea>
    </format>
    <format dxfId="532">
      <pivotArea dataOnly="0" labelOnly="1" fieldPosition="0">
        <references count="2">
          <reference field="0" count="1" selected="0">
            <x v="57"/>
          </reference>
          <reference field="1" count="1">
            <x v="242"/>
          </reference>
        </references>
      </pivotArea>
    </format>
    <format dxfId="531">
      <pivotArea dataOnly="0" labelOnly="1" fieldPosition="0">
        <references count="2">
          <reference field="0" count="1" selected="0">
            <x v="55"/>
          </reference>
          <reference field="1" count="1">
            <x v="192"/>
          </reference>
        </references>
      </pivotArea>
    </format>
    <format dxfId="530">
      <pivotArea dataOnly="0" labelOnly="1" fieldPosition="0">
        <references count="2">
          <reference field="0" count="1" selected="0">
            <x v="251"/>
          </reference>
          <reference field="1" count="1">
            <x v="81"/>
          </reference>
        </references>
      </pivotArea>
    </format>
    <format dxfId="529">
      <pivotArea dataOnly="0" labelOnly="1" fieldPosition="0">
        <references count="2">
          <reference field="0" count="1" selected="0">
            <x v="155"/>
          </reference>
          <reference field="1" count="1">
            <x v="100"/>
          </reference>
        </references>
      </pivotArea>
    </format>
    <format dxfId="528">
      <pivotArea dataOnly="0" labelOnly="1" fieldPosition="0">
        <references count="2">
          <reference field="0" count="1" selected="0">
            <x v="137"/>
          </reference>
          <reference field="1" count="1">
            <x v="3"/>
          </reference>
        </references>
      </pivotArea>
    </format>
    <format dxfId="527">
      <pivotArea dataOnly="0" labelOnly="1" fieldPosition="0">
        <references count="2">
          <reference field="0" count="1" selected="0">
            <x v="19"/>
          </reference>
          <reference field="1" count="1">
            <x v="171"/>
          </reference>
        </references>
      </pivotArea>
    </format>
    <format dxfId="526">
      <pivotArea dataOnly="0" labelOnly="1" fieldPosition="0">
        <references count="2">
          <reference field="0" count="1" selected="0">
            <x v="232"/>
          </reference>
          <reference field="1" count="1">
            <x v="92"/>
          </reference>
        </references>
      </pivotArea>
    </format>
    <format dxfId="525">
      <pivotArea dataOnly="0" labelOnly="1" fieldPosition="0">
        <references count="2">
          <reference field="0" count="1" selected="0">
            <x v="183"/>
          </reference>
          <reference field="1" count="1">
            <x v="112"/>
          </reference>
        </references>
      </pivotArea>
    </format>
    <format dxfId="524">
      <pivotArea dataOnly="0" labelOnly="1" fieldPosition="0">
        <references count="2">
          <reference field="0" count="1" selected="0">
            <x v="170"/>
          </reference>
          <reference field="1" count="1">
            <x v="25"/>
          </reference>
        </references>
      </pivotArea>
    </format>
    <format dxfId="523">
      <pivotArea dataOnly="0" labelOnly="1" fieldPosition="0">
        <references count="2">
          <reference field="0" count="1" selected="0">
            <x v="18"/>
          </reference>
          <reference field="1" count="1">
            <x v="202"/>
          </reference>
        </references>
      </pivotArea>
    </format>
    <format dxfId="522">
      <pivotArea dataOnly="0" labelOnly="1" fieldPosition="0">
        <references count="2">
          <reference field="0" count="1" selected="0">
            <x v="241"/>
          </reference>
          <reference field="1" count="1">
            <x v="82"/>
          </reference>
        </references>
      </pivotArea>
    </format>
    <format dxfId="521">
      <pivotArea dataOnly="0" labelOnly="1" fieldPosition="0">
        <references count="2">
          <reference field="0" count="1" selected="0">
            <x v="212"/>
          </reference>
          <reference field="1" count="1">
            <x v="163"/>
          </reference>
        </references>
      </pivotArea>
    </format>
    <format dxfId="520">
      <pivotArea dataOnly="0" labelOnly="1" fieldPosition="0">
        <references count="2">
          <reference field="0" count="1" selected="0">
            <x v="146"/>
          </reference>
          <reference field="1" count="1">
            <x v="141"/>
          </reference>
        </references>
      </pivotArea>
    </format>
    <format dxfId="519">
      <pivotArea dataOnly="0" labelOnly="1" fieldPosition="0">
        <references count="2">
          <reference field="0" count="1" selected="0">
            <x v="193"/>
          </reference>
          <reference field="1" count="1">
            <x v="23"/>
          </reference>
        </references>
      </pivotArea>
    </format>
    <format dxfId="518">
      <pivotArea dataOnly="0" labelOnly="1" fieldPosition="0">
        <references count="2">
          <reference field="0" count="1" selected="0">
            <x v="88"/>
          </reference>
          <reference field="1" count="1">
            <x v="170"/>
          </reference>
        </references>
      </pivotArea>
    </format>
    <format dxfId="517">
      <pivotArea dataOnly="0" labelOnly="1" fieldPosition="0">
        <references count="2">
          <reference field="0" count="1" selected="0">
            <x v="10"/>
          </reference>
          <reference field="1" count="1">
            <x v="168"/>
          </reference>
        </references>
      </pivotArea>
    </format>
    <format dxfId="516">
      <pivotArea dataOnly="0" labelOnly="1" fieldPosition="0">
        <references count="2">
          <reference field="0" count="1" selected="0">
            <x v="231"/>
          </reference>
          <reference field="1" count="1">
            <x v="64"/>
          </reference>
        </references>
      </pivotArea>
    </format>
    <format dxfId="515">
      <pivotArea dataOnly="0" labelOnly="1" fieldPosition="0">
        <references count="2">
          <reference field="0" count="1" selected="0">
            <x v="221"/>
          </reference>
          <reference field="1" count="1">
            <x v="80"/>
          </reference>
        </references>
      </pivotArea>
    </format>
    <format dxfId="514">
      <pivotArea dataOnly="0" labelOnly="1" fieldPosition="0">
        <references count="2">
          <reference field="0" count="1" selected="0">
            <x v="178"/>
          </reference>
          <reference field="1" count="1">
            <x v="113"/>
          </reference>
        </references>
      </pivotArea>
    </format>
    <format dxfId="513">
      <pivotArea dataOnly="0" labelOnly="1" fieldPosition="0">
        <references count="2">
          <reference field="0" count="1" selected="0">
            <x v="141"/>
          </reference>
          <reference field="1" count="1">
            <x v="131"/>
          </reference>
        </references>
      </pivotArea>
    </format>
    <format dxfId="512">
      <pivotArea dataOnly="0" labelOnly="1" fieldPosition="0">
        <references count="2">
          <reference field="0" count="1" selected="0">
            <x v="169"/>
          </reference>
          <reference field="1" count="1">
            <x v="108"/>
          </reference>
        </references>
      </pivotArea>
    </format>
    <format dxfId="511">
      <pivotArea dataOnly="0" labelOnly="1" fieldPosition="0">
        <references count="2">
          <reference field="0" count="1" selected="0">
            <x v="4"/>
          </reference>
          <reference field="1" count="1">
            <x v="178"/>
          </reference>
        </references>
      </pivotArea>
    </format>
    <format dxfId="510">
      <pivotArea dataOnly="0" labelOnly="1" fieldPosition="0">
        <references count="2">
          <reference field="0" count="1" selected="0">
            <x v="214"/>
          </reference>
          <reference field="1" count="1">
            <x v="85"/>
          </reference>
        </references>
      </pivotArea>
    </format>
    <format dxfId="509">
      <pivotArea dataOnly="0" labelOnly="1" fieldPosition="0">
        <references count="2">
          <reference field="0" count="1" selected="0">
            <x v="28"/>
          </reference>
          <reference field="1" count="1">
            <x v="145"/>
          </reference>
        </references>
      </pivotArea>
    </format>
    <format dxfId="508">
      <pivotArea dataOnly="0" labelOnly="1" fieldPosition="0">
        <references count="2">
          <reference field="0" count="1" selected="0">
            <x v="195"/>
          </reference>
          <reference field="1" count="1">
            <x v="160"/>
          </reference>
        </references>
      </pivotArea>
    </format>
    <format dxfId="507">
      <pivotArea dataOnly="0" labelOnly="1" fieldPosition="0">
        <references count="2">
          <reference field="0" count="1" selected="0">
            <x v="37"/>
          </reference>
          <reference field="1" count="1">
            <x v="96"/>
          </reference>
        </references>
      </pivotArea>
    </format>
    <format dxfId="506">
      <pivotArea dataOnly="0" labelOnly="1" fieldPosition="0">
        <references count="2">
          <reference field="0" count="1" selected="0">
            <x v="202"/>
          </reference>
          <reference field="1" count="1">
            <x v="149"/>
          </reference>
        </references>
      </pivotArea>
    </format>
    <format dxfId="505">
      <pivotArea dataOnly="0" labelOnly="1" fieldPosition="0">
        <references count="2">
          <reference field="0" count="1" selected="0">
            <x v="163"/>
          </reference>
          <reference field="1" count="1">
            <x v="122"/>
          </reference>
        </references>
      </pivotArea>
    </format>
    <format dxfId="504">
      <pivotArea dataOnly="0" labelOnly="1" fieldPosition="0">
        <references count="2">
          <reference field="0" count="1" selected="0">
            <x v="48"/>
          </reference>
          <reference field="1" count="1">
            <x v="50"/>
          </reference>
        </references>
      </pivotArea>
    </format>
    <format dxfId="503">
      <pivotArea dataOnly="0" labelOnly="1" fieldPosition="0">
        <references count="2">
          <reference field="0" count="1" selected="0">
            <x v="61"/>
          </reference>
          <reference field="1" count="1">
            <x v="223"/>
          </reference>
        </references>
      </pivotArea>
    </format>
    <format dxfId="502">
      <pivotArea dataOnly="0" labelOnly="1" fieldPosition="0">
        <references count="2">
          <reference field="0" count="1" selected="0">
            <x v="7"/>
          </reference>
          <reference field="1" count="1">
            <x v="174"/>
          </reference>
        </references>
      </pivotArea>
    </format>
    <format dxfId="501">
      <pivotArea dataOnly="0" labelOnly="1" fieldPosition="0">
        <references count="2">
          <reference field="0" count="1" selected="0">
            <x v="144"/>
          </reference>
          <reference field="1" count="1">
            <x v="65"/>
          </reference>
        </references>
      </pivotArea>
    </format>
    <format dxfId="500">
      <pivotArea dataOnly="0" labelOnly="1" fieldPosition="0">
        <references count="2">
          <reference field="0" count="1" selected="0">
            <x v="9"/>
          </reference>
          <reference field="1" count="1">
            <x v="210"/>
          </reference>
        </references>
      </pivotArea>
    </format>
    <format dxfId="499">
      <pivotArea dataOnly="0" labelOnly="1" fieldPosition="0">
        <references count="2">
          <reference field="0" count="1" selected="0">
            <x v="247"/>
          </reference>
          <reference field="1" count="1">
            <x v="67"/>
          </reference>
        </references>
      </pivotArea>
    </format>
    <format dxfId="498">
      <pivotArea dataOnly="0" labelOnly="1" fieldPosition="0">
        <references count="2">
          <reference field="0" count="1" selected="0">
            <x v="41"/>
          </reference>
          <reference field="1" count="1">
            <x v="194"/>
          </reference>
        </references>
      </pivotArea>
    </format>
    <format dxfId="497">
      <pivotArea dataOnly="0" labelOnly="1" fieldPosition="0">
        <references count="2">
          <reference field="0" count="1" selected="0">
            <x v="73"/>
          </reference>
          <reference field="1" count="1">
            <x v="214"/>
          </reference>
        </references>
      </pivotArea>
    </format>
    <format dxfId="496">
      <pivotArea dataOnly="0" labelOnly="1" fieldPosition="0">
        <references count="2">
          <reference field="0" count="1" selected="0">
            <x v="128"/>
          </reference>
          <reference field="1" count="1">
            <x v="217"/>
          </reference>
        </references>
      </pivotArea>
    </format>
    <format dxfId="495">
      <pivotArea dataOnly="0" labelOnly="1" fieldPosition="0">
        <references count="2">
          <reference field="0" count="1" selected="0">
            <x v="174"/>
          </reference>
          <reference field="1" count="1">
            <x v="205"/>
          </reference>
        </references>
      </pivotArea>
    </format>
    <format dxfId="494">
      <pivotArea dataOnly="0" labelOnly="1" fieldPosition="0">
        <references count="2">
          <reference field="0" count="1" selected="0">
            <x v="149"/>
          </reference>
          <reference field="1" count="1">
            <x v="95"/>
          </reference>
        </references>
      </pivotArea>
    </format>
    <format dxfId="493">
      <pivotArea dataOnly="0" labelOnly="1" fieldPosition="0">
        <references count="2">
          <reference field="0" count="1" selected="0">
            <x v="90"/>
          </reference>
          <reference field="1" count="1">
            <x v="60"/>
          </reference>
        </references>
      </pivotArea>
    </format>
    <format dxfId="492">
      <pivotArea dataOnly="0" labelOnly="1" fieldPosition="0">
        <references count="2">
          <reference field="0" count="1" selected="0">
            <x v="206"/>
          </reference>
          <reference field="1" count="1">
            <x v="98"/>
          </reference>
        </references>
      </pivotArea>
    </format>
    <format dxfId="491">
      <pivotArea dataOnly="0" labelOnly="1" fieldPosition="0">
        <references count="2">
          <reference field="0" count="1" selected="0">
            <x v="86"/>
          </reference>
          <reference field="1" count="1">
            <x v="30"/>
          </reference>
        </references>
      </pivotArea>
    </format>
    <format dxfId="490">
      <pivotArea dataOnly="0" labelOnly="1" fieldPosition="0">
        <references count="2">
          <reference field="0" count="1" selected="0">
            <x v="148"/>
          </reference>
          <reference field="1" count="1">
            <x v="208"/>
          </reference>
        </references>
      </pivotArea>
    </format>
    <format dxfId="489">
      <pivotArea dataOnly="0" labelOnly="1" fieldPosition="0">
        <references count="2">
          <reference field="0" count="1" selected="0">
            <x v="20"/>
          </reference>
          <reference field="1" count="1">
            <x v="172"/>
          </reference>
        </references>
      </pivotArea>
    </format>
    <format dxfId="488">
      <pivotArea dataOnly="0" labelOnly="1" fieldPosition="0">
        <references count="2">
          <reference field="0" count="1" selected="0">
            <x v="2"/>
          </reference>
          <reference field="1" count="1">
            <x v="177"/>
          </reference>
        </references>
      </pivotArea>
    </format>
    <format dxfId="487">
      <pivotArea dataOnly="0" labelOnly="1" fieldPosition="0">
        <references count="2">
          <reference field="0" count="1" selected="0">
            <x v="22"/>
          </reference>
          <reference field="1" count="1">
            <x v="13"/>
          </reference>
        </references>
      </pivotArea>
    </format>
    <format dxfId="486">
      <pivotArea dataOnly="0" labelOnly="1" fieldPosition="0">
        <references count="2">
          <reference field="0" count="1" selected="0">
            <x v="189"/>
          </reference>
          <reference field="1" count="1">
            <x v="235"/>
          </reference>
        </references>
      </pivotArea>
    </format>
    <format dxfId="485">
      <pivotArea dataOnly="0" labelOnly="1" fieldPosition="0">
        <references count="2">
          <reference field="0" count="1" selected="0">
            <x v="42"/>
          </reference>
          <reference field="1" count="1">
            <x v="198"/>
          </reference>
        </references>
      </pivotArea>
    </format>
    <format dxfId="484">
      <pivotArea dataOnly="0" labelOnly="1" fieldPosition="0">
        <references count="2">
          <reference field="0" count="1" selected="0">
            <x v="95"/>
          </reference>
          <reference field="1" count="1">
            <x v="157"/>
          </reference>
        </references>
      </pivotArea>
    </format>
    <format dxfId="483">
      <pivotArea dataOnly="0" labelOnly="1" fieldPosition="0">
        <references count="2">
          <reference field="0" count="1" selected="0">
            <x v="139"/>
          </reference>
          <reference field="1" count="1">
            <x v="104"/>
          </reference>
        </references>
      </pivotArea>
    </format>
    <format dxfId="482">
      <pivotArea dataOnly="0" labelOnly="1" fieldPosition="0">
        <references count="2">
          <reference field="0" count="1" selected="0">
            <x v="60"/>
          </reference>
          <reference field="1" count="1">
            <x v="238"/>
          </reference>
        </references>
      </pivotArea>
    </format>
    <format dxfId="481">
      <pivotArea dataOnly="0" labelOnly="1" fieldPosition="0">
        <references count="2">
          <reference field="0" count="1" selected="0">
            <x v="39"/>
          </reference>
          <reference field="1" count="1">
            <x v="22"/>
          </reference>
        </references>
      </pivotArea>
    </format>
    <format dxfId="480">
      <pivotArea dataOnly="0" labelOnly="1" fieldPosition="0">
        <references count="2">
          <reference field="0" count="1" selected="0">
            <x v="16"/>
          </reference>
          <reference field="1" count="1">
            <x v="243"/>
          </reference>
        </references>
      </pivotArea>
    </format>
    <format dxfId="479">
      <pivotArea dataOnly="0" labelOnly="1" fieldPosition="0">
        <references count="2">
          <reference field="0" count="1" selected="0">
            <x v="181"/>
          </reference>
          <reference field="1" count="1">
            <x v="118"/>
          </reference>
        </references>
      </pivotArea>
    </format>
    <format dxfId="478">
      <pivotArea dataOnly="0" labelOnly="1" fieldPosition="0">
        <references count="2">
          <reference field="0" count="1" selected="0">
            <x v="196"/>
          </reference>
          <reference field="1" count="1">
            <x v="125"/>
          </reference>
        </references>
      </pivotArea>
    </format>
    <format dxfId="477">
      <pivotArea dataOnly="0" labelOnly="1" fieldPosition="0">
        <references count="2">
          <reference field="0" count="1" selected="0">
            <x v="145"/>
          </reference>
          <reference field="1" count="1">
            <x v="254"/>
          </reference>
        </references>
      </pivotArea>
    </format>
    <format dxfId="476">
      <pivotArea dataOnly="0" labelOnly="1" fieldPosition="0">
        <references count="2">
          <reference field="0" count="1" selected="0">
            <x v="208"/>
          </reference>
          <reference field="1" count="1">
            <x v="132"/>
          </reference>
        </references>
      </pivotArea>
    </format>
    <format dxfId="475">
      <pivotArea dataOnly="0" labelOnly="1" fieldPosition="0">
        <references count="2">
          <reference field="0" count="1" selected="0">
            <x v="237"/>
          </reference>
          <reference field="1" count="1">
            <x v="164"/>
          </reference>
        </references>
      </pivotArea>
    </format>
    <format dxfId="474">
      <pivotArea dataOnly="0" labelOnly="1" fieldPosition="0">
        <references count="2">
          <reference field="0" count="1" selected="0">
            <x v="111"/>
          </reference>
          <reference field="1" count="1">
            <x v="14"/>
          </reference>
        </references>
      </pivotArea>
    </format>
    <format dxfId="473">
      <pivotArea dataOnly="0" labelOnly="1" fieldPosition="0">
        <references count="2">
          <reference field="0" count="1" selected="0">
            <x v="129"/>
          </reference>
          <reference field="1" count="1">
            <x v="213"/>
          </reference>
        </references>
      </pivotArea>
    </format>
    <format dxfId="472">
      <pivotArea dataOnly="0" labelOnly="1" fieldPosition="0">
        <references count="2">
          <reference field="0" count="1" selected="0">
            <x v="223"/>
          </reference>
          <reference field="1" count="1">
            <x v="103"/>
          </reference>
        </references>
      </pivotArea>
    </format>
    <format dxfId="471">
      <pivotArea dataOnly="0" labelOnly="1" fieldPosition="0">
        <references count="2">
          <reference field="0" count="1" selected="0">
            <x v="166"/>
          </reference>
          <reference field="1" count="1">
            <x v="137"/>
          </reference>
        </references>
      </pivotArea>
    </format>
    <format dxfId="470">
      <pivotArea dataOnly="0" labelOnly="1" fieldPosition="0">
        <references count="2">
          <reference field="0" count="1" selected="0">
            <x v="101"/>
          </reference>
          <reference field="1" count="1">
            <x v="169"/>
          </reference>
        </references>
      </pivotArea>
    </format>
    <format dxfId="469">
      <pivotArea dataOnly="0" labelOnly="1" fieldPosition="0">
        <references count="2">
          <reference field="0" count="1" selected="0">
            <x v="238"/>
          </reference>
          <reference field="1" count="1">
            <x v="83"/>
          </reference>
        </references>
      </pivotArea>
    </format>
    <format dxfId="468">
      <pivotArea dataOnly="0" labelOnly="1" fieldPosition="0">
        <references count="2">
          <reference field="0" count="1" selected="0">
            <x v="68"/>
          </reference>
          <reference field="1" count="1">
            <x v="51"/>
          </reference>
        </references>
      </pivotArea>
    </format>
    <format dxfId="467">
      <pivotArea dataOnly="0" labelOnly="1" fieldPosition="0">
        <references count="2">
          <reference field="0" count="1" selected="0">
            <x v="122"/>
          </reference>
          <reference field="1" count="1">
            <x v="255"/>
          </reference>
        </references>
      </pivotArea>
    </format>
    <format dxfId="466">
      <pivotArea dataOnly="0" labelOnly="1" fieldPosition="0">
        <references count="2">
          <reference field="0" count="1" selected="0">
            <x v="225"/>
          </reference>
          <reference field="1" count="1">
            <x v="69"/>
          </reference>
        </references>
      </pivotArea>
    </format>
    <format dxfId="465">
      <pivotArea dataOnly="0" labelOnly="1" fieldPosition="0">
        <references count="2">
          <reference field="0" count="1" selected="0">
            <x v="242"/>
          </reference>
          <reference field="1" count="1">
            <x v="185"/>
          </reference>
        </references>
      </pivotArea>
    </format>
    <format dxfId="464">
      <pivotArea dataOnly="0" labelOnly="1" fieldPosition="0">
        <references count="2">
          <reference field="0" count="1" selected="0">
            <x v="97"/>
          </reference>
          <reference field="1" count="1">
            <x v="250"/>
          </reference>
        </references>
      </pivotArea>
    </format>
    <format dxfId="463">
      <pivotArea dataOnly="0" labelOnly="1" fieldPosition="0">
        <references count="2">
          <reference field="0" count="1" selected="0">
            <x v="30"/>
          </reference>
          <reference field="1" count="1">
            <x v="211"/>
          </reference>
        </references>
      </pivotArea>
    </format>
    <format dxfId="462">
      <pivotArea dataOnly="0" labelOnly="1" fieldPosition="0">
        <references count="2">
          <reference field="0" count="1" selected="0">
            <x v="59"/>
          </reference>
          <reference field="1" count="1">
            <x v="240"/>
          </reference>
        </references>
      </pivotArea>
    </format>
    <format dxfId="461">
      <pivotArea dataOnly="0" labelOnly="1" fieldPosition="0">
        <references count="2">
          <reference field="0" count="1" selected="0">
            <x v="248"/>
          </reference>
          <reference field="1" count="1">
            <x v="234"/>
          </reference>
        </references>
      </pivotArea>
    </format>
    <format dxfId="460">
      <pivotArea dataOnly="0" labelOnly="1" fieldPosition="0">
        <references count="2">
          <reference field="0" count="1" selected="0">
            <x v="185"/>
          </reference>
          <reference field="1" count="1">
            <x v="114"/>
          </reference>
        </references>
      </pivotArea>
    </format>
    <format dxfId="459">
      <pivotArea dataOnly="0" labelOnly="1" fieldPosition="0">
        <references count="2">
          <reference field="0" count="1" selected="0">
            <x v="112"/>
          </reference>
          <reference field="1" count="1">
            <x v="158"/>
          </reference>
        </references>
      </pivotArea>
    </format>
    <format dxfId="458">
      <pivotArea dataOnly="0" labelOnly="1" fieldPosition="0">
        <references count="2">
          <reference field="0" count="1" selected="0">
            <x v="190"/>
          </reference>
          <reference field="1" count="1">
            <x v="120"/>
          </reference>
        </references>
      </pivotArea>
    </format>
    <format dxfId="457">
      <pivotArea dataOnly="0" labelOnly="1" fieldPosition="0">
        <references count="2">
          <reference field="0" count="1" selected="0">
            <x v="236"/>
          </reference>
          <reference field="1" count="1">
            <x v="146"/>
          </reference>
        </references>
      </pivotArea>
    </format>
    <format dxfId="456">
      <pivotArea dataOnly="0" labelOnly="1" fieldPosition="0">
        <references count="2">
          <reference field="0" count="1" selected="0">
            <x v="243"/>
          </reference>
          <reference field="1" count="1">
            <x v="75"/>
          </reference>
        </references>
      </pivotArea>
    </format>
    <format dxfId="455">
      <pivotArea dataOnly="0" labelOnly="1" fieldPosition="0">
        <references count="2">
          <reference field="0" count="1" selected="0">
            <x v="160"/>
          </reference>
          <reference field="1" count="1">
            <x v="130"/>
          </reference>
        </references>
      </pivotArea>
    </format>
    <format dxfId="454">
      <pivotArea dataOnly="0" labelOnly="1" fieldPosition="0">
        <references count="2">
          <reference field="0" count="1" selected="0">
            <x v="113"/>
          </reference>
          <reference field="1" count="1">
            <x v="31"/>
          </reference>
        </references>
      </pivotArea>
    </format>
    <format dxfId="453">
      <pivotArea dataOnly="0" labelOnly="1" fieldPosition="0">
        <references count="2">
          <reference field="0" count="1" selected="0">
            <x v="162"/>
          </reference>
          <reference field="1" count="1">
            <x v="35"/>
          </reference>
        </references>
      </pivotArea>
    </format>
    <format dxfId="452">
      <pivotArea dataOnly="0" labelOnly="1" fieldPosition="0">
        <references count="2">
          <reference field="0" count="1" selected="0">
            <x v="209"/>
          </reference>
          <reference field="1" count="1">
            <x v="128"/>
          </reference>
        </references>
      </pivotArea>
    </format>
    <format dxfId="451">
      <pivotArea dataOnly="0" labelOnly="1" fieldPosition="0">
        <references count="2">
          <reference field="0" count="1" selected="0">
            <x v="215"/>
          </reference>
          <reference field="1" count="1">
            <x v="184"/>
          </reference>
        </references>
      </pivotArea>
    </format>
    <format dxfId="450">
      <pivotArea dataOnly="0" labelOnly="1" fieldPosition="0">
        <references count="2">
          <reference field="0" count="1" selected="0">
            <x v="227"/>
          </reference>
          <reference field="1" count="1">
            <x v="143"/>
          </reference>
        </references>
      </pivotArea>
    </format>
    <format dxfId="449">
      <pivotArea dataOnly="0" labelOnly="1" fieldPosition="0">
        <references count="2">
          <reference field="0" count="1" selected="0">
            <x v="63"/>
          </reference>
          <reference field="1" count="1">
            <x v="231"/>
          </reference>
        </references>
      </pivotArea>
    </format>
    <format dxfId="448">
      <pivotArea dataOnly="0" labelOnly="1" fieldPosition="0">
        <references count="2">
          <reference field="0" count="1" selected="0">
            <x v="72"/>
          </reference>
          <reference field="1" count="1">
            <x v="206"/>
          </reference>
        </references>
      </pivotArea>
    </format>
    <format dxfId="447">
      <pivotArea dataOnly="0" labelOnly="1" fieldPosition="0">
        <references count="2">
          <reference field="0" count="1" selected="0">
            <x v="13"/>
          </reference>
          <reference field="1" count="1">
            <x v="107"/>
          </reference>
        </references>
      </pivotArea>
    </format>
    <format dxfId="446">
      <pivotArea dataOnly="0" labelOnly="1" fieldPosition="0">
        <references count="2">
          <reference field="0" count="1" selected="0">
            <x v="253"/>
          </reference>
          <reference field="1" count="1">
            <x v="40"/>
          </reference>
        </references>
      </pivotArea>
    </format>
    <format dxfId="445">
      <pivotArea dataOnly="0" labelOnly="1" fieldPosition="0">
        <references count="2">
          <reference field="0" count="1" selected="0">
            <x v="147"/>
          </reference>
          <reference field="1" count="1">
            <x v="188"/>
          </reference>
        </references>
      </pivotArea>
    </format>
    <format dxfId="444">
      <pivotArea dataOnly="0" labelOnly="1" fieldPosition="0">
        <references count="2">
          <reference field="0" count="1" selected="0">
            <x v="29"/>
          </reference>
          <reference field="1" count="1">
            <x v="153"/>
          </reference>
        </references>
      </pivotArea>
    </format>
    <format dxfId="443">
      <pivotArea dataOnly="0" labelOnly="1" fieldPosition="0">
        <references count="2">
          <reference field="0" count="1" selected="0">
            <x v="140"/>
          </reference>
          <reference field="1" count="1">
            <x v="195"/>
          </reference>
        </references>
      </pivotArea>
    </format>
    <format dxfId="442">
      <pivotArea dataOnly="0" labelOnly="1" fieldPosition="0">
        <references count="2">
          <reference field="0" count="1" selected="0">
            <x v="78"/>
          </reference>
          <reference field="1" count="1">
            <x v="18"/>
          </reference>
        </references>
      </pivotArea>
    </format>
    <format dxfId="441">
      <pivotArea dataOnly="0" labelOnly="1" fieldPosition="0">
        <references count="2">
          <reference field="0" count="1" selected="0">
            <x v="53"/>
          </reference>
          <reference field="1" count="1">
            <x v="45"/>
          </reference>
        </references>
      </pivotArea>
    </format>
    <format dxfId="440">
      <pivotArea dataOnly="0" labelOnly="1" fieldPosition="0">
        <references count="2">
          <reference field="0" count="1" selected="0">
            <x v="91"/>
          </reference>
          <reference field="1" count="1">
            <x v="59"/>
          </reference>
        </references>
      </pivotArea>
    </format>
    <format dxfId="439">
      <pivotArea dataOnly="0" labelOnly="1" fieldPosition="0">
        <references count="2">
          <reference field="0" count="1" selected="0">
            <x v="173"/>
          </reference>
          <reference field="1" count="1">
            <x v="119"/>
          </reference>
        </references>
      </pivotArea>
    </format>
    <format dxfId="438">
      <pivotArea dataOnly="0" labelOnly="1" fieldPosition="0">
        <references count="2">
          <reference field="0" count="1" selected="0">
            <x v="89"/>
          </reference>
          <reference field="1" count="1">
            <x v="57"/>
          </reference>
        </references>
      </pivotArea>
    </format>
    <format dxfId="437">
      <pivotArea dataOnly="0" labelOnly="1" fieldPosition="0">
        <references count="2">
          <reference field="0" count="1" selected="0">
            <x v="239"/>
          </reference>
          <reference field="1" count="1">
            <x v="72"/>
          </reference>
        </references>
      </pivotArea>
    </format>
    <format dxfId="436">
      <pivotArea dataOnly="0" labelOnly="1" fieldPosition="0">
        <references count="2">
          <reference field="0" count="1" selected="0">
            <x v="83"/>
          </reference>
          <reference field="1" count="1">
            <x v="251"/>
          </reference>
        </references>
      </pivotArea>
    </format>
    <format dxfId="435">
      <pivotArea dataOnly="0" labelOnly="1" fieldPosition="0">
        <references count="2">
          <reference field="0" count="1" selected="0">
            <x v="152"/>
          </reference>
          <reference field="1" count="1">
            <x v="150"/>
          </reference>
        </references>
      </pivotArea>
    </format>
    <format dxfId="434">
      <pivotArea dataOnly="0" labelOnly="1" fieldPosition="0">
        <references count="2">
          <reference field="0" count="1" selected="0">
            <x v="12"/>
          </reference>
          <reference field="1" count="1">
            <x v="154"/>
          </reference>
        </references>
      </pivotArea>
    </format>
    <format dxfId="433">
      <pivotArea dataOnly="0" labelOnly="1" fieldPosition="0">
        <references count="2">
          <reference field="0" count="1" selected="0">
            <x v="85"/>
          </reference>
          <reference field="1" count="1">
            <x v="182"/>
          </reference>
        </references>
      </pivotArea>
    </format>
    <format dxfId="432">
      <pivotArea dataOnly="0" labelOnly="1" fieldPosition="0">
        <references count="2">
          <reference field="0" count="1" selected="0">
            <x v="75"/>
          </reference>
          <reference field="1" count="1">
            <x v="191"/>
          </reference>
        </references>
      </pivotArea>
    </format>
    <format dxfId="431">
      <pivotArea dataOnly="0" labelOnly="1" fieldPosition="0">
        <references count="2">
          <reference field="0" count="1" selected="0">
            <x v="102"/>
          </reference>
          <reference field="1" count="1">
            <x v="6"/>
          </reference>
        </references>
      </pivotArea>
    </format>
    <format dxfId="430">
      <pivotArea dataOnly="0" labelOnly="1" fieldPosition="0">
        <references count="2">
          <reference field="0" count="1" selected="0">
            <x v="38"/>
          </reference>
          <reference field="1" count="1">
            <x v="256"/>
          </reference>
        </references>
      </pivotArea>
    </format>
    <format dxfId="429">
      <pivotArea dataOnly="0" labelOnly="1" fieldPosition="0">
        <references count="2">
          <reference field="0" count="1" selected="0">
            <x v="118"/>
          </reference>
          <reference field="1" count="1">
            <x v="93"/>
          </reference>
        </references>
      </pivotArea>
    </format>
    <format dxfId="428">
      <pivotArea dataOnly="0" labelOnly="1" fieldPosition="0">
        <references count="2">
          <reference field="0" count="1" selected="0">
            <x v="99"/>
          </reference>
          <reference field="1" count="1">
            <x v="29"/>
          </reference>
        </references>
      </pivotArea>
    </format>
    <format dxfId="427">
      <pivotArea dataOnly="0" labelOnly="1" fieldPosition="0">
        <references count="2">
          <reference field="0" count="1" selected="0">
            <x v="15"/>
          </reference>
          <reference field="1" count="1">
            <x v="147"/>
          </reference>
        </references>
      </pivotArea>
    </format>
    <format dxfId="426">
      <pivotArea dataOnly="0" labelOnly="1" fieldPosition="0">
        <references count="2">
          <reference field="0" count="1" selected="0">
            <x v="65"/>
          </reference>
          <reference field="1" count="1">
            <x v="222"/>
          </reference>
        </references>
      </pivotArea>
    </format>
    <format dxfId="425">
      <pivotArea dataOnly="0" labelOnly="1" fieldPosition="0">
        <references count="2">
          <reference field="0" count="1" selected="0">
            <x v="103"/>
          </reference>
          <reference field="1" count="1">
            <x v="8"/>
          </reference>
        </references>
      </pivotArea>
    </format>
    <format dxfId="424">
      <pivotArea dataOnly="0" labelOnly="1" fieldPosition="0">
        <references count="2">
          <reference field="0" count="1" selected="0">
            <x v="234"/>
          </reference>
          <reference field="1" count="1">
            <x v="190"/>
          </reference>
        </references>
      </pivotArea>
    </format>
    <format dxfId="423">
      <pivotArea dataOnly="0" labelOnly="1" fieldPosition="0">
        <references count="2">
          <reference field="0" count="1" selected="0">
            <x v="154"/>
          </reference>
          <reference field="1" count="1">
            <x v="1"/>
          </reference>
        </references>
      </pivotArea>
    </format>
    <format dxfId="422">
      <pivotArea dataOnly="0" labelOnly="1" fieldPosition="0">
        <references count="2">
          <reference field="0" count="1" selected="0">
            <x v="187"/>
          </reference>
          <reference field="1" count="1">
            <x v="116"/>
          </reference>
        </references>
      </pivotArea>
    </format>
    <format dxfId="421">
      <pivotArea dataOnly="0" labelOnly="1" fieldPosition="0">
        <references count="2">
          <reference field="0" count="1" selected="0">
            <x v="161"/>
          </reference>
          <reference field="1" count="1">
            <x v="121"/>
          </reference>
        </references>
      </pivotArea>
    </format>
    <format dxfId="420">
      <pivotArea dataOnly="0" labelOnly="1" fieldPosition="0">
        <references count="2">
          <reference field="0" count="1" selected="0">
            <x v="67"/>
          </reference>
          <reference field="1" count="1">
            <x v="53"/>
          </reference>
        </references>
      </pivotArea>
    </format>
    <format dxfId="419">
      <pivotArea dataOnly="0" labelOnly="1" fieldPosition="0">
        <references count="2">
          <reference field="0" count="1" selected="0">
            <x v="235"/>
          </reference>
          <reference field="1" count="1">
            <x v="193"/>
          </reference>
        </references>
      </pivotArea>
    </format>
    <format dxfId="418">
      <pivotArea dataOnly="0" labelOnly="1" fieldPosition="0">
        <references count="2">
          <reference field="0" count="1" selected="0">
            <x v="229"/>
          </reference>
          <reference field="1" count="1">
            <x v="248"/>
          </reference>
        </references>
      </pivotArea>
    </format>
    <format dxfId="417">
      <pivotArea dataOnly="0" labelOnly="1" fieldPosition="0">
        <references count="2">
          <reference field="0" count="1" selected="0">
            <x v="121"/>
          </reference>
          <reference field="1" count="1">
            <x v="209"/>
          </reference>
        </references>
      </pivotArea>
    </format>
    <format dxfId="416">
      <pivotArea dataOnly="0" labelOnly="1" fieldPosition="0">
        <references count="2">
          <reference field="0" count="1" selected="0">
            <x v="98"/>
          </reference>
          <reference field="1" count="1">
            <x v="181"/>
          </reference>
        </references>
      </pivotArea>
    </format>
    <format dxfId="415">
      <pivotArea dataOnly="0" labelOnly="1" fieldPosition="0">
        <references count="2">
          <reference field="0" count="1" selected="0">
            <x v="93"/>
          </reference>
          <reference field="1" count="1">
            <x v="152"/>
          </reference>
        </references>
      </pivotArea>
    </format>
    <format dxfId="414">
      <pivotArea dataOnly="0" labelOnly="1" fieldPosition="0">
        <references count="2">
          <reference field="0" count="1" selected="0">
            <x v="158"/>
          </reference>
          <reference field="1" count="1">
            <x v="2"/>
          </reference>
        </references>
      </pivotArea>
    </format>
    <format dxfId="413">
      <pivotArea dataOnly="0" labelOnly="1" fieldPosition="0">
        <references count="2">
          <reference field="0" count="1" selected="0">
            <x v="49"/>
          </reference>
          <reference field="1" count="1">
            <x v="49"/>
          </reference>
        </references>
      </pivotArea>
    </format>
    <format dxfId="412">
      <pivotArea dataOnly="0" labelOnly="1" fieldPosition="0">
        <references count="2">
          <reference field="0" count="1" selected="0">
            <x v="105"/>
          </reference>
          <reference field="1" count="1">
            <x v="224"/>
          </reference>
        </references>
      </pivotArea>
    </format>
    <format dxfId="411">
      <pivotArea dataOnly="0" labelOnly="1" fieldPosition="0">
        <references count="2">
          <reference field="0" count="1" selected="0">
            <x v="254"/>
          </reference>
          <reference field="1" count="1">
            <x v="79"/>
          </reference>
        </references>
      </pivotArea>
    </format>
    <format dxfId="410">
      <pivotArea dataOnly="0" labelOnly="1" fieldPosition="0">
        <references count="2">
          <reference field="0" count="1" selected="0">
            <x v="257"/>
          </reference>
          <reference field="1" count="1">
            <x v="74"/>
          </reference>
        </references>
      </pivotArea>
    </format>
    <format dxfId="409">
      <pivotArea dataOnly="0" labelOnly="1" fieldPosition="0">
        <references count="2">
          <reference field="0" count="1" selected="0">
            <x v="120"/>
          </reference>
          <reference field="1" count="1">
            <x v="218"/>
          </reference>
        </references>
      </pivotArea>
    </format>
    <format dxfId="408">
      <pivotArea dataOnly="0" labelOnly="1" fieldPosition="0">
        <references count="2">
          <reference field="0" count="1" selected="0">
            <x v="164"/>
          </reference>
          <reference field="1" count="1">
            <x v="129"/>
          </reference>
        </references>
      </pivotArea>
    </format>
    <format dxfId="407">
      <pivotArea dataOnly="0" labelOnly="1" fieldPosition="0">
        <references count="2">
          <reference field="0" count="1" selected="0">
            <x v="62"/>
          </reference>
          <reference field="1" count="1">
            <x v="197"/>
          </reference>
        </references>
      </pivotArea>
    </format>
    <format dxfId="406">
      <pivotArea dataOnly="0" labelOnly="1" fieldPosition="0">
        <references count="2">
          <reference field="0" count="1" selected="0">
            <x v="142"/>
          </reference>
          <reference field="1" count="1">
            <x v="39"/>
          </reference>
        </references>
      </pivotArea>
    </format>
    <format dxfId="405">
      <pivotArea dataOnly="0" labelOnly="1" fieldPosition="0">
        <references count="2">
          <reference field="0" count="1" selected="0">
            <x v="194"/>
          </reference>
          <reference field="1" count="1">
            <x v="156"/>
          </reference>
        </references>
      </pivotArea>
    </format>
    <format dxfId="404">
      <pivotArea dataOnly="0" labelOnly="1" fieldPosition="0">
        <references count="2">
          <reference field="0" count="1" selected="0">
            <x v="100"/>
          </reference>
          <reference field="1" count="1">
            <x v="9"/>
          </reference>
        </references>
      </pivotArea>
    </format>
    <format dxfId="403">
      <pivotArea dataOnly="0" labelOnly="1" fieldPosition="0">
        <references count="2">
          <reference field="0" count="1" selected="0">
            <x v="64"/>
          </reference>
          <reference field="1" count="1">
            <x v="55"/>
          </reference>
        </references>
      </pivotArea>
    </format>
    <format dxfId="402">
      <pivotArea dataOnly="0" labelOnly="1" fieldPosition="0">
        <references count="2">
          <reference field="0" count="1" selected="0">
            <x v="96"/>
          </reference>
          <reference field="1" count="1">
            <x v="246"/>
          </reference>
        </references>
      </pivotArea>
    </format>
    <format dxfId="401">
      <pivotArea dataOnly="0" labelOnly="1" fieldPosition="0">
        <references count="2">
          <reference field="0" count="1" selected="0">
            <x v="138"/>
          </reference>
          <reference field="1" count="1">
            <x v="97"/>
          </reference>
        </references>
      </pivotArea>
    </format>
    <format dxfId="400">
      <pivotArea dataOnly="0" labelOnly="1" fieldPosition="0">
        <references count="2">
          <reference field="0" count="1" selected="0">
            <x v="23"/>
          </reference>
          <reference field="1" count="1">
            <x v="229"/>
          </reference>
        </references>
      </pivotArea>
    </format>
    <format dxfId="399">
      <pivotArea dataOnly="0" labelOnly="1" fieldPosition="0">
        <references count="2">
          <reference field="0" count="1" selected="0">
            <x v="36"/>
          </reference>
          <reference field="1" count="1">
            <x v="89"/>
          </reference>
        </references>
      </pivotArea>
    </format>
    <format dxfId="398">
      <pivotArea dataOnly="0" labelOnly="1" fieldPosition="0">
        <references count="2">
          <reference field="0" count="1" selected="0">
            <x v="107"/>
          </reference>
          <reference field="1" count="1">
            <x v="41"/>
          </reference>
        </references>
      </pivotArea>
    </format>
    <format dxfId="397">
      <pivotArea dataOnly="0" labelOnly="1" fieldPosition="0">
        <references count="2">
          <reference field="0" count="1" selected="0">
            <x v="159"/>
          </reference>
          <reference field="1" count="1">
            <x v="136"/>
          </reference>
        </references>
      </pivotArea>
    </format>
    <format dxfId="396">
      <pivotArea dataOnly="0" labelOnly="1" fieldPosition="0">
        <references count="2">
          <reference field="0" count="1" selected="0">
            <x v="127"/>
          </reference>
          <reference field="1" count="1">
            <x v="187"/>
          </reference>
        </references>
      </pivotArea>
    </format>
    <format dxfId="395">
      <pivotArea dataOnly="0" labelOnly="1" fieldPosition="0">
        <references count="2">
          <reference field="0" count="1" selected="0">
            <x v="197"/>
          </reference>
          <reference field="1" count="1">
            <x v="135"/>
          </reference>
        </references>
      </pivotArea>
    </format>
    <format dxfId="394">
      <pivotArea dataOnly="0" labelOnly="1" fieldPosition="0">
        <references count="2">
          <reference field="0" count="1" selected="0">
            <x v="50"/>
          </reference>
          <reference field="1" count="1">
            <x v="230"/>
          </reference>
        </references>
      </pivotArea>
    </format>
    <format dxfId="393">
      <pivotArea dataOnly="0" labelOnly="1" fieldPosition="0">
        <references count="2">
          <reference field="0" count="1" selected="0">
            <x v="119"/>
          </reference>
          <reference field="1" count="1">
            <x v="52"/>
          </reference>
        </references>
      </pivotArea>
    </format>
    <format dxfId="392">
      <pivotArea dataOnly="0" labelOnly="1" fieldPosition="0">
        <references count="2">
          <reference field="0" count="1" selected="0">
            <x v="104"/>
          </reference>
          <reference field="1" count="1">
            <x v="7"/>
          </reference>
        </references>
      </pivotArea>
    </format>
    <format dxfId="391">
      <pivotArea dataOnly="0" labelOnly="1" fieldPosition="0">
        <references count="2">
          <reference field="0" count="1" selected="0">
            <x v="198"/>
          </reference>
          <reference field="1" count="1">
            <x v="24"/>
          </reference>
        </references>
      </pivotArea>
    </format>
    <format dxfId="390">
      <pivotArea dataOnly="0" labelOnly="1" fieldPosition="0">
        <references count="2">
          <reference field="0" count="1" selected="0">
            <x v="24"/>
          </reference>
          <reference field="1" count="1">
            <x v="37"/>
          </reference>
        </references>
      </pivotArea>
    </format>
    <format dxfId="389">
      <pivotArea dataOnly="0" labelOnly="1" fieldPosition="0">
        <references count="2">
          <reference field="0" count="1" selected="0">
            <x v="228"/>
          </reference>
          <reference field="1" count="1">
            <x v="212"/>
          </reference>
        </references>
      </pivotArea>
    </format>
    <format dxfId="388">
      <pivotArea dataOnly="0" labelOnly="1" fieldPosition="0">
        <references count="2">
          <reference field="0" count="1" selected="0">
            <x v="126"/>
          </reference>
          <reference field="1" count="1">
            <x v="26"/>
          </reference>
        </references>
      </pivotArea>
    </format>
    <format dxfId="387">
      <pivotArea dataOnly="0" labelOnly="1" fieldPosition="0">
        <references count="2">
          <reference field="0" count="1" selected="0">
            <x v="17"/>
          </reference>
          <reference field="1" count="1">
            <x v="94"/>
          </reference>
        </references>
      </pivotArea>
    </format>
    <format dxfId="386">
      <pivotArea dataOnly="0" labelOnly="1" fieldPosition="0">
        <references count="2">
          <reference field="0" count="1" selected="0">
            <x v="76"/>
          </reference>
          <reference field="1" count="1">
            <x v="225"/>
          </reference>
        </references>
      </pivotArea>
    </format>
    <format dxfId="385">
      <pivotArea dataOnly="0" labelOnly="1" fieldPosition="0">
        <references count="2">
          <reference field="0" count="1" selected="0">
            <x v="186"/>
          </reference>
          <reference field="1" count="1">
            <x v="115"/>
          </reference>
        </references>
      </pivotArea>
    </format>
    <format dxfId="384">
      <pivotArea dataOnly="0" labelOnly="1" fieldPosition="0">
        <references count="2">
          <reference field="0" count="1" selected="0">
            <x v="92"/>
          </reference>
          <reference field="1" count="1">
            <x v="221"/>
          </reference>
        </references>
      </pivotArea>
    </format>
    <format dxfId="383">
      <pivotArea dataOnly="0" labelOnly="1" fieldPosition="0">
        <references count="2">
          <reference field="0" count="1" selected="0">
            <x v="217"/>
          </reference>
          <reference field="1" count="1">
            <x v="247"/>
          </reference>
        </references>
      </pivotArea>
    </format>
    <format dxfId="382">
      <pivotArea dataOnly="0" labelOnly="1" fieldPosition="0">
        <references count="2">
          <reference field="0" count="1" selected="0">
            <x v="256"/>
          </reference>
          <reference field="1" count="1">
            <x v="249"/>
          </reference>
        </references>
      </pivotArea>
    </format>
    <format dxfId="381">
      <pivotArea dataOnly="0" labelOnly="1" fieldPosition="0">
        <references count="2">
          <reference field="0" count="1" selected="0">
            <x v="132"/>
          </reference>
          <reference field="1" count="1">
            <x v="102"/>
          </reference>
        </references>
      </pivotArea>
    </format>
    <format dxfId="380">
      <pivotArea dataOnly="0" labelOnly="1" fieldPosition="0">
        <references count="2">
          <reference field="0" count="1" selected="0">
            <x v="230"/>
          </reference>
          <reference field="1" count="1">
            <x v="161"/>
          </reference>
        </references>
      </pivotArea>
    </format>
    <format dxfId="379">
      <pivotArea dataOnly="0" labelOnly="1" fieldPosition="0">
        <references count="2">
          <reference field="0" count="1" selected="0">
            <x v="116"/>
          </reference>
          <reference field="1" count="1">
            <x v="91"/>
          </reference>
        </references>
      </pivotArea>
    </format>
    <format dxfId="378">
      <pivotArea dataOnly="0" labelOnly="1" fieldPosition="0">
        <references count="2">
          <reference field="0" count="1" selected="0">
            <x v="58"/>
          </reference>
          <reference field="1" count="1">
            <x v="239"/>
          </reference>
        </references>
      </pivotArea>
    </format>
    <format dxfId="377">
      <pivotArea dataOnly="0" labelOnly="1" fieldPosition="0">
        <references count="2">
          <reference field="0" count="1" selected="0">
            <x v="51"/>
          </reference>
          <reference field="1" count="1">
            <x v="228"/>
          </reference>
        </references>
      </pivotArea>
    </format>
    <format dxfId="376">
      <pivotArea dataOnly="0" labelOnly="1" fieldPosition="0">
        <references count="2">
          <reference field="0" count="1" selected="0">
            <x v="218"/>
          </reference>
          <reference field="1" count="1">
            <x v="86"/>
          </reference>
        </references>
      </pivotArea>
    </format>
    <format dxfId="375">
      <pivotArea dataOnly="0" labelOnly="1" fieldPosition="0">
        <references count="2">
          <reference field="0" count="1" selected="0">
            <x v="56"/>
          </reference>
          <reference field="1" count="1">
            <x v="241"/>
          </reference>
        </references>
      </pivotArea>
    </format>
    <format dxfId="374">
      <pivotArea dataOnly="0" labelOnly="1" fieldPosition="0">
        <references count="2">
          <reference field="0" count="1" selected="0">
            <x v="94"/>
          </reference>
          <reference field="1" count="1">
            <x v="227"/>
          </reference>
        </references>
      </pivotArea>
    </format>
    <format dxfId="373">
      <pivotArea dataOnly="0" labelOnly="1" fieldPosition="0">
        <references count="2">
          <reference field="0" count="1" selected="0">
            <x v="211"/>
          </reference>
          <reference field="1" count="1">
            <x v="68"/>
          </reference>
        </references>
      </pivotArea>
    </format>
    <format dxfId="372">
      <pivotArea dataOnly="0" labelOnly="1" fieldPosition="0">
        <references count="2">
          <reference field="0" count="1" selected="0">
            <x v="207"/>
          </reference>
          <reference field="1" count="1">
            <x v="134"/>
          </reference>
        </references>
      </pivotArea>
    </format>
    <format dxfId="371">
      <pivotArea dataOnly="0" labelOnly="1" fieldPosition="0">
        <references count="2">
          <reference field="0" count="1" selected="0">
            <x v="44"/>
          </reference>
          <reference field="1" count="1">
            <x v="199"/>
          </reference>
        </references>
      </pivotArea>
    </format>
    <format dxfId="370">
      <pivotArea dataOnly="0" labelOnly="1" fieldPosition="0">
        <references count="2">
          <reference field="0" count="1" selected="0">
            <x v="222"/>
          </reference>
          <reference field="1" count="1">
            <x v="180"/>
          </reference>
        </references>
      </pivotArea>
    </format>
    <format dxfId="369">
      <pivotArea dataOnly="0" labelOnly="1" fieldPosition="0">
        <references count="2">
          <reference field="0" count="1" selected="0">
            <x v="70"/>
          </reference>
          <reference field="1" count="1">
            <x v="151"/>
          </reference>
        </references>
      </pivotArea>
    </format>
    <format dxfId="368">
      <pivotArea dataOnly="0" labelOnly="1" fieldPosition="0">
        <references count="2">
          <reference field="0" count="1" selected="0">
            <x v="34"/>
          </reference>
          <reference field="1" count="1">
            <x v="17"/>
          </reference>
        </references>
      </pivotArea>
    </format>
    <format dxfId="367">
      <pivotArea dataOnly="0" labelOnly="1" fieldPosition="0">
        <references count="2">
          <reference field="0" count="1" selected="0">
            <x v="81"/>
          </reference>
          <reference field="1" count="1">
            <x v="63"/>
          </reference>
        </references>
      </pivotArea>
    </format>
    <format dxfId="366">
      <pivotArea dataOnly="0" labelOnly="1" fieldPosition="0">
        <references count="2">
          <reference field="0" count="1" selected="0">
            <x v="45"/>
          </reference>
          <reference field="1" count="1">
            <x v="48"/>
          </reference>
        </references>
      </pivotArea>
    </format>
    <format dxfId="365">
      <pivotArea dataOnly="0" labelOnly="1" fieldPosition="0">
        <references count="2">
          <reference field="0" count="1" selected="0">
            <x v="175"/>
          </reference>
          <reference field="1" count="1">
            <x v="124"/>
          </reference>
        </references>
      </pivotArea>
    </format>
    <format dxfId="364">
      <pivotArea dataOnly="0" labelOnly="1" fieldPosition="0">
        <references count="2">
          <reference field="0" count="1" selected="0">
            <x v="69"/>
          </reference>
          <reference field="1" count="1">
            <x v="11"/>
          </reference>
        </references>
      </pivotArea>
    </format>
    <format dxfId="363">
      <pivotArea dataOnly="0" labelOnly="1" fieldPosition="0">
        <references count="2">
          <reference field="0" count="1" selected="0">
            <x v="21"/>
          </reference>
          <reference field="1" count="1">
            <x v="32"/>
          </reference>
        </references>
      </pivotArea>
    </format>
    <format dxfId="362">
      <pivotArea dataOnly="0" labelOnly="1" fieldPosition="0">
        <references count="2">
          <reference field="0" count="1" selected="0">
            <x v="114"/>
          </reference>
          <reference field="1" count="1">
            <x v="12"/>
          </reference>
        </references>
      </pivotArea>
    </format>
    <format dxfId="361">
      <pivotArea dataOnly="0" labelOnly="1" fieldPosition="0">
        <references count="2">
          <reference field="0" count="1" selected="0">
            <x v="84"/>
          </reference>
          <reference field="1" count="1">
            <x v="140"/>
          </reference>
        </references>
      </pivotArea>
    </format>
    <format dxfId="360">
      <pivotArea dataOnly="0" labelOnly="1" fieldPosition="0">
        <references count="2">
          <reference field="0" count="1" selected="0">
            <x v="110"/>
          </reference>
          <reference field="1" count="1">
            <x v="226"/>
          </reference>
        </references>
      </pivotArea>
    </format>
    <format dxfId="359">
      <pivotArea dataOnly="0" labelOnly="1" fieldPosition="0">
        <references count="2">
          <reference field="0" count="1" selected="0">
            <x v="106"/>
          </reference>
          <reference field="1" count="1">
            <x v="196"/>
          </reference>
        </references>
      </pivotArea>
    </format>
    <format dxfId="358">
      <pivotArea dataOnly="0" labelOnly="1" fieldPosition="0">
        <references count="2">
          <reference field="0" count="1" selected="0">
            <x v="77"/>
          </reference>
          <reference field="1" count="1">
            <x v="200"/>
          </reference>
        </references>
      </pivotArea>
    </format>
    <format dxfId="357">
      <pivotArea dataOnly="0" labelOnly="1" fieldPosition="0">
        <references count="2">
          <reference field="0" count="1" selected="0">
            <x v="117"/>
          </reference>
          <reference field="1" count="1">
            <x v="33"/>
          </reference>
        </references>
      </pivotArea>
    </format>
    <format dxfId="356">
      <pivotArea dataOnly="0" labelOnly="1" fieldPosition="0">
        <references count="2">
          <reference field="0" count="1" selected="0">
            <x v="124"/>
          </reference>
          <reference field="1" count="1">
            <x v="216"/>
          </reference>
        </references>
      </pivotArea>
    </format>
    <format dxfId="355">
      <pivotArea dataOnly="0" labelOnly="1" fieldPosition="0">
        <references count="2">
          <reference field="0" count="1" selected="0">
            <x v="80"/>
          </reference>
          <reference field="1" count="1">
            <x v="58"/>
          </reference>
        </references>
      </pivotArea>
    </format>
    <format dxfId="354">
      <pivotArea dataOnly="0" labelOnly="1" fieldPosition="0">
        <references count="2">
          <reference field="0" count="1" selected="0">
            <x v="172"/>
          </reference>
          <reference field="1" count="1">
            <x v="101"/>
          </reference>
        </references>
      </pivotArea>
    </format>
    <format dxfId="353">
      <pivotArea dataOnly="0" labelOnly="1" fieldPosition="0">
        <references count="2">
          <reference field="0" count="1" selected="0">
            <x v="157"/>
          </reference>
          <reference field="1" count="1">
            <x v="183"/>
          </reference>
        </references>
      </pivotArea>
    </format>
    <format dxfId="352">
      <pivotArea dataOnly="0" labelOnly="1" fieldPosition="0">
        <references count="2">
          <reference field="0" count="1" selected="0">
            <x v="109"/>
          </reference>
          <reference field="1" count="1">
            <x v="220"/>
          </reference>
        </references>
      </pivotArea>
    </format>
    <format dxfId="351">
      <pivotArea dataOnly="0" labelOnly="1" fieldPosition="0">
        <references count="2">
          <reference field="0" count="1" selected="0">
            <x v="32"/>
          </reference>
          <reference field="1" count="1">
            <x v="159"/>
          </reference>
        </references>
      </pivotArea>
    </format>
    <format dxfId="350">
      <pivotArea dataOnly="0" labelOnly="1" fieldPosition="0">
        <references count="2">
          <reference field="0" count="1" selected="0">
            <x v="40"/>
          </reference>
          <reference field="1" count="1">
            <x v="36"/>
          </reference>
        </references>
      </pivotArea>
    </format>
    <format dxfId="349">
      <pivotArea dataOnly="0" labelOnly="1" fieldPosition="0">
        <references count="2">
          <reference field="0" count="1" selected="0">
            <x v="54"/>
          </reference>
          <reference field="1" count="1">
            <x v="207"/>
          </reference>
        </references>
      </pivotArea>
    </format>
    <format dxfId="348">
      <pivotArea dataOnly="0" labelOnly="1" fieldPosition="0">
        <references count="2">
          <reference field="0" count="1" selected="0">
            <x v="108"/>
          </reference>
          <reference field="1" count="1">
            <x v="5"/>
          </reference>
        </references>
      </pivotArea>
    </format>
    <format dxfId="347">
      <pivotArea dataOnly="0" labelOnly="1" fieldPosition="0">
        <references count="2">
          <reference field="0" count="1" selected="0">
            <x v="200"/>
          </reference>
          <reference field="1" count="1">
            <x v="123"/>
          </reference>
        </references>
      </pivotArea>
    </format>
    <format dxfId="346">
      <pivotArea dataOnly="0" labelOnly="1" fieldPosition="0">
        <references count="2">
          <reference field="0" count="1" selected="0">
            <x v="156"/>
          </reference>
          <reference field="1" count="1">
            <x v="144"/>
          </reference>
        </references>
      </pivotArea>
    </format>
    <format dxfId="345">
      <pivotArea dataOnly="0" labelOnly="1" fieldPosition="0">
        <references count="2">
          <reference field="0" count="1" selected="0">
            <x v="74"/>
          </reference>
          <reference field="1" count="1">
            <x v="219"/>
          </reference>
        </references>
      </pivotArea>
    </format>
    <format dxfId="344">
      <pivotArea dataOnly="0" labelOnly="1" fieldPosition="0">
        <references count="2">
          <reference field="0" count="1" selected="0">
            <x v="27"/>
          </reference>
          <reference field="1" count="1">
            <x v="257"/>
          </reference>
        </references>
      </pivotArea>
    </format>
    <format dxfId="343">
      <pivotArea dataOnly="0" labelOnly="1" fieldPosition="0">
        <references count="2">
          <reference field="0" count="1" selected="0">
            <x v="43"/>
          </reference>
          <reference field="1" count="1">
            <x v="46"/>
          </reference>
        </references>
      </pivotArea>
    </format>
    <format dxfId="342">
      <pivotArea dataOnly="0" labelOnly="1" fieldPosition="0">
        <references count="2">
          <reference field="0" count="1" selected="0">
            <x v="66"/>
          </reference>
          <reference field="1" count="1">
            <x v="28"/>
          </reference>
        </references>
      </pivotArea>
    </format>
    <format dxfId="341">
      <pivotArea dataOnly="0" labelOnly="1" fieldPosition="0">
        <references count="2">
          <reference field="0" count="1" selected="0">
            <x v="47"/>
          </reference>
          <reference field="1" count="1">
            <x v="99"/>
          </reference>
        </references>
      </pivotArea>
    </format>
    <format dxfId="340">
      <pivotArea dataOnly="0" labelOnly="1" fieldPosition="0">
        <references count="2">
          <reference field="0" count="1" selected="0">
            <x v="33"/>
          </reference>
          <reference field="1" count="1">
            <x v="20"/>
          </reference>
        </references>
      </pivotArea>
    </format>
    <format dxfId="339">
      <pivotArea dataOnly="0" labelOnly="1" fieldPosition="0">
        <references count="2">
          <reference field="0" count="1" selected="0">
            <x v="219"/>
          </reference>
          <reference field="1" count="1">
            <x v="71"/>
          </reference>
        </references>
      </pivotArea>
    </format>
    <format dxfId="338">
      <pivotArea dataOnly="0" labelOnly="1" fieldPosition="0">
        <references count="2">
          <reference field="0" count="1" selected="0">
            <x v="191"/>
          </reference>
          <reference field="1" count="1">
            <x v="245"/>
          </reference>
        </references>
      </pivotArea>
    </format>
    <format dxfId="337">
      <pivotArea dataOnly="0" labelOnly="1" fieldPosition="0">
        <references count="2">
          <reference field="0" count="1" selected="0">
            <x v="123"/>
          </reference>
          <reference field="1" count="1">
            <x v="155"/>
          </reference>
        </references>
      </pivotArea>
    </format>
    <format dxfId="336">
      <pivotArea dataOnly="0" labelOnly="1" fieldPosition="0">
        <references count="2">
          <reference field="0" count="1" selected="0">
            <x v="192"/>
          </reference>
          <reference field="1" count="1">
            <x v="38"/>
          </reference>
        </references>
      </pivotArea>
    </format>
    <format dxfId="335">
      <pivotArea dataOnly="0" labelOnly="1" fieldPosition="0">
        <references count="2">
          <reference field="0" count="1" selected="0">
            <x v="171"/>
          </reference>
          <reference field="1" count="1">
            <x v="126"/>
          </reference>
        </references>
      </pivotArea>
    </format>
    <format dxfId="334">
      <pivotArea dataOnly="0" labelOnly="1" fieldPosition="0">
        <references count="2">
          <reference field="0" count="1" selected="0">
            <x v="46"/>
          </reference>
          <reference field="1" count="1">
            <x v="47"/>
          </reference>
        </references>
      </pivotArea>
    </format>
    <format dxfId="333">
      <pivotArea dataOnly="0" labelOnly="1" fieldPosition="0">
        <references count="2">
          <reference field="0" count="1" selected="0">
            <x v="31"/>
          </reference>
          <reference field="1" count="1">
            <x v="16"/>
          </reference>
        </references>
      </pivotArea>
    </format>
    <format dxfId="332">
      <pivotArea dataOnly="0" labelOnly="1" fieldPosition="0">
        <references count="2">
          <reference field="0" count="1" selected="0">
            <x v="52"/>
          </reference>
          <reference field="1" count="1">
            <x v="215"/>
          </reference>
        </references>
      </pivotArea>
    </format>
    <format dxfId="331">
      <pivotArea dataOnly="0" labelOnly="1" fieldPosition="0">
        <references count="2">
          <reference field="0" count="1" selected="0">
            <x v="26"/>
          </reference>
          <reference field="1" count="1">
            <x v="148"/>
          </reference>
        </references>
      </pivotArea>
    </format>
    <format dxfId="330">
      <pivotArea dataOnly="0" labelOnly="1" fieldPosition="0">
        <references count="2">
          <reference field="0" count="1" selected="0">
            <x v="14"/>
          </reference>
          <reference field="1" count="1">
            <x v="252"/>
          </reference>
        </references>
      </pivotArea>
    </format>
    <format dxfId="329">
      <pivotArea dataOnly="0" labelOnly="1" fieldPosition="0">
        <references count="2">
          <reference field="0" count="1" selected="0">
            <x v="125"/>
          </reference>
          <reference field="1" count="1">
            <x v="43"/>
          </reference>
        </references>
      </pivotArea>
    </format>
    <format dxfId="328">
      <pivotArea dataOnly="0" labelOnly="1" fieldPosition="0">
        <references count="2">
          <reference field="0" count="1" selected="0">
            <x v="115"/>
          </reference>
          <reference field="1" count="1">
            <x v="90"/>
          </reference>
        </references>
      </pivotArea>
    </format>
    <format dxfId="327">
      <pivotArea dataOnly="0" labelOnly="1" fieldPosition="0">
        <references count="2">
          <reference field="0" count="1" selected="0">
            <x v="35"/>
          </reference>
          <reference field="1" count="1">
            <x v="15"/>
          </reference>
        </references>
      </pivotArea>
    </format>
    <format dxfId="326">
      <pivotArea field="0" type="button" dataOnly="0" labelOnly="1" outline="0" axis="axisRow" fieldPosition="0"/>
    </format>
    <format dxfId="325">
      <pivotArea dataOnly="0" labelOnly="1" fieldPosition="0">
        <references count="1">
          <reference field="0" count="50">
            <x v="0"/>
            <x v="1"/>
            <x v="3"/>
            <x v="5"/>
            <x v="6"/>
            <x v="8"/>
            <x v="11"/>
            <x v="25"/>
            <x v="71"/>
            <x v="79"/>
            <x v="82"/>
            <x v="87"/>
            <x v="130"/>
            <x v="131"/>
            <x v="133"/>
            <x v="134"/>
            <x v="135"/>
            <x v="136"/>
            <x v="143"/>
            <x v="150"/>
            <x v="151"/>
            <x v="153"/>
            <x v="165"/>
            <x v="167"/>
            <x v="168"/>
            <x v="176"/>
            <x v="177"/>
            <x v="179"/>
            <x v="180"/>
            <x v="182"/>
            <x v="184"/>
            <x v="188"/>
            <x v="199"/>
            <x v="201"/>
            <x v="203"/>
            <x v="204"/>
            <x v="205"/>
            <x v="210"/>
            <x v="213"/>
            <x v="216"/>
            <x v="220"/>
            <x v="224"/>
            <x v="226"/>
            <x v="233"/>
            <x v="240"/>
            <x v="244"/>
            <x v="245"/>
            <x v="246"/>
            <x v="249"/>
            <x v="250"/>
          </reference>
        </references>
      </pivotArea>
    </format>
    <format dxfId="324">
      <pivotArea dataOnly="0" labelOnly="1" fieldPosition="0">
        <references count="1">
          <reference field="0" count="50">
            <x v="2"/>
            <x v="4"/>
            <x v="7"/>
            <x v="9"/>
            <x v="10"/>
            <x v="18"/>
            <x v="19"/>
            <x v="20"/>
            <x v="22"/>
            <x v="28"/>
            <x v="37"/>
            <x v="41"/>
            <x v="42"/>
            <x v="48"/>
            <x v="55"/>
            <x v="57"/>
            <x v="61"/>
            <x v="73"/>
            <x v="86"/>
            <x v="88"/>
            <x v="90"/>
            <x v="128"/>
            <x v="137"/>
            <x v="141"/>
            <x v="144"/>
            <x v="146"/>
            <x v="148"/>
            <x v="149"/>
            <x v="155"/>
            <x v="163"/>
            <x v="169"/>
            <x v="170"/>
            <x v="174"/>
            <x v="178"/>
            <x v="183"/>
            <x v="189"/>
            <x v="193"/>
            <x v="195"/>
            <x v="202"/>
            <x v="206"/>
            <x v="212"/>
            <x v="214"/>
            <x v="221"/>
            <x v="231"/>
            <x v="232"/>
            <x v="241"/>
            <x v="247"/>
            <x v="251"/>
            <x v="252"/>
            <x v="255"/>
          </reference>
        </references>
      </pivotArea>
    </format>
    <format dxfId="323">
      <pivotArea dataOnly="0" labelOnly="1" fieldPosition="0">
        <references count="1">
          <reference field="0" count="50">
            <x v="13"/>
            <x v="16"/>
            <x v="29"/>
            <x v="30"/>
            <x v="39"/>
            <x v="53"/>
            <x v="59"/>
            <x v="60"/>
            <x v="63"/>
            <x v="68"/>
            <x v="72"/>
            <x v="78"/>
            <x v="83"/>
            <x v="89"/>
            <x v="91"/>
            <x v="95"/>
            <x v="97"/>
            <x v="101"/>
            <x v="111"/>
            <x v="112"/>
            <x v="113"/>
            <x v="122"/>
            <x v="129"/>
            <x v="139"/>
            <x v="140"/>
            <x v="145"/>
            <x v="147"/>
            <x v="152"/>
            <x v="160"/>
            <x v="162"/>
            <x v="166"/>
            <x v="173"/>
            <x v="181"/>
            <x v="185"/>
            <x v="190"/>
            <x v="196"/>
            <x v="208"/>
            <x v="209"/>
            <x v="215"/>
            <x v="223"/>
            <x v="225"/>
            <x v="227"/>
            <x v="236"/>
            <x v="237"/>
            <x v="238"/>
            <x v="239"/>
            <x v="242"/>
            <x v="243"/>
            <x v="248"/>
            <x v="253"/>
          </reference>
        </references>
      </pivotArea>
    </format>
    <format dxfId="322">
      <pivotArea dataOnly="0" labelOnly="1" fieldPosition="0">
        <references count="1">
          <reference field="0" count="50">
            <x v="12"/>
            <x v="15"/>
            <x v="17"/>
            <x v="23"/>
            <x v="24"/>
            <x v="36"/>
            <x v="38"/>
            <x v="49"/>
            <x v="50"/>
            <x v="62"/>
            <x v="64"/>
            <x v="65"/>
            <x v="67"/>
            <x v="75"/>
            <x v="76"/>
            <x v="85"/>
            <x v="93"/>
            <x v="96"/>
            <x v="98"/>
            <x v="99"/>
            <x v="100"/>
            <x v="102"/>
            <x v="103"/>
            <x v="104"/>
            <x v="105"/>
            <x v="107"/>
            <x v="118"/>
            <x v="119"/>
            <x v="120"/>
            <x v="121"/>
            <x v="126"/>
            <x v="127"/>
            <x v="138"/>
            <x v="142"/>
            <x v="154"/>
            <x v="158"/>
            <x v="159"/>
            <x v="161"/>
            <x v="164"/>
            <x v="186"/>
            <x v="187"/>
            <x v="194"/>
            <x v="197"/>
            <x v="198"/>
            <x v="228"/>
            <x v="229"/>
            <x v="234"/>
            <x v="235"/>
            <x v="254"/>
            <x v="257"/>
          </reference>
        </references>
      </pivotArea>
    </format>
    <format dxfId="321">
      <pivotArea dataOnly="0" labelOnly="1" fieldPosition="0">
        <references count="1">
          <reference field="0" count="50">
            <x v="21"/>
            <x v="27"/>
            <x v="32"/>
            <x v="33"/>
            <x v="34"/>
            <x v="40"/>
            <x v="43"/>
            <x v="44"/>
            <x v="45"/>
            <x v="47"/>
            <x v="51"/>
            <x v="54"/>
            <x v="56"/>
            <x v="58"/>
            <x v="66"/>
            <x v="69"/>
            <x v="70"/>
            <x v="74"/>
            <x v="77"/>
            <x v="80"/>
            <x v="81"/>
            <x v="84"/>
            <x v="92"/>
            <x v="94"/>
            <x v="106"/>
            <x v="108"/>
            <x v="109"/>
            <x v="110"/>
            <x v="114"/>
            <x v="116"/>
            <x v="117"/>
            <x v="123"/>
            <x v="124"/>
            <x v="132"/>
            <x v="156"/>
            <x v="157"/>
            <x v="171"/>
            <x v="172"/>
            <x v="175"/>
            <x v="191"/>
            <x v="192"/>
            <x v="200"/>
            <x v="207"/>
            <x v="211"/>
            <x v="217"/>
            <x v="218"/>
            <x v="219"/>
            <x v="222"/>
            <x v="230"/>
            <x v="256"/>
          </reference>
        </references>
      </pivotArea>
    </format>
    <format dxfId="320">
      <pivotArea dataOnly="0" labelOnly="1" fieldPosition="0">
        <references count="1">
          <reference field="0" count="8">
            <x v="14"/>
            <x v="26"/>
            <x v="31"/>
            <x v="35"/>
            <x v="46"/>
            <x v="52"/>
            <x v="115"/>
            <x v="125"/>
          </reference>
        </references>
      </pivotArea>
    </format>
    <format dxfId="319">
      <pivotArea dataOnly="0" labelOnly="1" grandRow="1" outline="0" fieldPosition="0"/>
    </format>
    <format dxfId="318">
      <pivotArea dataOnly="0" labelOnly="1" fieldPosition="0">
        <references count="2">
          <reference field="0" count="1" selected="0">
            <x v="82"/>
          </reference>
          <reference field="1" count="1">
            <x v="62"/>
          </reference>
        </references>
      </pivotArea>
    </format>
    <format dxfId="317">
      <pivotArea dataOnly="0" labelOnly="1" fieldPosition="0">
        <references count="2">
          <reference field="0" count="1" selected="0">
            <x v="3"/>
          </reference>
          <reference field="1" count="1">
            <x v="179"/>
          </reference>
        </references>
      </pivotArea>
    </format>
    <format dxfId="316">
      <pivotArea dataOnly="0" labelOnly="1" fieldPosition="0">
        <references count="2">
          <reference field="0" count="1" selected="0">
            <x v="250"/>
          </reference>
          <reference field="1" count="1">
            <x v="87"/>
          </reference>
        </references>
      </pivotArea>
    </format>
    <format dxfId="315">
      <pivotArea dataOnly="0" labelOnly="1" fieldPosition="0">
        <references count="2">
          <reference field="0" count="1" selected="0">
            <x v="201"/>
          </reference>
          <reference field="1" count="1">
            <x v="133"/>
          </reference>
        </references>
      </pivotArea>
    </format>
    <format dxfId="314">
      <pivotArea dataOnly="0" labelOnly="1" fieldPosition="0">
        <references count="2">
          <reference field="0" count="1" selected="0">
            <x v="133"/>
          </reference>
          <reference field="1" count="1">
            <x v="244"/>
          </reference>
        </references>
      </pivotArea>
    </format>
    <format dxfId="313">
      <pivotArea dataOnly="0" labelOnly="1" fieldPosition="0">
        <references count="2">
          <reference field="0" count="1" selected="0">
            <x v="244"/>
          </reference>
          <reference field="1" count="1">
            <x v="76"/>
          </reference>
        </references>
      </pivotArea>
    </format>
    <format dxfId="312">
      <pivotArea dataOnly="0" labelOnly="1" fieldPosition="0">
        <references count="2">
          <reference field="0" count="1" selected="0">
            <x v="249"/>
          </reference>
          <reference field="1" count="1">
            <x v="204"/>
          </reference>
        </references>
      </pivotArea>
    </format>
    <format dxfId="311">
      <pivotArea dataOnly="0" labelOnly="1" fieldPosition="0">
        <references count="2">
          <reference field="0" count="1" selected="0">
            <x v="179"/>
          </reference>
          <reference field="1" count="1">
            <x v="139"/>
          </reference>
        </references>
      </pivotArea>
    </format>
    <format dxfId="310">
      <pivotArea dataOnly="0" labelOnly="1" fieldPosition="0">
        <references count="2">
          <reference field="0" count="1" selected="0">
            <x v="165"/>
          </reference>
          <reference field="1" count="1">
            <x v="186"/>
          </reference>
        </references>
      </pivotArea>
    </format>
    <format dxfId="309">
      <pivotArea dataOnly="0" labelOnly="1" fieldPosition="0">
        <references count="2">
          <reference field="0" count="1" selected="0">
            <x v="131"/>
          </reference>
          <reference field="1" count="1">
            <x v="165"/>
          </reference>
        </references>
      </pivotArea>
    </format>
    <format dxfId="308">
      <pivotArea dataOnly="0" labelOnly="1" fieldPosition="0">
        <references count="2">
          <reference field="0" count="1" selected="0">
            <x v="143"/>
          </reference>
          <reference field="1" count="1">
            <x v="44"/>
          </reference>
        </references>
      </pivotArea>
    </format>
    <format dxfId="307">
      <pivotArea dataOnly="0" labelOnly="1" fieldPosition="0">
        <references count="2">
          <reference field="0" count="1" selected="0">
            <x v="203"/>
          </reference>
          <reference field="1" count="1">
            <x v="232"/>
          </reference>
        </references>
      </pivotArea>
    </format>
    <format dxfId="306">
      <pivotArea dataOnly="0" labelOnly="1" fieldPosition="0">
        <references count="2">
          <reference field="0" count="1" selected="0">
            <x v="204"/>
          </reference>
          <reference field="1" count="1">
            <x v="27"/>
          </reference>
        </references>
      </pivotArea>
    </format>
    <format dxfId="305">
      <pivotArea dataOnly="0" labelOnly="1" fieldPosition="0">
        <references count="2">
          <reference field="0" count="1" selected="0">
            <x v="168"/>
          </reference>
          <reference field="1" count="1">
            <x v="253"/>
          </reference>
        </references>
      </pivotArea>
    </format>
    <format dxfId="304">
      <pivotArea dataOnly="0" labelOnly="1" fieldPosition="0">
        <references count="2">
          <reference field="0" count="1" selected="0">
            <x v="71"/>
          </reference>
          <reference field="1" count="1">
            <x v="201"/>
          </reference>
        </references>
      </pivotArea>
    </format>
    <format dxfId="303">
      <pivotArea dataOnly="0" labelOnly="1" fieldPosition="0">
        <references count="2">
          <reference field="0" count="1" selected="0">
            <x v="245"/>
          </reference>
          <reference field="1" count="1">
            <x v="34"/>
          </reference>
        </references>
      </pivotArea>
    </format>
    <format dxfId="302">
      <pivotArea dataOnly="0" labelOnly="1" fieldPosition="0">
        <references count="2">
          <reference field="0" count="1" selected="0">
            <x v="135"/>
          </reference>
          <reference field="1" count="1">
            <x v="189"/>
          </reference>
        </references>
      </pivotArea>
    </format>
    <format dxfId="301">
      <pivotArea dataOnly="0" labelOnly="1" fieldPosition="0">
        <references count="2">
          <reference field="0" count="1" selected="0">
            <x v="184"/>
          </reference>
          <reference field="1" count="1">
            <x v="117"/>
          </reference>
        </references>
      </pivotArea>
    </format>
    <format dxfId="300">
      <pivotArea dataOnly="0" labelOnly="1" fieldPosition="0">
        <references count="2">
          <reference field="0" count="1" selected="0">
            <x v="224"/>
          </reference>
          <reference field="1" count="1">
            <x v="73"/>
          </reference>
        </references>
      </pivotArea>
    </format>
    <format dxfId="299">
      <pivotArea dataOnly="0" labelOnly="1" fieldPosition="0">
        <references count="2">
          <reference field="0" count="1" selected="0">
            <x v="87"/>
          </reference>
          <reference field="1" count="1">
            <x v="61"/>
          </reference>
        </references>
      </pivotArea>
    </format>
    <format dxfId="298">
      <pivotArea dataOnly="0" labelOnly="1" fieldPosition="0">
        <references count="2">
          <reference field="0" count="1" selected="0">
            <x v="199"/>
          </reference>
          <reference field="1" count="1">
            <x v="127"/>
          </reference>
        </references>
      </pivotArea>
    </format>
    <format dxfId="297">
      <pivotArea dataOnly="0" labelOnly="1" fieldPosition="0">
        <references count="2">
          <reference field="0" count="1" selected="0">
            <x v="220"/>
          </reference>
          <reference field="1" count="1">
            <x v="78"/>
          </reference>
        </references>
      </pivotArea>
    </format>
    <format dxfId="296">
      <pivotArea dataOnly="0" labelOnly="1" fieldPosition="0">
        <references count="2">
          <reference field="0" count="1" selected="0">
            <x v="213"/>
          </reference>
          <reference field="1" count="1">
            <x v="84"/>
          </reference>
        </references>
      </pivotArea>
    </format>
    <format dxfId="295">
      <pivotArea dataOnly="0" labelOnly="1" fieldPosition="0">
        <references count="2">
          <reference field="0" count="1" selected="0">
            <x v="5"/>
          </reference>
          <reference field="1" count="1">
            <x v="0"/>
          </reference>
        </references>
      </pivotArea>
    </format>
    <format dxfId="294">
      <pivotArea dataOnly="0" labelOnly="1" fieldPosition="0">
        <references count="2">
          <reference field="0" count="1" selected="0">
            <x v="136"/>
          </reference>
          <reference field="1" count="1">
            <x v="4"/>
          </reference>
        </references>
      </pivotArea>
    </format>
    <format dxfId="293">
      <pivotArea dataOnly="0" labelOnly="1" fieldPosition="0">
        <references count="2">
          <reference field="0" count="1" selected="0">
            <x v="8"/>
          </reference>
          <reference field="1" count="1">
            <x v="10"/>
          </reference>
        </references>
      </pivotArea>
    </format>
    <format dxfId="292">
      <pivotArea dataOnly="0" labelOnly="1" fieldPosition="0">
        <references count="2">
          <reference field="0" count="1" selected="0">
            <x v="240"/>
          </reference>
          <reference field="1" count="1">
            <x v="77"/>
          </reference>
        </references>
      </pivotArea>
    </format>
    <format dxfId="291">
      <pivotArea dataOnly="0" labelOnly="1" fieldPosition="0">
        <references count="2">
          <reference field="0" count="1" selected="0">
            <x v="153"/>
          </reference>
          <reference field="1" count="1">
            <x v="167"/>
          </reference>
        </references>
      </pivotArea>
    </format>
    <format dxfId="290">
      <pivotArea dataOnly="0" labelOnly="1" fieldPosition="0">
        <references count="2">
          <reference field="0" count="1" selected="0">
            <x v="167"/>
          </reference>
          <reference field="1" count="1">
            <x v="138"/>
          </reference>
        </references>
      </pivotArea>
    </format>
    <format dxfId="289">
      <pivotArea dataOnly="0" labelOnly="1" fieldPosition="0">
        <references count="2">
          <reference field="0" count="1" selected="0">
            <x v="151"/>
          </reference>
          <reference field="1" count="1">
            <x v="203"/>
          </reference>
        </references>
      </pivotArea>
    </format>
    <format dxfId="288">
      <pivotArea dataOnly="0" labelOnly="1" fieldPosition="0">
        <references count="2">
          <reference field="0" count="1" selected="0">
            <x v="188"/>
          </reference>
          <reference field="1" count="1">
            <x v="162"/>
          </reference>
        </references>
      </pivotArea>
    </format>
    <format dxfId="287">
      <pivotArea dataOnly="0" labelOnly="1" fieldPosition="0">
        <references count="2">
          <reference field="0" count="1" selected="0">
            <x v="205"/>
          </reference>
          <reference field="1" count="1">
            <x v="237"/>
          </reference>
        </references>
      </pivotArea>
    </format>
    <format dxfId="286">
      <pivotArea dataOnly="0" labelOnly="1" fieldPosition="0">
        <references count="2">
          <reference field="0" count="1" selected="0">
            <x v="210"/>
          </reference>
          <reference field="1" count="1">
            <x v="70"/>
          </reference>
        </references>
      </pivotArea>
    </format>
    <format dxfId="285">
      <pivotArea dataOnly="0" labelOnly="1" fieldPosition="0">
        <references count="2">
          <reference field="0" count="1" selected="0">
            <x v="0"/>
          </reference>
          <reference field="1" count="1">
            <x v="175"/>
          </reference>
        </references>
      </pivotArea>
    </format>
    <format dxfId="284">
      <pivotArea dataOnly="0" labelOnly="1" fieldPosition="0">
        <references count="2">
          <reference field="0" count="1" selected="0">
            <x v="216"/>
          </reference>
          <reference field="1" count="1">
            <x v="66"/>
          </reference>
        </references>
      </pivotArea>
    </format>
    <format dxfId="283">
      <pivotArea dataOnly="0" labelOnly="1" fieldPosition="0">
        <references count="2">
          <reference field="0" count="1" selected="0">
            <x v="130"/>
          </reference>
          <reference field="1" count="1">
            <x v="54"/>
          </reference>
        </references>
      </pivotArea>
    </format>
    <format dxfId="282">
      <pivotArea dataOnly="0" labelOnly="1" fieldPosition="0">
        <references count="2">
          <reference field="0" count="1" selected="0">
            <x v="79"/>
          </reference>
          <reference field="1" count="1">
            <x v="19"/>
          </reference>
        </references>
      </pivotArea>
    </format>
    <format dxfId="281">
      <pivotArea dataOnly="0" labelOnly="1" fieldPosition="0">
        <references count="2">
          <reference field="0" count="1" selected="0">
            <x v="25"/>
          </reference>
          <reference field="1" count="1">
            <x v="21"/>
          </reference>
        </references>
      </pivotArea>
    </format>
    <format dxfId="280">
      <pivotArea dataOnly="0" labelOnly="1" fieldPosition="0">
        <references count="2">
          <reference field="0" count="1" selected="0">
            <x v="11"/>
          </reference>
          <reference field="1" count="1">
            <x v="42"/>
          </reference>
        </references>
      </pivotArea>
    </format>
    <format dxfId="279">
      <pivotArea dataOnly="0" labelOnly="1" fieldPosition="0">
        <references count="2">
          <reference field="0" count="1" selected="0">
            <x v="246"/>
          </reference>
          <reference field="1" count="1">
            <x v="166"/>
          </reference>
        </references>
      </pivotArea>
    </format>
    <format dxfId="278">
      <pivotArea dataOnly="0" labelOnly="1" fieldPosition="0">
        <references count="2">
          <reference field="0" count="1" selected="0">
            <x v="182"/>
          </reference>
          <reference field="1" count="1">
            <x v="111"/>
          </reference>
        </references>
      </pivotArea>
    </format>
    <format dxfId="277">
      <pivotArea dataOnly="0" labelOnly="1" fieldPosition="0">
        <references count="2">
          <reference field="0" count="1" selected="0">
            <x v="177"/>
          </reference>
          <reference field="1" count="1">
            <x v="142"/>
          </reference>
        </references>
      </pivotArea>
    </format>
    <format dxfId="276">
      <pivotArea dataOnly="0" labelOnly="1" fieldPosition="0">
        <references count="2">
          <reference field="0" count="1" selected="0">
            <x v="1"/>
          </reference>
          <reference field="1" count="1">
            <x v="176"/>
          </reference>
        </references>
      </pivotArea>
    </format>
    <format dxfId="275">
      <pivotArea dataOnly="0" labelOnly="1" fieldPosition="0">
        <references count="2">
          <reference field="0" count="1" selected="0">
            <x v="150"/>
          </reference>
          <reference field="1" count="1">
            <x v="110"/>
          </reference>
        </references>
      </pivotArea>
    </format>
    <format dxfId="274">
      <pivotArea dataOnly="0" labelOnly="1" fieldPosition="0">
        <references count="2">
          <reference field="0" count="1" selected="0">
            <x v="6"/>
          </reference>
          <reference field="1" count="1">
            <x v="173"/>
          </reference>
        </references>
      </pivotArea>
    </format>
    <format dxfId="273">
      <pivotArea dataOnly="0" labelOnly="1" fieldPosition="0">
        <references count="2">
          <reference field="0" count="1" selected="0">
            <x v="226"/>
          </reference>
          <reference field="1" count="1">
            <x v="233"/>
          </reference>
        </references>
      </pivotArea>
    </format>
    <format dxfId="272">
      <pivotArea dataOnly="0" labelOnly="1" fieldPosition="0">
        <references count="2">
          <reference field="0" count="1" selected="0">
            <x v="233"/>
          </reference>
          <reference field="1" count="1">
            <x v="236"/>
          </reference>
        </references>
      </pivotArea>
    </format>
    <format dxfId="271">
      <pivotArea dataOnly="0" labelOnly="1" fieldPosition="0">
        <references count="2">
          <reference field="0" count="1" selected="0">
            <x v="180"/>
          </reference>
          <reference field="1" count="1">
            <x v="109"/>
          </reference>
        </references>
      </pivotArea>
    </format>
    <format dxfId="270">
      <pivotArea dataOnly="0" labelOnly="1" fieldPosition="0">
        <references count="2">
          <reference field="0" count="1" selected="0">
            <x v="176"/>
          </reference>
          <reference field="1" count="1">
            <x v="56"/>
          </reference>
        </references>
      </pivotArea>
    </format>
    <format dxfId="269">
      <pivotArea dataOnly="0" labelOnly="1" fieldPosition="0">
        <references count="2">
          <reference field="0" count="1" selected="0">
            <x v="134"/>
          </reference>
          <reference field="1" count="1">
            <x v="88"/>
          </reference>
        </references>
      </pivotArea>
    </format>
    <format dxfId="268">
      <pivotArea dataOnly="0" labelOnly="1" fieldPosition="0">
        <references count="2">
          <reference field="0" count="1" selected="0">
            <x v="252"/>
          </reference>
          <reference field="1" count="1">
            <x v="105"/>
          </reference>
        </references>
      </pivotArea>
    </format>
    <format dxfId="267">
      <pivotArea dataOnly="0" labelOnly="1" fieldPosition="0">
        <references count="2">
          <reference field="0" count="1" selected="0">
            <x v="255"/>
          </reference>
          <reference field="1" count="1">
            <x v="106"/>
          </reference>
        </references>
      </pivotArea>
    </format>
    <format dxfId="266">
      <pivotArea dataOnly="0" labelOnly="1" fieldPosition="0">
        <references count="2">
          <reference field="0" count="1" selected="0">
            <x v="57"/>
          </reference>
          <reference field="1" count="1">
            <x v="242"/>
          </reference>
        </references>
      </pivotArea>
    </format>
    <format dxfId="265">
      <pivotArea dataOnly="0" labelOnly="1" fieldPosition="0">
        <references count="2">
          <reference field="0" count="1" selected="0">
            <x v="55"/>
          </reference>
          <reference field="1" count="1">
            <x v="192"/>
          </reference>
        </references>
      </pivotArea>
    </format>
    <format dxfId="264">
      <pivotArea dataOnly="0" labelOnly="1" fieldPosition="0">
        <references count="2">
          <reference field="0" count="1" selected="0">
            <x v="251"/>
          </reference>
          <reference field="1" count="1">
            <x v="81"/>
          </reference>
        </references>
      </pivotArea>
    </format>
    <format dxfId="263">
      <pivotArea dataOnly="0" labelOnly="1" fieldPosition="0">
        <references count="2">
          <reference field="0" count="1" selected="0">
            <x v="155"/>
          </reference>
          <reference field="1" count="1">
            <x v="100"/>
          </reference>
        </references>
      </pivotArea>
    </format>
    <format dxfId="262">
      <pivotArea dataOnly="0" labelOnly="1" fieldPosition="0">
        <references count="2">
          <reference field="0" count="1" selected="0">
            <x v="137"/>
          </reference>
          <reference field="1" count="1">
            <x v="3"/>
          </reference>
        </references>
      </pivotArea>
    </format>
    <format dxfId="261">
      <pivotArea dataOnly="0" labelOnly="1" fieldPosition="0">
        <references count="2">
          <reference field="0" count="1" selected="0">
            <x v="19"/>
          </reference>
          <reference field="1" count="1">
            <x v="171"/>
          </reference>
        </references>
      </pivotArea>
    </format>
    <format dxfId="260">
      <pivotArea dataOnly="0" labelOnly="1" fieldPosition="0">
        <references count="2">
          <reference field="0" count="1" selected="0">
            <x v="232"/>
          </reference>
          <reference field="1" count="1">
            <x v="92"/>
          </reference>
        </references>
      </pivotArea>
    </format>
    <format dxfId="259">
      <pivotArea dataOnly="0" labelOnly="1" fieldPosition="0">
        <references count="2">
          <reference field="0" count="1" selected="0">
            <x v="183"/>
          </reference>
          <reference field="1" count="1">
            <x v="112"/>
          </reference>
        </references>
      </pivotArea>
    </format>
    <format dxfId="258">
      <pivotArea dataOnly="0" labelOnly="1" fieldPosition="0">
        <references count="2">
          <reference field="0" count="1" selected="0">
            <x v="170"/>
          </reference>
          <reference field="1" count="1">
            <x v="25"/>
          </reference>
        </references>
      </pivotArea>
    </format>
    <format dxfId="257">
      <pivotArea dataOnly="0" labelOnly="1" fieldPosition="0">
        <references count="2">
          <reference field="0" count="1" selected="0">
            <x v="18"/>
          </reference>
          <reference field="1" count="1">
            <x v="202"/>
          </reference>
        </references>
      </pivotArea>
    </format>
    <format dxfId="256">
      <pivotArea dataOnly="0" labelOnly="1" fieldPosition="0">
        <references count="2">
          <reference field="0" count="1" selected="0">
            <x v="241"/>
          </reference>
          <reference field="1" count="1">
            <x v="82"/>
          </reference>
        </references>
      </pivotArea>
    </format>
    <format dxfId="255">
      <pivotArea dataOnly="0" labelOnly="1" fieldPosition="0">
        <references count="2">
          <reference field="0" count="1" selected="0">
            <x v="212"/>
          </reference>
          <reference field="1" count="1">
            <x v="163"/>
          </reference>
        </references>
      </pivotArea>
    </format>
    <format dxfId="254">
      <pivotArea dataOnly="0" labelOnly="1" fieldPosition="0">
        <references count="2">
          <reference field="0" count="1" selected="0">
            <x v="146"/>
          </reference>
          <reference field="1" count="1">
            <x v="141"/>
          </reference>
        </references>
      </pivotArea>
    </format>
    <format dxfId="253">
      <pivotArea dataOnly="0" labelOnly="1" fieldPosition="0">
        <references count="2">
          <reference field="0" count="1" selected="0">
            <x v="193"/>
          </reference>
          <reference field="1" count="1">
            <x v="23"/>
          </reference>
        </references>
      </pivotArea>
    </format>
    <format dxfId="252">
      <pivotArea dataOnly="0" labelOnly="1" fieldPosition="0">
        <references count="2">
          <reference field="0" count="1" selected="0">
            <x v="88"/>
          </reference>
          <reference field="1" count="1">
            <x v="170"/>
          </reference>
        </references>
      </pivotArea>
    </format>
    <format dxfId="251">
      <pivotArea dataOnly="0" labelOnly="1" fieldPosition="0">
        <references count="2">
          <reference field="0" count="1" selected="0">
            <x v="10"/>
          </reference>
          <reference field="1" count="1">
            <x v="168"/>
          </reference>
        </references>
      </pivotArea>
    </format>
    <format dxfId="250">
      <pivotArea dataOnly="0" labelOnly="1" fieldPosition="0">
        <references count="2">
          <reference field="0" count="1" selected="0">
            <x v="231"/>
          </reference>
          <reference field="1" count="1">
            <x v="64"/>
          </reference>
        </references>
      </pivotArea>
    </format>
    <format dxfId="249">
      <pivotArea dataOnly="0" labelOnly="1" fieldPosition="0">
        <references count="2">
          <reference field="0" count="1" selected="0">
            <x v="221"/>
          </reference>
          <reference field="1" count="1">
            <x v="80"/>
          </reference>
        </references>
      </pivotArea>
    </format>
    <format dxfId="248">
      <pivotArea dataOnly="0" labelOnly="1" fieldPosition="0">
        <references count="2">
          <reference field="0" count="1" selected="0">
            <x v="178"/>
          </reference>
          <reference field="1" count="1">
            <x v="113"/>
          </reference>
        </references>
      </pivotArea>
    </format>
    <format dxfId="247">
      <pivotArea dataOnly="0" labelOnly="1" fieldPosition="0">
        <references count="2">
          <reference field="0" count="1" selected="0">
            <x v="141"/>
          </reference>
          <reference field="1" count="1">
            <x v="131"/>
          </reference>
        </references>
      </pivotArea>
    </format>
    <format dxfId="246">
      <pivotArea dataOnly="0" labelOnly="1" fieldPosition="0">
        <references count="2">
          <reference field="0" count="1" selected="0">
            <x v="169"/>
          </reference>
          <reference field="1" count="1">
            <x v="108"/>
          </reference>
        </references>
      </pivotArea>
    </format>
    <format dxfId="245">
      <pivotArea dataOnly="0" labelOnly="1" fieldPosition="0">
        <references count="2">
          <reference field="0" count="1" selected="0">
            <x v="4"/>
          </reference>
          <reference field="1" count="1">
            <x v="178"/>
          </reference>
        </references>
      </pivotArea>
    </format>
    <format dxfId="244">
      <pivotArea dataOnly="0" labelOnly="1" fieldPosition="0">
        <references count="2">
          <reference field="0" count="1" selected="0">
            <x v="214"/>
          </reference>
          <reference field="1" count="1">
            <x v="85"/>
          </reference>
        </references>
      </pivotArea>
    </format>
    <format dxfId="243">
      <pivotArea dataOnly="0" labelOnly="1" fieldPosition="0">
        <references count="2">
          <reference field="0" count="1" selected="0">
            <x v="28"/>
          </reference>
          <reference field="1" count="1">
            <x v="145"/>
          </reference>
        </references>
      </pivotArea>
    </format>
    <format dxfId="242">
      <pivotArea dataOnly="0" labelOnly="1" fieldPosition="0">
        <references count="2">
          <reference field="0" count="1" selected="0">
            <x v="195"/>
          </reference>
          <reference field="1" count="1">
            <x v="160"/>
          </reference>
        </references>
      </pivotArea>
    </format>
    <format dxfId="241">
      <pivotArea dataOnly="0" labelOnly="1" fieldPosition="0">
        <references count="2">
          <reference field="0" count="1" selected="0">
            <x v="37"/>
          </reference>
          <reference field="1" count="1">
            <x v="96"/>
          </reference>
        </references>
      </pivotArea>
    </format>
    <format dxfId="240">
      <pivotArea dataOnly="0" labelOnly="1" fieldPosition="0">
        <references count="2">
          <reference field="0" count="1" selected="0">
            <x v="202"/>
          </reference>
          <reference field="1" count="1">
            <x v="149"/>
          </reference>
        </references>
      </pivotArea>
    </format>
    <format dxfId="239">
      <pivotArea dataOnly="0" labelOnly="1" fieldPosition="0">
        <references count="2">
          <reference field="0" count="1" selected="0">
            <x v="163"/>
          </reference>
          <reference field="1" count="1">
            <x v="122"/>
          </reference>
        </references>
      </pivotArea>
    </format>
    <format dxfId="238">
      <pivotArea dataOnly="0" labelOnly="1" fieldPosition="0">
        <references count="2">
          <reference field="0" count="1" selected="0">
            <x v="48"/>
          </reference>
          <reference field="1" count="1">
            <x v="50"/>
          </reference>
        </references>
      </pivotArea>
    </format>
    <format dxfId="237">
      <pivotArea dataOnly="0" labelOnly="1" fieldPosition="0">
        <references count="2">
          <reference field="0" count="1" selected="0">
            <x v="61"/>
          </reference>
          <reference field="1" count="1">
            <x v="223"/>
          </reference>
        </references>
      </pivotArea>
    </format>
    <format dxfId="236">
      <pivotArea dataOnly="0" labelOnly="1" fieldPosition="0">
        <references count="2">
          <reference field="0" count="1" selected="0">
            <x v="7"/>
          </reference>
          <reference field="1" count="1">
            <x v="174"/>
          </reference>
        </references>
      </pivotArea>
    </format>
    <format dxfId="235">
      <pivotArea dataOnly="0" labelOnly="1" fieldPosition="0">
        <references count="2">
          <reference field="0" count="1" selected="0">
            <x v="144"/>
          </reference>
          <reference field="1" count="1">
            <x v="65"/>
          </reference>
        </references>
      </pivotArea>
    </format>
    <format dxfId="234">
      <pivotArea dataOnly="0" labelOnly="1" fieldPosition="0">
        <references count="2">
          <reference field="0" count="1" selected="0">
            <x v="9"/>
          </reference>
          <reference field="1" count="1">
            <x v="210"/>
          </reference>
        </references>
      </pivotArea>
    </format>
    <format dxfId="233">
      <pivotArea dataOnly="0" labelOnly="1" fieldPosition="0">
        <references count="2">
          <reference field="0" count="1" selected="0">
            <x v="247"/>
          </reference>
          <reference field="1" count="1">
            <x v="67"/>
          </reference>
        </references>
      </pivotArea>
    </format>
    <format dxfId="232">
      <pivotArea dataOnly="0" labelOnly="1" fieldPosition="0">
        <references count="2">
          <reference field="0" count="1" selected="0">
            <x v="41"/>
          </reference>
          <reference field="1" count="1">
            <x v="194"/>
          </reference>
        </references>
      </pivotArea>
    </format>
    <format dxfId="231">
      <pivotArea dataOnly="0" labelOnly="1" fieldPosition="0">
        <references count="2">
          <reference field="0" count="1" selected="0">
            <x v="73"/>
          </reference>
          <reference field="1" count="1">
            <x v="214"/>
          </reference>
        </references>
      </pivotArea>
    </format>
    <format dxfId="230">
      <pivotArea dataOnly="0" labelOnly="1" fieldPosition="0">
        <references count="2">
          <reference field="0" count="1" selected="0">
            <x v="128"/>
          </reference>
          <reference field="1" count="1">
            <x v="217"/>
          </reference>
        </references>
      </pivotArea>
    </format>
    <format dxfId="229">
      <pivotArea dataOnly="0" labelOnly="1" fieldPosition="0">
        <references count="2">
          <reference field="0" count="1" selected="0">
            <x v="174"/>
          </reference>
          <reference field="1" count="1">
            <x v="205"/>
          </reference>
        </references>
      </pivotArea>
    </format>
    <format dxfId="228">
      <pivotArea dataOnly="0" labelOnly="1" fieldPosition="0">
        <references count="2">
          <reference field="0" count="1" selected="0">
            <x v="149"/>
          </reference>
          <reference field="1" count="1">
            <x v="95"/>
          </reference>
        </references>
      </pivotArea>
    </format>
    <format dxfId="227">
      <pivotArea dataOnly="0" labelOnly="1" fieldPosition="0">
        <references count="2">
          <reference field="0" count="1" selected="0">
            <x v="90"/>
          </reference>
          <reference field="1" count="1">
            <x v="60"/>
          </reference>
        </references>
      </pivotArea>
    </format>
    <format dxfId="226">
      <pivotArea dataOnly="0" labelOnly="1" fieldPosition="0">
        <references count="2">
          <reference field="0" count="1" selected="0">
            <x v="206"/>
          </reference>
          <reference field="1" count="1">
            <x v="98"/>
          </reference>
        </references>
      </pivotArea>
    </format>
    <format dxfId="225">
      <pivotArea dataOnly="0" labelOnly="1" fieldPosition="0">
        <references count="2">
          <reference field="0" count="1" selected="0">
            <x v="86"/>
          </reference>
          <reference field="1" count="1">
            <x v="30"/>
          </reference>
        </references>
      </pivotArea>
    </format>
    <format dxfId="224">
      <pivotArea dataOnly="0" labelOnly="1" fieldPosition="0">
        <references count="2">
          <reference field="0" count="1" selected="0">
            <x v="148"/>
          </reference>
          <reference field="1" count="1">
            <x v="208"/>
          </reference>
        </references>
      </pivotArea>
    </format>
    <format dxfId="223">
      <pivotArea dataOnly="0" labelOnly="1" fieldPosition="0">
        <references count="2">
          <reference field="0" count="1" selected="0">
            <x v="20"/>
          </reference>
          <reference field="1" count="1">
            <x v="172"/>
          </reference>
        </references>
      </pivotArea>
    </format>
    <format dxfId="222">
      <pivotArea dataOnly="0" labelOnly="1" fieldPosition="0">
        <references count="2">
          <reference field="0" count="1" selected="0">
            <x v="2"/>
          </reference>
          <reference field="1" count="1">
            <x v="177"/>
          </reference>
        </references>
      </pivotArea>
    </format>
    <format dxfId="221">
      <pivotArea dataOnly="0" labelOnly="1" fieldPosition="0">
        <references count="2">
          <reference field="0" count="1" selected="0">
            <x v="22"/>
          </reference>
          <reference field="1" count="1">
            <x v="13"/>
          </reference>
        </references>
      </pivotArea>
    </format>
    <format dxfId="220">
      <pivotArea dataOnly="0" labelOnly="1" fieldPosition="0">
        <references count="2">
          <reference field="0" count="1" selected="0">
            <x v="189"/>
          </reference>
          <reference field="1" count="1">
            <x v="235"/>
          </reference>
        </references>
      </pivotArea>
    </format>
    <format dxfId="219">
      <pivotArea dataOnly="0" labelOnly="1" fieldPosition="0">
        <references count="2">
          <reference field="0" count="1" selected="0">
            <x v="42"/>
          </reference>
          <reference field="1" count="1">
            <x v="198"/>
          </reference>
        </references>
      </pivotArea>
    </format>
    <format dxfId="218">
      <pivotArea dataOnly="0" labelOnly="1" fieldPosition="0">
        <references count="2">
          <reference field="0" count="1" selected="0">
            <x v="95"/>
          </reference>
          <reference field="1" count="1">
            <x v="157"/>
          </reference>
        </references>
      </pivotArea>
    </format>
    <format dxfId="217">
      <pivotArea dataOnly="0" labelOnly="1" fieldPosition="0">
        <references count="2">
          <reference field="0" count="1" selected="0">
            <x v="139"/>
          </reference>
          <reference field="1" count="1">
            <x v="104"/>
          </reference>
        </references>
      </pivotArea>
    </format>
    <format dxfId="216">
      <pivotArea dataOnly="0" labelOnly="1" fieldPosition="0">
        <references count="2">
          <reference field="0" count="1" selected="0">
            <x v="60"/>
          </reference>
          <reference field="1" count="1">
            <x v="238"/>
          </reference>
        </references>
      </pivotArea>
    </format>
    <format dxfId="215">
      <pivotArea dataOnly="0" labelOnly="1" fieldPosition="0">
        <references count="2">
          <reference field="0" count="1" selected="0">
            <x v="39"/>
          </reference>
          <reference field="1" count="1">
            <x v="22"/>
          </reference>
        </references>
      </pivotArea>
    </format>
    <format dxfId="214">
      <pivotArea dataOnly="0" labelOnly="1" fieldPosition="0">
        <references count="2">
          <reference field="0" count="1" selected="0">
            <x v="16"/>
          </reference>
          <reference field="1" count="1">
            <x v="243"/>
          </reference>
        </references>
      </pivotArea>
    </format>
    <format dxfId="213">
      <pivotArea dataOnly="0" labelOnly="1" fieldPosition="0">
        <references count="2">
          <reference field="0" count="1" selected="0">
            <x v="181"/>
          </reference>
          <reference field="1" count="1">
            <x v="118"/>
          </reference>
        </references>
      </pivotArea>
    </format>
    <format dxfId="212">
      <pivotArea dataOnly="0" labelOnly="1" fieldPosition="0">
        <references count="2">
          <reference field="0" count="1" selected="0">
            <x v="196"/>
          </reference>
          <reference field="1" count="1">
            <x v="125"/>
          </reference>
        </references>
      </pivotArea>
    </format>
    <format dxfId="211">
      <pivotArea dataOnly="0" labelOnly="1" fieldPosition="0">
        <references count="2">
          <reference field="0" count="1" selected="0">
            <x v="145"/>
          </reference>
          <reference field="1" count="1">
            <x v="254"/>
          </reference>
        </references>
      </pivotArea>
    </format>
    <format dxfId="210">
      <pivotArea dataOnly="0" labelOnly="1" fieldPosition="0">
        <references count="2">
          <reference field="0" count="1" selected="0">
            <x v="208"/>
          </reference>
          <reference field="1" count="1">
            <x v="132"/>
          </reference>
        </references>
      </pivotArea>
    </format>
    <format dxfId="209">
      <pivotArea dataOnly="0" labelOnly="1" fieldPosition="0">
        <references count="2">
          <reference field="0" count="1" selected="0">
            <x v="237"/>
          </reference>
          <reference field="1" count="1">
            <x v="164"/>
          </reference>
        </references>
      </pivotArea>
    </format>
    <format dxfId="208">
      <pivotArea dataOnly="0" labelOnly="1" fieldPosition="0">
        <references count="2">
          <reference field="0" count="1" selected="0">
            <x v="111"/>
          </reference>
          <reference field="1" count="1">
            <x v="14"/>
          </reference>
        </references>
      </pivotArea>
    </format>
    <format dxfId="207">
      <pivotArea dataOnly="0" labelOnly="1" fieldPosition="0">
        <references count="2">
          <reference field="0" count="1" selected="0">
            <x v="129"/>
          </reference>
          <reference field="1" count="1">
            <x v="213"/>
          </reference>
        </references>
      </pivotArea>
    </format>
    <format dxfId="206">
      <pivotArea dataOnly="0" labelOnly="1" fieldPosition="0">
        <references count="2">
          <reference field="0" count="1" selected="0">
            <x v="223"/>
          </reference>
          <reference field="1" count="1">
            <x v="103"/>
          </reference>
        </references>
      </pivotArea>
    </format>
    <format dxfId="205">
      <pivotArea dataOnly="0" labelOnly="1" fieldPosition="0">
        <references count="2">
          <reference field="0" count="1" selected="0">
            <x v="166"/>
          </reference>
          <reference field="1" count="1">
            <x v="137"/>
          </reference>
        </references>
      </pivotArea>
    </format>
    <format dxfId="204">
      <pivotArea dataOnly="0" labelOnly="1" fieldPosition="0">
        <references count="2">
          <reference field="0" count="1" selected="0">
            <x v="101"/>
          </reference>
          <reference field="1" count="1">
            <x v="169"/>
          </reference>
        </references>
      </pivotArea>
    </format>
    <format dxfId="203">
      <pivotArea dataOnly="0" labelOnly="1" fieldPosition="0">
        <references count="2">
          <reference field="0" count="1" selected="0">
            <x v="238"/>
          </reference>
          <reference field="1" count="1">
            <x v="83"/>
          </reference>
        </references>
      </pivotArea>
    </format>
    <format dxfId="202">
      <pivotArea dataOnly="0" labelOnly="1" fieldPosition="0">
        <references count="2">
          <reference field="0" count="1" selected="0">
            <x v="68"/>
          </reference>
          <reference field="1" count="1">
            <x v="51"/>
          </reference>
        </references>
      </pivotArea>
    </format>
    <format dxfId="201">
      <pivotArea dataOnly="0" labelOnly="1" fieldPosition="0">
        <references count="2">
          <reference field="0" count="1" selected="0">
            <x v="122"/>
          </reference>
          <reference field="1" count="1">
            <x v="255"/>
          </reference>
        </references>
      </pivotArea>
    </format>
    <format dxfId="200">
      <pivotArea dataOnly="0" labelOnly="1" fieldPosition="0">
        <references count="2">
          <reference field="0" count="1" selected="0">
            <x v="225"/>
          </reference>
          <reference field="1" count="1">
            <x v="69"/>
          </reference>
        </references>
      </pivotArea>
    </format>
    <format dxfId="199">
      <pivotArea dataOnly="0" labelOnly="1" fieldPosition="0">
        <references count="2">
          <reference field="0" count="1" selected="0">
            <x v="242"/>
          </reference>
          <reference field="1" count="1">
            <x v="185"/>
          </reference>
        </references>
      </pivotArea>
    </format>
    <format dxfId="198">
      <pivotArea dataOnly="0" labelOnly="1" fieldPosition="0">
        <references count="2">
          <reference field="0" count="1" selected="0">
            <x v="97"/>
          </reference>
          <reference field="1" count="1">
            <x v="250"/>
          </reference>
        </references>
      </pivotArea>
    </format>
    <format dxfId="197">
      <pivotArea dataOnly="0" labelOnly="1" fieldPosition="0">
        <references count="2">
          <reference field="0" count="1" selected="0">
            <x v="30"/>
          </reference>
          <reference field="1" count="1">
            <x v="211"/>
          </reference>
        </references>
      </pivotArea>
    </format>
    <format dxfId="196">
      <pivotArea dataOnly="0" labelOnly="1" fieldPosition="0">
        <references count="2">
          <reference field="0" count="1" selected="0">
            <x v="59"/>
          </reference>
          <reference field="1" count="1">
            <x v="240"/>
          </reference>
        </references>
      </pivotArea>
    </format>
    <format dxfId="195">
      <pivotArea dataOnly="0" labelOnly="1" fieldPosition="0">
        <references count="2">
          <reference field="0" count="1" selected="0">
            <x v="248"/>
          </reference>
          <reference field="1" count="1">
            <x v="234"/>
          </reference>
        </references>
      </pivotArea>
    </format>
    <format dxfId="194">
      <pivotArea dataOnly="0" labelOnly="1" fieldPosition="0">
        <references count="2">
          <reference field="0" count="1" selected="0">
            <x v="185"/>
          </reference>
          <reference field="1" count="1">
            <x v="114"/>
          </reference>
        </references>
      </pivotArea>
    </format>
    <format dxfId="193">
      <pivotArea dataOnly="0" labelOnly="1" fieldPosition="0">
        <references count="2">
          <reference field="0" count="1" selected="0">
            <x v="112"/>
          </reference>
          <reference field="1" count="1">
            <x v="158"/>
          </reference>
        </references>
      </pivotArea>
    </format>
    <format dxfId="192">
      <pivotArea dataOnly="0" labelOnly="1" fieldPosition="0">
        <references count="2">
          <reference field="0" count="1" selected="0">
            <x v="190"/>
          </reference>
          <reference field="1" count="1">
            <x v="120"/>
          </reference>
        </references>
      </pivotArea>
    </format>
    <format dxfId="191">
      <pivotArea dataOnly="0" labelOnly="1" fieldPosition="0">
        <references count="2">
          <reference field="0" count="1" selected="0">
            <x v="236"/>
          </reference>
          <reference field="1" count="1">
            <x v="146"/>
          </reference>
        </references>
      </pivotArea>
    </format>
    <format dxfId="190">
      <pivotArea dataOnly="0" labelOnly="1" fieldPosition="0">
        <references count="2">
          <reference field="0" count="1" selected="0">
            <x v="243"/>
          </reference>
          <reference field="1" count="1">
            <x v="75"/>
          </reference>
        </references>
      </pivotArea>
    </format>
    <format dxfId="189">
      <pivotArea dataOnly="0" labelOnly="1" fieldPosition="0">
        <references count="2">
          <reference field="0" count="1" selected="0">
            <x v="160"/>
          </reference>
          <reference field="1" count="1">
            <x v="130"/>
          </reference>
        </references>
      </pivotArea>
    </format>
    <format dxfId="188">
      <pivotArea dataOnly="0" labelOnly="1" fieldPosition="0">
        <references count="2">
          <reference field="0" count="1" selected="0">
            <x v="113"/>
          </reference>
          <reference field="1" count="1">
            <x v="31"/>
          </reference>
        </references>
      </pivotArea>
    </format>
    <format dxfId="187">
      <pivotArea dataOnly="0" labelOnly="1" fieldPosition="0">
        <references count="2">
          <reference field="0" count="1" selected="0">
            <x v="162"/>
          </reference>
          <reference field="1" count="1">
            <x v="35"/>
          </reference>
        </references>
      </pivotArea>
    </format>
    <format dxfId="186">
      <pivotArea dataOnly="0" labelOnly="1" fieldPosition="0">
        <references count="2">
          <reference field="0" count="1" selected="0">
            <x v="209"/>
          </reference>
          <reference field="1" count="1">
            <x v="128"/>
          </reference>
        </references>
      </pivotArea>
    </format>
    <format dxfId="185">
      <pivotArea dataOnly="0" labelOnly="1" fieldPosition="0">
        <references count="2">
          <reference field="0" count="1" selected="0">
            <x v="215"/>
          </reference>
          <reference field="1" count="1">
            <x v="184"/>
          </reference>
        </references>
      </pivotArea>
    </format>
    <format dxfId="184">
      <pivotArea dataOnly="0" labelOnly="1" fieldPosition="0">
        <references count="2">
          <reference field="0" count="1" selected="0">
            <x v="227"/>
          </reference>
          <reference field="1" count="1">
            <x v="143"/>
          </reference>
        </references>
      </pivotArea>
    </format>
    <format dxfId="183">
      <pivotArea dataOnly="0" labelOnly="1" fieldPosition="0">
        <references count="2">
          <reference field="0" count="1" selected="0">
            <x v="63"/>
          </reference>
          <reference field="1" count="1">
            <x v="231"/>
          </reference>
        </references>
      </pivotArea>
    </format>
    <format dxfId="182">
      <pivotArea dataOnly="0" labelOnly="1" fieldPosition="0">
        <references count="2">
          <reference field="0" count="1" selected="0">
            <x v="72"/>
          </reference>
          <reference field="1" count="1">
            <x v="206"/>
          </reference>
        </references>
      </pivotArea>
    </format>
    <format dxfId="181">
      <pivotArea dataOnly="0" labelOnly="1" fieldPosition="0">
        <references count="2">
          <reference field="0" count="1" selected="0">
            <x v="13"/>
          </reference>
          <reference field="1" count="1">
            <x v="107"/>
          </reference>
        </references>
      </pivotArea>
    </format>
    <format dxfId="180">
      <pivotArea dataOnly="0" labelOnly="1" fieldPosition="0">
        <references count="2">
          <reference field="0" count="1" selected="0">
            <x v="253"/>
          </reference>
          <reference field="1" count="1">
            <x v="40"/>
          </reference>
        </references>
      </pivotArea>
    </format>
    <format dxfId="179">
      <pivotArea dataOnly="0" labelOnly="1" fieldPosition="0">
        <references count="2">
          <reference field="0" count="1" selected="0">
            <x v="147"/>
          </reference>
          <reference field="1" count="1">
            <x v="188"/>
          </reference>
        </references>
      </pivotArea>
    </format>
    <format dxfId="178">
      <pivotArea dataOnly="0" labelOnly="1" fieldPosition="0">
        <references count="2">
          <reference field="0" count="1" selected="0">
            <x v="29"/>
          </reference>
          <reference field="1" count="1">
            <x v="153"/>
          </reference>
        </references>
      </pivotArea>
    </format>
    <format dxfId="177">
      <pivotArea dataOnly="0" labelOnly="1" fieldPosition="0">
        <references count="2">
          <reference field="0" count="1" selected="0">
            <x v="140"/>
          </reference>
          <reference field="1" count="1">
            <x v="195"/>
          </reference>
        </references>
      </pivotArea>
    </format>
    <format dxfId="176">
      <pivotArea dataOnly="0" labelOnly="1" fieldPosition="0">
        <references count="2">
          <reference field="0" count="1" selected="0">
            <x v="78"/>
          </reference>
          <reference field="1" count="1">
            <x v="18"/>
          </reference>
        </references>
      </pivotArea>
    </format>
    <format dxfId="175">
      <pivotArea dataOnly="0" labelOnly="1" fieldPosition="0">
        <references count="2">
          <reference field="0" count="1" selected="0">
            <x v="53"/>
          </reference>
          <reference field="1" count="1">
            <x v="45"/>
          </reference>
        </references>
      </pivotArea>
    </format>
    <format dxfId="174">
      <pivotArea dataOnly="0" labelOnly="1" fieldPosition="0">
        <references count="2">
          <reference field="0" count="1" selected="0">
            <x v="91"/>
          </reference>
          <reference field="1" count="1">
            <x v="59"/>
          </reference>
        </references>
      </pivotArea>
    </format>
    <format dxfId="173">
      <pivotArea dataOnly="0" labelOnly="1" fieldPosition="0">
        <references count="2">
          <reference field="0" count="1" selected="0">
            <x v="173"/>
          </reference>
          <reference field="1" count="1">
            <x v="119"/>
          </reference>
        </references>
      </pivotArea>
    </format>
    <format dxfId="172">
      <pivotArea dataOnly="0" labelOnly="1" fieldPosition="0">
        <references count="2">
          <reference field="0" count="1" selected="0">
            <x v="89"/>
          </reference>
          <reference field="1" count="1">
            <x v="57"/>
          </reference>
        </references>
      </pivotArea>
    </format>
    <format dxfId="171">
      <pivotArea dataOnly="0" labelOnly="1" fieldPosition="0">
        <references count="2">
          <reference field="0" count="1" selected="0">
            <x v="239"/>
          </reference>
          <reference field="1" count="1">
            <x v="72"/>
          </reference>
        </references>
      </pivotArea>
    </format>
    <format dxfId="170">
      <pivotArea dataOnly="0" labelOnly="1" fieldPosition="0">
        <references count="2">
          <reference field="0" count="1" selected="0">
            <x v="83"/>
          </reference>
          <reference field="1" count="1">
            <x v="251"/>
          </reference>
        </references>
      </pivotArea>
    </format>
    <format dxfId="169">
      <pivotArea dataOnly="0" labelOnly="1" fieldPosition="0">
        <references count="2">
          <reference field="0" count="1" selected="0">
            <x v="152"/>
          </reference>
          <reference field="1" count="1">
            <x v="150"/>
          </reference>
        </references>
      </pivotArea>
    </format>
    <format dxfId="168">
      <pivotArea dataOnly="0" labelOnly="1" fieldPosition="0">
        <references count="2">
          <reference field="0" count="1" selected="0">
            <x v="12"/>
          </reference>
          <reference field="1" count="1">
            <x v="154"/>
          </reference>
        </references>
      </pivotArea>
    </format>
    <format dxfId="167">
      <pivotArea dataOnly="0" labelOnly="1" fieldPosition="0">
        <references count="2">
          <reference field="0" count="1" selected="0">
            <x v="85"/>
          </reference>
          <reference field="1" count="1">
            <x v="182"/>
          </reference>
        </references>
      </pivotArea>
    </format>
    <format dxfId="166">
      <pivotArea dataOnly="0" labelOnly="1" fieldPosition="0">
        <references count="2">
          <reference field="0" count="1" selected="0">
            <x v="75"/>
          </reference>
          <reference field="1" count="1">
            <x v="191"/>
          </reference>
        </references>
      </pivotArea>
    </format>
    <format dxfId="165">
      <pivotArea dataOnly="0" labelOnly="1" fieldPosition="0">
        <references count="2">
          <reference field="0" count="1" selected="0">
            <x v="102"/>
          </reference>
          <reference field="1" count="1">
            <x v="6"/>
          </reference>
        </references>
      </pivotArea>
    </format>
    <format dxfId="164">
      <pivotArea dataOnly="0" labelOnly="1" fieldPosition="0">
        <references count="2">
          <reference field="0" count="1" selected="0">
            <x v="38"/>
          </reference>
          <reference field="1" count="1">
            <x v="256"/>
          </reference>
        </references>
      </pivotArea>
    </format>
    <format dxfId="163">
      <pivotArea dataOnly="0" labelOnly="1" fieldPosition="0">
        <references count="2">
          <reference field="0" count="1" selected="0">
            <x v="118"/>
          </reference>
          <reference field="1" count="1">
            <x v="93"/>
          </reference>
        </references>
      </pivotArea>
    </format>
    <format dxfId="162">
      <pivotArea dataOnly="0" labelOnly="1" fieldPosition="0">
        <references count="2">
          <reference field="0" count="1" selected="0">
            <x v="99"/>
          </reference>
          <reference field="1" count="1">
            <x v="29"/>
          </reference>
        </references>
      </pivotArea>
    </format>
    <format dxfId="161">
      <pivotArea dataOnly="0" labelOnly="1" fieldPosition="0">
        <references count="2">
          <reference field="0" count="1" selected="0">
            <x v="15"/>
          </reference>
          <reference field="1" count="1">
            <x v="147"/>
          </reference>
        </references>
      </pivotArea>
    </format>
    <format dxfId="160">
      <pivotArea dataOnly="0" labelOnly="1" fieldPosition="0">
        <references count="2">
          <reference field="0" count="1" selected="0">
            <x v="65"/>
          </reference>
          <reference field="1" count="1">
            <x v="222"/>
          </reference>
        </references>
      </pivotArea>
    </format>
    <format dxfId="159">
      <pivotArea dataOnly="0" labelOnly="1" fieldPosition="0">
        <references count="2">
          <reference field="0" count="1" selected="0">
            <x v="103"/>
          </reference>
          <reference field="1" count="1">
            <x v="8"/>
          </reference>
        </references>
      </pivotArea>
    </format>
    <format dxfId="158">
      <pivotArea dataOnly="0" labelOnly="1" fieldPosition="0">
        <references count="2">
          <reference field="0" count="1" selected="0">
            <x v="234"/>
          </reference>
          <reference field="1" count="1">
            <x v="190"/>
          </reference>
        </references>
      </pivotArea>
    </format>
    <format dxfId="157">
      <pivotArea dataOnly="0" labelOnly="1" fieldPosition="0">
        <references count="2">
          <reference field="0" count="1" selected="0">
            <x v="154"/>
          </reference>
          <reference field="1" count="1">
            <x v="1"/>
          </reference>
        </references>
      </pivotArea>
    </format>
    <format dxfId="156">
      <pivotArea dataOnly="0" labelOnly="1" fieldPosition="0">
        <references count="2">
          <reference field="0" count="1" selected="0">
            <x v="187"/>
          </reference>
          <reference field="1" count="1">
            <x v="116"/>
          </reference>
        </references>
      </pivotArea>
    </format>
    <format dxfId="155">
      <pivotArea dataOnly="0" labelOnly="1" fieldPosition="0">
        <references count="2">
          <reference field="0" count="1" selected="0">
            <x v="161"/>
          </reference>
          <reference field="1" count="1">
            <x v="121"/>
          </reference>
        </references>
      </pivotArea>
    </format>
    <format dxfId="154">
      <pivotArea dataOnly="0" labelOnly="1" fieldPosition="0">
        <references count="2">
          <reference field="0" count="1" selected="0">
            <x v="67"/>
          </reference>
          <reference field="1" count="1">
            <x v="53"/>
          </reference>
        </references>
      </pivotArea>
    </format>
    <format dxfId="153">
      <pivotArea dataOnly="0" labelOnly="1" fieldPosition="0">
        <references count="2">
          <reference field="0" count="1" selected="0">
            <x v="235"/>
          </reference>
          <reference field="1" count="1">
            <x v="193"/>
          </reference>
        </references>
      </pivotArea>
    </format>
    <format dxfId="152">
      <pivotArea dataOnly="0" labelOnly="1" fieldPosition="0">
        <references count="2">
          <reference field="0" count="1" selected="0">
            <x v="229"/>
          </reference>
          <reference field="1" count="1">
            <x v="248"/>
          </reference>
        </references>
      </pivotArea>
    </format>
    <format dxfId="151">
      <pivotArea dataOnly="0" labelOnly="1" fieldPosition="0">
        <references count="2">
          <reference field="0" count="1" selected="0">
            <x v="121"/>
          </reference>
          <reference field="1" count="1">
            <x v="209"/>
          </reference>
        </references>
      </pivotArea>
    </format>
    <format dxfId="150">
      <pivotArea dataOnly="0" labelOnly="1" fieldPosition="0">
        <references count="2">
          <reference field="0" count="1" selected="0">
            <x v="98"/>
          </reference>
          <reference field="1" count="1">
            <x v="181"/>
          </reference>
        </references>
      </pivotArea>
    </format>
    <format dxfId="149">
      <pivotArea dataOnly="0" labelOnly="1" fieldPosition="0">
        <references count="2">
          <reference field="0" count="1" selected="0">
            <x v="93"/>
          </reference>
          <reference field="1" count="1">
            <x v="152"/>
          </reference>
        </references>
      </pivotArea>
    </format>
    <format dxfId="148">
      <pivotArea dataOnly="0" labelOnly="1" fieldPosition="0">
        <references count="2">
          <reference field="0" count="1" selected="0">
            <x v="158"/>
          </reference>
          <reference field="1" count="1">
            <x v="2"/>
          </reference>
        </references>
      </pivotArea>
    </format>
    <format dxfId="147">
      <pivotArea dataOnly="0" labelOnly="1" fieldPosition="0">
        <references count="2">
          <reference field="0" count="1" selected="0">
            <x v="49"/>
          </reference>
          <reference field="1" count="1">
            <x v="49"/>
          </reference>
        </references>
      </pivotArea>
    </format>
    <format dxfId="146">
      <pivotArea dataOnly="0" labelOnly="1" fieldPosition="0">
        <references count="2">
          <reference field="0" count="1" selected="0">
            <x v="105"/>
          </reference>
          <reference field="1" count="1">
            <x v="224"/>
          </reference>
        </references>
      </pivotArea>
    </format>
    <format dxfId="145">
      <pivotArea dataOnly="0" labelOnly="1" fieldPosition="0">
        <references count="2">
          <reference field="0" count="1" selected="0">
            <x v="254"/>
          </reference>
          <reference field="1" count="1">
            <x v="79"/>
          </reference>
        </references>
      </pivotArea>
    </format>
    <format dxfId="144">
      <pivotArea dataOnly="0" labelOnly="1" fieldPosition="0">
        <references count="2">
          <reference field="0" count="1" selected="0">
            <x v="257"/>
          </reference>
          <reference field="1" count="1">
            <x v="74"/>
          </reference>
        </references>
      </pivotArea>
    </format>
    <format dxfId="143">
      <pivotArea dataOnly="0" labelOnly="1" fieldPosition="0">
        <references count="2">
          <reference field="0" count="1" selected="0">
            <x v="120"/>
          </reference>
          <reference field="1" count="1">
            <x v="218"/>
          </reference>
        </references>
      </pivotArea>
    </format>
    <format dxfId="142">
      <pivotArea dataOnly="0" labelOnly="1" fieldPosition="0">
        <references count="2">
          <reference field="0" count="1" selected="0">
            <x v="164"/>
          </reference>
          <reference field="1" count="1">
            <x v="129"/>
          </reference>
        </references>
      </pivotArea>
    </format>
    <format dxfId="141">
      <pivotArea dataOnly="0" labelOnly="1" fieldPosition="0">
        <references count="2">
          <reference field="0" count="1" selected="0">
            <x v="62"/>
          </reference>
          <reference field="1" count="1">
            <x v="197"/>
          </reference>
        </references>
      </pivotArea>
    </format>
    <format dxfId="140">
      <pivotArea dataOnly="0" labelOnly="1" fieldPosition="0">
        <references count="2">
          <reference field="0" count="1" selected="0">
            <x v="142"/>
          </reference>
          <reference field="1" count="1">
            <x v="39"/>
          </reference>
        </references>
      </pivotArea>
    </format>
    <format dxfId="139">
      <pivotArea dataOnly="0" labelOnly="1" fieldPosition="0">
        <references count="2">
          <reference field="0" count="1" selected="0">
            <x v="194"/>
          </reference>
          <reference field="1" count="1">
            <x v="156"/>
          </reference>
        </references>
      </pivotArea>
    </format>
    <format dxfId="138">
      <pivotArea dataOnly="0" labelOnly="1" fieldPosition="0">
        <references count="2">
          <reference field="0" count="1" selected="0">
            <x v="100"/>
          </reference>
          <reference field="1" count="1">
            <x v="9"/>
          </reference>
        </references>
      </pivotArea>
    </format>
    <format dxfId="137">
      <pivotArea dataOnly="0" labelOnly="1" fieldPosition="0">
        <references count="2">
          <reference field="0" count="1" selected="0">
            <x v="64"/>
          </reference>
          <reference field="1" count="1">
            <x v="55"/>
          </reference>
        </references>
      </pivotArea>
    </format>
    <format dxfId="136">
      <pivotArea dataOnly="0" labelOnly="1" fieldPosition="0">
        <references count="2">
          <reference field="0" count="1" selected="0">
            <x v="96"/>
          </reference>
          <reference field="1" count="1">
            <x v="246"/>
          </reference>
        </references>
      </pivotArea>
    </format>
    <format dxfId="135">
      <pivotArea dataOnly="0" labelOnly="1" fieldPosition="0">
        <references count="2">
          <reference field="0" count="1" selected="0">
            <x v="138"/>
          </reference>
          <reference field="1" count="1">
            <x v="97"/>
          </reference>
        </references>
      </pivotArea>
    </format>
    <format dxfId="134">
      <pivotArea dataOnly="0" labelOnly="1" fieldPosition="0">
        <references count="2">
          <reference field="0" count="1" selected="0">
            <x v="23"/>
          </reference>
          <reference field="1" count="1">
            <x v="229"/>
          </reference>
        </references>
      </pivotArea>
    </format>
    <format dxfId="133">
      <pivotArea dataOnly="0" labelOnly="1" fieldPosition="0">
        <references count="2">
          <reference field="0" count="1" selected="0">
            <x v="36"/>
          </reference>
          <reference field="1" count="1">
            <x v="89"/>
          </reference>
        </references>
      </pivotArea>
    </format>
    <format dxfId="132">
      <pivotArea dataOnly="0" labelOnly="1" fieldPosition="0">
        <references count="2">
          <reference field="0" count="1" selected="0">
            <x v="107"/>
          </reference>
          <reference field="1" count="1">
            <x v="41"/>
          </reference>
        </references>
      </pivotArea>
    </format>
    <format dxfId="131">
      <pivotArea dataOnly="0" labelOnly="1" fieldPosition="0">
        <references count="2">
          <reference field="0" count="1" selected="0">
            <x v="159"/>
          </reference>
          <reference field="1" count="1">
            <x v="136"/>
          </reference>
        </references>
      </pivotArea>
    </format>
    <format dxfId="130">
      <pivotArea dataOnly="0" labelOnly="1" fieldPosition="0">
        <references count="2">
          <reference field="0" count="1" selected="0">
            <x v="127"/>
          </reference>
          <reference field="1" count="1">
            <x v="187"/>
          </reference>
        </references>
      </pivotArea>
    </format>
    <format dxfId="129">
      <pivotArea dataOnly="0" labelOnly="1" fieldPosition="0">
        <references count="2">
          <reference field="0" count="1" selected="0">
            <x v="197"/>
          </reference>
          <reference field="1" count="1">
            <x v="135"/>
          </reference>
        </references>
      </pivotArea>
    </format>
    <format dxfId="128">
      <pivotArea dataOnly="0" labelOnly="1" fieldPosition="0">
        <references count="2">
          <reference field="0" count="1" selected="0">
            <x v="50"/>
          </reference>
          <reference field="1" count="1">
            <x v="230"/>
          </reference>
        </references>
      </pivotArea>
    </format>
    <format dxfId="127">
      <pivotArea dataOnly="0" labelOnly="1" fieldPosition="0">
        <references count="2">
          <reference field="0" count="1" selected="0">
            <x v="119"/>
          </reference>
          <reference field="1" count="1">
            <x v="52"/>
          </reference>
        </references>
      </pivotArea>
    </format>
    <format dxfId="126">
      <pivotArea dataOnly="0" labelOnly="1" fieldPosition="0">
        <references count="2">
          <reference field="0" count="1" selected="0">
            <x v="104"/>
          </reference>
          <reference field="1" count="1">
            <x v="7"/>
          </reference>
        </references>
      </pivotArea>
    </format>
    <format dxfId="125">
      <pivotArea dataOnly="0" labelOnly="1" fieldPosition="0">
        <references count="2">
          <reference field="0" count="1" selected="0">
            <x v="198"/>
          </reference>
          <reference field="1" count="1">
            <x v="24"/>
          </reference>
        </references>
      </pivotArea>
    </format>
    <format dxfId="124">
      <pivotArea dataOnly="0" labelOnly="1" fieldPosition="0">
        <references count="2">
          <reference field="0" count="1" selected="0">
            <x v="24"/>
          </reference>
          <reference field="1" count="1">
            <x v="37"/>
          </reference>
        </references>
      </pivotArea>
    </format>
    <format dxfId="123">
      <pivotArea dataOnly="0" labelOnly="1" fieldPosition="0">
        <references count="2">
          <reference field="0" count="1" selected="0">
            <x v="228"/>
          </reference>
          <reference field="1" count="1">
            <x v="212"/>
          </reference>
        </references>
      </pivotArea>
    </format>
    <format dxfId="122">
      <pivotArea dataOnly="0" labelOnly="1" fieldPosition="0">
        <references count="2">
          <reference field="0" count="1" selected="0">
            <x v="126"/>
          </reference>
          <reference field="1" count="1">
            <x v="26"/>
          </reference>
        </references>
      </pivotArea>
    </format>
    <format dxfId="121">
      <pivotArea dataOnly="0" labelOnly="1" fieldPosition="0">
        <references count="2">
          <reference field="0" count="1" selected="0">
            <x v="17"/>
          </reference>
          <reference field="1" count="1">
            <x v="94"/>
          </reference>
        </references>
      </pivotArea>
    </format>
    <format dxfId="120">
      <pivotArea dataOnly="0" labelOnly="1" fieldPosition="0">
        <references count="2">
          <reference field="0" count="1" selected="0">
            <x v="76"/>
          </reference>
          <reference field="1" count="1">
            <x v="225"/>
          </reference>
        </references>
      </pivotArea>
    </format>
    <format dxfId="119">
      <pivotArea dataOnly="0" labelOnly="1" fieldPosition="0">
        <references count="2">
          <reference field="0" count="1" selected="0">
            <x v="186"/>
          </reference>
          <reference field="1" count="1">
            <x v="115"/>
          </reference>
        </references>
      </pivotArea>
    </format>
    <format dxfId="118">
      <pivotArea dataOnly="0" labelOnly="1" fieldPosition="0">
        <references count="2">
          <reference field="0" count="1" selected="0">
            <x v="92"/>
          </reference>
          <reference field="1" count="1">
            <x v="221"/>
          </reference>
        </references>
      </pivotArea>
    </format>
    <format dxfId="117">
      <pivotArea dataOnly="0" labelOnly="1" fieldPosition="0">
        <references count="2">
          <reference field="0" count="1" selected="0">
            <x v="217"/>
          </reference>
          <reference field="1" count="1">
            <x v="247"/>
          </reference>
        </references>
      </pivotArea>
    </format>
    <format dxfId="116">
      <pivotArea dataOnly="0" labelOnly="1" fieldPosition="0">
        <references count="2">
          <reference field="0" count="1" selected="0">
            <x v="256"/>
          </reference>
          <reference field="1" count="1">
            <x v="249"/>
          </reference>
        </references>
      </pivotArea>
    </format>
    <format dxfId="115">
      <pivotArea dataOnly="0" labelOnly="1" fieldPosition="0">
        <references count="2">
          <reference field="0" count="1" selected="0">
            <x v="132"/>
          </reference>
          <reference field="1" count="1">
            <x v="102"/>
          </reference>
        </references>
      </pivotArea>
    </format>
    <format dxfId="114">
      <pivotArea dataOnly="0" labelOnly="1" fieldPosition="0">
        <references count="2">
          <reference field="0" count="1" selected="0">
            <x v="230"/>
          </reference>
          <reference field="1" count="1">
            <x v="161"/>
          </reference>
        </references>
      </pivotArea>
    </format>
    <format dxfId="113">
      <pivotArea dataOnly="0" labelOnly="1" fieldPosition="0">
        <references count="2">
          <reference field="0" count="1" selected="0">
            <x v="116"/>
          </reference>
          <reference field="1" count="1">
            <x v="91"/>
          </reference>
        </references>
      </pivotArea>
    </format>
    <format dxfId="112">
      <pivotArea dataOnly="0" labelOnly="1" fieldPosition="0">
        <references count="2">
          <reference field="0" count="1" selected="0">
            <x v="58"/>
          </reference>
          <reference field="1" count="1">
            <x v="239"/>
          </reference>
        </references>
      </pivotArea>
    </format>
    <format dxfId="111">
      <pivotArea dataOnly="0" labelOnly="1" fieldPosition="0">
        <references count="2">
          <reference field="0" count="1" selected="0">
            <x v="51"/>
          </reference>
          <reference field="1" count="1">
            <x v="228"/>
          </reference>
        </references>
      </pivotArea>
    </format>
    <format dxfId="110">
      <pivotArea dataOnly="0" labelOnly="1" fieldPosition="0">
        <references count="2">
          <reference field="0" count="1" selected="0">
            <x v="218"/>
          </reference>
          <reference field="1" count="1">
            <x v="86"/>
          </reference>
        </references>
      </pivotArea>
    </format>
    <format dxfId="109">
      <pivotArea dataOnly="0" labelOnly="1" fieldPosition="0">
        <references count="2">
          <reference field="0" count="1" selected="0">
            <x v="56"/>
          </reference>
          <reference field="1" count="1">
            <x v="241"/>
          </reference>
        </references>
      </pivotArea>
    </format>
    <format dxfId="108">
      <pivotArea dataOnly="0" labelOnly="1" fieldPosition="0">
        <references count="2">
          <reference field="0" count="1" selected="0">
            <x v="94"/>
          </reference>
          <reference field="1" count="1">
            <x v="227"/>
          </reference>
        </references>
      </pivotArea>
    </format>
    <format dxfId="107">
      <pivotArea dataOnly="0" labelOnly="1" fieldPosition="0">
        <references count="2">
          <reference field="0" count="1" selected="0">
            <x v="211"/>
          </reference>
          <reference field="1" count="1">
            <x v="68"/>
          </reference>
        </references>
      </pivotArea>
    </format>
    <format dxfId="106">
      <pivotArea dataOnly="0" labelOnly="1" fieldPosition="0">
        <references count="2">
          <reference field="0" count="1" selected="0">
            <x v="207"/>
          </reference>
          <reference field="1" count="1">
            <x v="134"/>
          </reference>
        </references>
      </pivotArea>
    </format>
    <format dxfId="105">
      <pivotArea dataOnly="0" labelOnly="1" fieldPosition="0">
        <references count="2">
          <reference field="0" count="1" selected="0">
            <x v="44"/>
          </reference>
          <reference field="1" count="1">
            <x v="199"/>
          </reference>
        </references>
      </pivotArea>
    </format>
    <format dxfId="104">
      <pivotArea dataOnly="0" labelOnly="1" fieldPosition="0">
        <references count="2">
          <reference field="0" count="1" selected="0">
            <x v="222"/>
          </reference>
          <reference field="1" count="1">
            <x v="180"/>
          </reference>
        </references>
      </pivotArea>
    </format>
    <format dxfId="103">
      <pivotArea dataOnly="0" labelOnly="1" fieldPosition="0">
        <references count="2">
          <reference field="0" count="1" selected="0">
            <x v="70"/>
          </reference>
          <reference field="1" count="1">
            <x v="151"/>
          </reference>
        </references>
      </pivotArea>
    </format>
    <format dxfId="102">
      <pivotArea dataOnly="0" labelOnly="1" fieldPosition="0">
        <references count="2">
          <reference field="0" count="1" selected="0">
            <x v="34"/>
          </reference>
          <reference field="1" count="1">
            <x v="17"/>
          </reference>
        </references>
      </pivotArea>
    </format>
    <format dxfId="101">
      <pivotArea dataOnly="0" labelOnly="1" fieldPosition="0">
        <references count="2">
          <reference field="0" count="1" selected="0">
            <x v="81"/>
          </reference>
          <reference field="1" count="1">
            <x v="63"/>
          </reference>
        </references>
      </pivotArea>
    </format>
    <format dxfId="100">
      <pivotArea dataOnly="0" labelOnly="1" fieldPosition="0">
        <references count="2">
          <reference field="0" count="1" selected="0">
            <x v="45"/>
          </reference>
          <reference field="1" count="1">
            <x v="48"/>
          </reference>
        </references>
      </pivotArea>
    </format>
    <format dxfId="99">
      <pivotArea dataOnly="0" labelOnly="1" fieldPosition="0">
        <references count="2">
          <reference field="0" count="1" selected="0">
            <x v="175"/>
          </reference>
          <reference field="1" count="1">
            <x v="124"/>
          </reference>
        </references>
      </pivotArea>
    </format>
    <format dxfId="98">
      <pivotArea dataOnly="0" labelOnly="1" fieldPosition="0">
        <references count="2">
          <reference field="0" count="1" selected="0">
            <x v="69"/>
          </reference>
          <reference field="1" count="1">
            <x v="11"/>
          </reference>
        </references>
      </pivotArea>
    </format>
    <format dxfId="97">
      <pivotArea dataOnly="0" labelOnly="1" fieldPosition="0">
        <references count="2">
          <reference field="0" count="1" selected="0">
            <x v="21"/>
          </reference>
          <reference field="1" count="1">
            <x v="32"/>
          </reference>
        </references>
      </pivotArea>
    </format>
    <format dxfId="96">
      <pivotArea dataOnly="0" labelOnly="1" fieldPosition="0">
        <references count="2">
          <reference field="0" count="1" selected="0">
            <x v="114"/>
          </reference>
          <reference field="1" count="1">
            <x v="12"/>
          </reference>
        </references>
      </pivotArea>
    </format>
    <format dxfId="95">
      <pivotArea dataOnly="0" labelOnly="1" fieldPosition="0">
        <references count="2">
          <reference field="0" count="1" selected="0">
            <x v="84"/>
          </reference>
          <reference field="1" count="1">
            <x v="140"/>
          </reference>
        </references>
      </pivotArea>
    </format>
    <format dxfId="94">
      <pivotArea dataOnly="0" labelOnly="1" fieldPosition="0">
        <references count="2">
          <reference field="0" count="1" selected="0">
            <x v="110"/>
          </reference>
          <reference field="1" count="1">
            <x v="226"/>
          </reference>
        </references>
      </pivotArea>
    </format>
    <format dxfId="93">
      <pivotArea dataOnly="0" labelOnly="1" fieldPosition="0">
        <references count="2">
          <reference field="0" count="1" selected="0">
            <x v="106"/>
          </reference>
          <reference field="1" count="1">
            <x v="196"/>
          </reference>
        </references>
      </pivotArea>
    </format>
    <format dxfId="92">
      <pivotArea dataOnly="0" labelOnly="1" fieldPosition="0">
        <references count="2">
          <reference field="0" count="1" selected="0">
            <x v="77"/>
          </reference>
          <reference field="1" count="1">
            <x v="200"/>
          </reference>
        </references>
      </pivotArea>
    </format>
    <format dxfId="91">
      <pivotArea dataOnly="0" labelOnly="1" fieldPosition="0">
        <references count="2">
          <reference field="0" count="1" selected="0">
            <x v="117"/>
          </reference>
          <reference field="1" count="1">
            <x v="33"/>
          </reference>
        </references>
      </pivotArea>
    </format>
    <format dxfId="90">
      <pivotArea dataOnly="0" labelOnly="1" fieldPosition="0">
        <references count="2">
          <reference field="0" count="1" selected="0">
            <x v="124"/>
          </reference>
          <reference field="1" count="1">
            <x v="216"/>
          </reference>
        </references>
      </pivotArea>
    </format>
    <format dxfId="89">
      <pivotArea dataOnly="0" labelOnly="1" fieldPosition="0">
        <references count="2">
          <reference field="0" count="1" selected="0">
            <x v="80"/>
          </reference>
          <reference field="1" count="1">
            <x v="58"/>
          </reference>
        </references>
      </pivotArea>
    </format>
    <format dxfId="88">
      <pivotArea dataOnly="0" labelOnly="1" fieldPosition="0">
        <references count="2">
          <reference field="0" count="1" selected="0">
            <x v="172"/>
          </reference>
          <reference field="1" count="1">
            <x v="101"/>
          </reference>
        </references>
      </pivotArea>
    </format>
    <format dxfId="87">
      <pivotArea dataOnly="0" labelOnly="1" fieldPosition="0">
        <references count="2">
          <reference field="0" count="1" selected="0">
            <x v="157"/>
          </reference>
          <reference field="1" count="1">
            <x v="183"/>
          </reference>
        </references>
      </pivotArea>
    </format>
    <format dxfId="86">
      <pivotArea dataOnly="0" labelOnly="1" fieldPosition="0">
        <references count="2">
          <reference field="0" count="1" selected="0">
            <x v="109"/>
          </reference>
          <reference field="1" count="1">
            <x v="220"/>
          </reference>
        </references>
      </pivotArea>
    </format>
    <format dxfId="85">
      <pivotArea dataOnly="0" labelOnly="1" fieldPosition="0">
        <references count="2">
          <reference field="0" count="1" selected="0">
            <x v="32"/>
          </reference>
          <reference field="1" count="1">
            <x v="159"/>
          </reference>
        </references>
      </pivotArea>
    </format>
    <format dxfId="84">
      <pivotArea dataOnly="0" labelOnly="1" fieldPosition="0">
        <references count="2">
          <reference field="0" count="1" selected="0">
            <x v="40"/>
          </reference>
          <reference field="1" count="1">
            <x v="36"/>
          </reference>
        </references>
      </pivotArea>
    </format>
    <format dxfId="83">
      <pivotArea dataOnly="0" labelOnly="1" fieldPosition="0">
        <references count="2">
          <reference field="0" count="1" selected="0">
            <x v="54"/>
          </reference>
          <reference field="1" count="1">
            <x v="207"/>
          </reference>
        </references>
      </pivotArea>
    </format>
    <format dxfId="82">
      <pivotArea dataOnly="0" labelOnly="1" fieldPosition="0">
        <references count="2">
          <reference field="0" count="1" selected="0">
            <x v="108"/>
          </reference>
          <reference field="1" count="1">
            <x v="5"/>
          </reference>
        </references>
      </pivotArea>
    </format>
    <format dxfId="81">
      <pivotArea dataOnly="0" labelOnly="1" fieldPosition="0">
        <references count="2">
          <reference field="0" count="1" selected="0">
            <x v="200"/>
          </reference>
          <reference field="1" count="1">
            <x v="123"/>
          </reference>
        </references>
      </pivotArea>
    </format>
    <format dxfId="80">
      <pivotArea dataOnly="0" labelOnly="1" fieldPosition="0">
        <references count="2">
          <reference field="0" count="1" selected="0">
            <x v="156"/>
          </reference>
          <reference field="1" count="1">
            <x v="144"/>
          </reference>
        </references>
      </pivotArea>
    </format>
    <format dxfId="79">
      <pivotArea dataOnly="0" labelOnly="1" fieldPosition="0">
        <references count="2">
          <reference field="0" count="1" selected="0">
            <x v="74"/>
          </reference>
          <reference field="1" count="1">
            <x v="219"/>
          </reference>
        </references>
      </pivotArea>
    </format>
    <format dxfId="78">
      <pivotArea dataOnly="0" labelOnly="1" fieldPosition="0">
        <references count="2">
          <reference field="0" count="1" selected="0">
            <x v="27"/>
          </reference>
          <reference field="1" count="1">
            <x v="257"/>
          </reference>
        </references>
      </pivotArea>
    </format>
    <format dxfId="77">
      <pivotArea dataOnly="0" labelOnly="1" fieldPosition="0">
        <references count="2">
          <reference field="0" count="1" selected="0">
            <x v="43"/>
          </reference>
          <reference field="1" count="1">
            <x v="46"/>
          </reference>
        </references>
      </pivotArea>
    </format>
    <format dxfId="76">
      <pivotArea dataOnly="0" labelOnly="1" fieldPosition="0">
        <references count="2">
          <reference field="0" count="1" selected="0">
            <x v="66"/>
          </reference>
          <reference field="1" count="1">
            <x v="28"/>
          </reference>
        </references>
      </pivotArea>
    </format>
    <format dxfId="75">
      <pivotArea dataOnly="0" labelOnly="1" fieldPosition="0">
        <references count="2">
          <reference field="0" count="1" selected="0">
            <x v="47"/>
          </reference>
          <reference field="1" count="1">
            <x v="99"/>
          </reference>
        </references>
      </pivotArea>
    </format>
    <format dxfId="74">
      <pivotArea dataOnly="0" labelOnly="1" fieldPosition="0">
        <references count="2">
          <reference field="0" count="1" selected="0">
            <x v="33"/>
          </reference>
          <reference field="1" count="1">
            <x v="20"/>
          </reference>
        </references>
      </pivotArea>
    </format>
    <format dxfId="73">
      <pivotArea dataOnly="0" labelOnly="1" fieldPosition="0">
        <references count="2">
          <reference field="0" count="1" selected="0">
            <x v="219"/>
          </reference>
          <reference field="1" count="1">
            <x v="71"/>
          </reference>
        </references>
      </pivotArea>
    </format>
    <format dxfId="72">
      <pivotArea dataOnly="0" labelOnly="1" fieldPosition="0">
        <references count="2">
          <reference field="0" count="1" selected="0">
            <x v="191"/>
          </reference>
          <reference field="1" count="1">
            <x v="245"/>
          </reference>
        </references>
      </pivotArea>
    </format>
    <format dxfId="71">
      <pivotArea dataOnly="0" labelOnly="1" fieldPosition="0">
        <references count="2">
          <reference field="0" count="1" selected="0">
            <x v="123"/>
          </reference>
          <reference field="1" count="1">
            <x v="155"/>
          </reference>
        </references>
      </pivotArea>
    </format>
    <format dxfId="70">
      <pivotArea dataOnly="0" labelOnly="1" fieldPosition="0">
        <references count="2">
          <reference field="0" count="1" selected="0">
            <x v="192"/>
          </reference>
          <reference field="1" count="1">
            <x v="38"/>
          </reference>
        </references>
      </pivotArea>
    </format>
    <format dxfId="69">
      <pivotArea dataOnly="0" labelOnly="1" fieldPosition="0">
        <references count="2">
          <reference field="0" count="1" selected="0">
            <x v="171"/>
          </reference>
          <reference field="1" count="1">
            <x v="126"/>
          </reference>
        </references>
      </pivotArea>
    </format>
    <format dxfId="68">
      <pivotArea dataOnly="0" labelOnly="1" fieldPosition="0">
        <references count="2">
          <reference field="0" count="1" selected="0">
            <x v="46"/>
          </reference>
          <reference field="1" count="1">
            <x v="47"/>
          </reference>
        </references>
      </pivotArea>
    </format>
    <format dxfId="67">
      <pivotArea dataOnly="0" labelOnly="1" fieldPosition="0">
        <references count="2">
          <reference field="0" count="1" selected="0">
            <x v="31"/>
          </reference>
          <reference field="1" count="1">
            <x v="16"/>
          </reference>
        </references>
      </pivotArea>
    </format>
    <format dxfId="66">
      <pivotArea dataOnly="0" labelOnly="1" fieldPosition="0">
        <references count="2">
          <reference field="0" count="1" selected="0">
            <x v="52"/>
          </reference>
          <reference field="1" count="1">
            <x v="215"/>
          </reference>
        </references>
      </pivotArea>
    </format>
    <format dxfId="65">
      <pivotArea dataOnly="0" labelOnly="1" fieldPosition="0">
        <references count="2">
          <reference field="0" count="1" selected="0">
            <x v="26"/>
          </reference>
          <reference field="1" count="1">
            <x v="148"/>
          </reference>
        </references>
      </pivotArea>
    </format>
    <format dxfId="64">
      <pivotArea dataOnly="0" labelOnly="1" fieldPosition="0">
        <references count="2">
          <reference field="0" count="1" selected="0">
            <x v="14"/>
          </reference>
          <reference field="1" count="1">
            <x v="252"/>
          </reference>
        </references>
      </pivotArea>
    </format>
    <format dxfId="63">
      <pivotArea dataOnly="0" labelOnly="1" fieldPosition="0">
        <references count="2">
          <reference field="0" count="1" selected="0">
            <x v="125"/>
          </reference>
          <reference field="1" count="1">
            <x v="43"/>
          </reference>
        </references>
      </pivotArea>
    </format>
    <format dxfId="62">
      <pivotArea dataOnly="0" labelOnly="1" fieldPosition="0">
        <references count="2">
          <reference field="0" count="1" selected="0">
            <x v="115"/>
          </reference>
          <reference field="1" count="1">
            <x v="90"/>
          </reference>
        </references>
      </pivotArea>
    </format>
    <format dxfId="61">
      <pivotArea dataOnly="0" labelOnly="1" fieldPosition="0">
        <references count="2">
          <reference field="0" count="1" selected="0">
            <x v="35"/>
          </reference>
          <reference field="1" count="1">
            <x v="15"/>
          </reference>
        </references>
      </pivotArea>
    </format>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outline="0" axis="axisValues" fieldPosition="0"/>
    </format>
    <format dxfId="56">
      <pivotArea dataOnly="0" labelOnly="1" fieldPosition="0">
        <references count="1">
          <reference field="0" count="10">
            <x v="3"/>
            <x v="82"/>
            <x v="131"/>
            <x v="133"/>
            <x v="165"/>
            <x v="179"/>
            <x v="201"/>
            <x v="244"/>
            <x v="249"/>
            <x v="250"/>
          </reference>
        </references>
      </pivotArea>
    </format>
    <format dxfId="55">
      <pivotArea dataOnly="0" labelOnly="1" grandRow="1" outline="0" fieldPosition="0"/>
    </format>
    <format dxfId="54">
      <pivotArea dataOnly="0" labelOnly="1" outline="0" axis="axisValues" fieldPosition="0"/>
    </format>
    <format dxfId="53">
      <pivotArea field="0" type="button" dataOnly="0" labelOnly="1" outline="0" axis="axisRow" fieldPosition="0"/>
    </format>
    <format dxfId="52">
      <pivotArea dataOnly="0" labelOnly="1" outline="0" axis="axisValues" fieldPosition="0"/>
    </format>
    <format dxfId="51">
      <pivotArea dataOnly="0" labelOnly="1" outline="0" axis="axisValues" fieldPosition="0"/>
    </format>
  </formats>
  <pivotTableStyleInfo name="PivotStyleLight16" showRowHeaders="1" showColHeaders="1" showRowStripes="0" showColStripes="0" showLastColumn="1"/>
  <filters count="2">
    <filter fld="1" type="count" evalOrder="-1" id="2" iMeasureFld="0">
      <autoFilter ref="A1">
        <filterColumn colId="0">
          <top10 val="10" filterVal="10"/>
        </filterColumn>
      </autoFilter>
    </filter>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HS6 Product Code">
  <location ref="B9:C20" firstHeaderRow="1" firstDataRow="1" firstDataCol="1"/>
  <pivotFields count="12">
    <pivotField axis="axisRow" numFmtId="49" showAll="0" measureFilter="1" sortType="descending">
      <items count="254">
        <item x="69"/>
        <item x="63"/>
        <item x="57"/>
        <item sd="0" x="49"/>
        <item x="65"/>
        <item x="67"/>
        <item x="53"/>
        <item x="55"/>
        <item x="64"/>
        <item x="60"/>
        <item x="50"/>
        <item x="62"/>
        <item x="59"/>
        <item x="56"/>
        <item x="73"/>
        <item x="68"/>
        <item x="54"/>
        <item x="70"/>
        <item x="66"/>
        <item x="51"/>
        <item x="58"/>
        <item x="71"/>
        <item x="52"/>
        <item x="61"/>
        <item x="72"/>
        <item x="48"/>
        <item x="81"/>
        <item x="74"/>
        <item x="80"/>
        <item x="79"/>
        <item x="82"/>
        <item x="76"/>
        <item x="85"/>
        <item x="83"/>
        <item x="84"/>
        <item x="86"/>
        <item x="87"/>
        <item x="88"/>
        <item x="78"/>
        <item x="75"/>
        <item x="77"/>
        <item x="98"/>
        <item x="90"/>
        <item x="92"/>
        <item x="99"/>
        <item x="100"/>
        <item x="101"/>
        <item x="91"/>
        <item x="102"/>
        <item x="94"/>
        <item x="89"/>
        <item x="97"/>
        <item x="93"/>
        <item x="95"/>
        <item x="96"/>
        <item x="111"/>
        <item x="118"/>
        <item x="124"/>
        <item x="113"/>
        <item x="125"/>
        <item x="115"/>
        <item x="108"/>
        <item x="104"/>
        <item x="117"/>
        <item x="107"/>
        <item x="120"/>
        <item x="119"/>
        <item x="126"/>
        <item x="112"/>
        <item x="123"/>
        <item x="121"/>
        <item x="110"/>
        <item x="116"/>
        <item x="109"/>
        <item x="114"/>
        <item x="127"/>
        <item x="106"/>
        <item x="122"/>
        <item x="105"/>
        <item sd="0" x="103"/>
        <item x="134"/>
        <item x="130"/>
        <item x="128"/>
        <item x="142"/>
        <item x="132"/>
        <item x="136"/>
        <item x="131"/>
        <item x="137"/>
        <item x="140"/>
        <item x="138"/>
        <item x="133"/>
        <item x="141"/>
        <item x="139"/>
        <item x="135"/>
        <item x="129"/>
        <item sd="0" x="143"/>
        <item x="146"/>
        <item x="148"/>
        <item x="151"/>
        <item x="152"/>
        <item x="147"/>
        <item x="145"/>
        <item x="154"/>
        <item x="157"/>
        <item x="153"/>
        <item x="150"/>
        <item x="155"/>
        <item x="156"/>
        <item x="149"/>
        <item x="144"/>
        <item x="158"/>
        <item x="159"/>
        <item x="167"/>
        <item x="168"/>
        <item x="163"/>
        <item x="160"/>
        <item x="161"/>
        <item x="166"/>
        <item x="164"/>
        <item x="165"/>
        <item x="162"/>
        <item x="234"/>
        <item x="245"/>
        <item x="229"/>
        <item x="220"/>
        <item x="176"/>
        <item x="211"/>
        <item x="174"/>
        <item sd="0" x="170"/>
        <item x="188"/>
        <item sd="0" x="169"/>
        <item x="187"/>
        <item x="171"/>
        <item x="179"/>
        <item x="191"/>
        <item x="216"/>
        <item x="212"/>
        <item x="203"/>
        <item x="190"/>
        <item x="205"/>
        <item x="180"/>
        <item x="199"/>
        <item x="215"/>
        <item x="213"/>
        <item x="214"/>
        <item x="224"/>
        <item x="240"/>
        <item x="192"/>
        <item x="206"/>
        <item x="227"/>
        <item x="175"/>
        <item x="228"/>
        <item x="225"/>
        <item x="226"/>
        <item x="246"/>
        <item x="238"/>
        <item x="219"/>
        <item x="197"/>
        <item x="223"/>
        <item x="247"/>
        <item x="209"/>
        <item x="233"/>
        <item x="186"/>
        <item x="248"/>
        <item x="198"/>
        <item x="239"/>
        <item x="249"/>
        <item x="196"/>
        <item x="250"/>
        <item x="242"/>
        <item x="232"/>
        <item x="237"/>
        <item x="251"/>
        <item x="207"/>
        <item x="204"/>
        <item x="201"/>
        <item x="222"/>
        <item x="231"/>
        <item x="235"/>
        <item x="230"/>
        <item x="221"/>
        <item x="217"/>
        <item x="252"/>
        <item x="236"/>
        <item x="200"/>
        <item x="189"/>
        <item x="210"/>
        <item x="218"/>
        <item x="243"/>
        <item x="202"/>
        <item x="208"/>
        <item x="184"/>
        <item x="185"/>
        <item x="193"/>
        <item x="241"/>
        <item x="173"/>
        <item x="183"/>
        <item x="181"/>
        <item sd="0" x="172"/>
        <item x="177"/>
        <item x="178"/>
        <item x="194"/>
        <item x="244"/>
        <item x="182"/>
        <item x="195"/>
        <item x="10"/>
        <item x="15"/>
        <item x="13"/>
        <item sd="0" x="3"/>
        <item x="23"/>
        <item x="46"/>
        <item x="4"/>
        <item x="40"/>
        <item x="42"/>
        <item x="44"/>
        <item sd="0" x="2"/>
        <item x="11"/>
        <item x="47"/>
        <item x="27"/>
        <item x="32"/>
        <item x="26"/>
        <item sd="0" x="0"/>
        <item x="24"/>
        <item x="45"/>
        <item x="38"/>
        <item x="43"/>
        <item x="20"/>
        <item x="39"/>
        <item x="6"/>
        <item x="35"/>
        <item x="5"/>
        <item x="25"/>
        <item x="18"/>
        <item x="33"/>
        <item x="31"/>
        <item x="29"/>
        <item x="22"/>
        <item x="28"/>
        <item x="34"/>
        <item x="9"/>
        <item x="8"/>
        <item x="14"/>
        <item x="36"/>
        <item x="30"/>
        <item x="19"/>
        <item x="17"/>
        <item x="21"/>
        <item sd="0" x="1"/>
        <item x="7"/>
        <item x="16"/>
        <item x="37"/>
        <item x="41"/>
        <item x="12"/>
        <item t="default"/>
      </items>
      <autoSortScope>
        <pivotArea dataOnly="0" outline="0" fieldPosition="0">
          <references count="1">
            <reference field="4294967294" count="1" selected="0">
              <x v="0"/>
            </reference>
          </references>
        </pivotArea>
      </autoSortScope>
    </pivotField>
    <pivotField axis="axisRow" showAll="0" measureFilter="1">
      <items count="254">
        <item x="67"/>
        <item x="228"/>
        <item x="238"/>
        <item x="191"/>
        <item x="179"/>
        <item x="155"/>
        <item x="145"/>
        <item x="157"/>
        <item x="154"/>
        <item x="152"/>
        <item x="64"/>
        <item x="123"/>
        <item x="167"/>
        <item x="52"/>
        <item x="144"/>
        <item x="87"/>
        <item x="85"/>
        <item x="86"/>
        <item x="105"/>
        <item x="103"/>
        <item x="84"/>
        <item x="48"/>
        <item x="77"/>
        <item x="202"/>
        <item x="241"/>
        <item x="196"/>
        <item x="229"/>
        <item x="177"/>
        <item x="151"/>
        <item x="136"/>
        <item x="159"/>
        <item x="71"/>
        <item x="160"/>
        <item x="8"/>
        <item x="247"/>
        <item x="98"/>
        <item x="72"/>
        <item x="243"/>
        <item x="205"/>
        <item x="7"/>
        <item x="150"/>
        <item x="62"/>
        <item x="245"/>
        <item x="180"/>
        <item x="96"/>
        <item x="99"/>
        <item x="91"/>
        <item x="101"/>
        <item x="89"/>
        <item x="94"/>
        <item x="112"/>
        <item x="166"/>
        <item x="126"/>
        <item x="174"/>
        <item x="120"/>
        <item x="207"/>
        <item x="140"/>
        <item x="133"/>
        <item x="138"/>
        <item x="131"/>
        <item x="130"/>
        <item x="134"/>
        <item x="20"/>
        <item x="199"/>
        <item x="4"/>
        <item x="36"/>
        <item x="15"/>
        <item x="26"/>
        <item x="10"/>
        <item x="44"/>
        <item x="31"/>
        <item x="32"/>
        <item x="12"/>
        <item x="34"/>
        <item x="9"/>
        <item x="29"/>
        <item x="2"/>
        <item x="16"/>
        <item x="11"/>
        <item x="21"/>
        <item x="22"/>
        <item x="33"/>
        <item x="3"/>
        <item x="23"/>
        <item x="42"/>
        <item x="17"/>
        <item x="187"/>
        <item x="88"/>
        <item x="168"/>
        <item x="163"/>
        <item x="39"/>
        <item x="161"/>
        <item x="70"/>
        <item x="240"/>
        <item x="78"/>
        <item x="216"/>
        <item x="194"/>
        <item x="102"/>
        <item x="225"/>
        <item x="242"/>
        <item x="188"/>
        <item x="27"/>
        <item x="212"/>
        <item x="1"/>
        <item x="37"/>
        <item x="56"/>
        <item x="249"/>
        <item x="231"/>
        <item x="192"/>
        <item x="230"/>
        <item x="221"/>
        <item x="201"/>
        <item x="252"/>
        <item x="236"/>
        <item x="200"/>
        <item x="217"/>
        <item x="235"/>
        <item x="232"/>
        <item x="218"/>
        <item x="223"/>
        <item x="209"/>
        <item x="251"/>
        <item x="185"/>
        <item x="250"/>
        <item x="173"/>
        <item x="195"/>
        <item x="233"/>
        <item x="197"/>
        <item x="190"/>
        <item x="182"/>
        <item x="183"/>
        <item x="244"/>
        <item x="193"/>
        <item x="219"/>
        <item x="248"/>
        <item x="198"/>
        <item x="222"/>
        <item x="142"/>
        <item x="213"/>
        <item x="204"/>
        <item x="24"/>
        <item x="226"/>
        <item x="79"/>
        <item x="25"/>
        <item x="68"/>
        <item x="74"/>
        <item x="181"/>
        <item x="227"/>
        <item x="121"/>
        <item x="139"/>
        <item x="82"/>
        <item x="59"/>
        <item x="208"/>
        <item x="129"/>
        <item x="158"/>
        <item x="83"/>
        <item x="184"/>
        <item x="43"/>
        <item x="189"/>
        <item x="13"/>
        <item x="18"/>
        <item x="170"/>
        <item x="14"/>
        <item x="175"/>
        <item x="50"/>
        <item x="147"/>
        <item x="137"/>
        <item x="51"/>
        <item x="58"/>
        <item x="53"/>
        <item x="55"/>
        <item x="69"/>
        <item x="63"/>
        <item x="57"/>
        <item x="65"/>
        <item x="49"/>
        <item x="47"/>
        <item x="148"/>
        <item x="132"/>
        <item x="246"/>
        <item x="46"/>
        <item x="28"/>
        <item x="186"/>
        <item x="220"/>
        <item x="214"/>
        <item x="171"/>
        <item x="35"/>
        <item x="127"/>
        <item x="118"/>
        <item x="5"/>
        <item x="90"/>
        <item x="203"/>
        <item x="117"/>
        <item x="92"/>
        <item x="100"/>
        <item x="122"/>
        <item x="110"/>
        <item x="66"/>
        <item x="206"/>
        <item x="19"/>
        <item x="81"/>
        <item x="237"/>
        <item x="116"/>
        <item x="111"/>
        <item x="224"/>
        <item x="165"/>
        <item x="60"/>
        <item x="76"/>
        <item x="45"/>
        <item x="211"/>
        <item x="109"/>
        <item x="95"/>
        <item x="234"/>
        <item x="176"/>
        <item x="164"/>
        <item x="114"/>
        <item x="156"/>
        <item x="141"/>
        <item x="119"/>
        <item x="104"/>
        <item x="153"/>
        <item x="106"/>
        <item x="149"/>
        <item x="135"/>
        <item x="93"/>
        <item x="61"/>
        <item x="97"/>
        <item x="107"/>
        <item x="172"/>
        <item x="0"/>
        <item x="30"/>
        <item x="210"/>
        <item x="6"/>
        <item x="178"/>
        <item x="108"/>
        <item x="125"/>
        <item x="115"/>
        <item x="124"/>
        <item x="113"/>
        <item x="54"/>
        <item x="169"/>
        <item x="143"/>
        <item x="40"/>
        <item x="38"/>
        <item x="41"/>
        <item x="146"/>
        <item x="128"/>
        <item x="73"/>
        <item x="239"/>
        <item x="215"/>
        <item x="162"/>
        <item x="75"/>
        <item x="80"/>
        <item t="default"/>
      </items>
    </pivotField>
    <pivotField showAll="0"/>
    <pivotField showAll="0"/>
    <pivotField showAll="0"/>
    <pivotField showAll="0"/>
    <pivotField showAll="0"/>
    <pivotField showAll="0"/>
    <pivotField showAll="0"/>
    <pivotField showAll="0"/>
    <pivotField dataField="1" showAll="0"/>
    <pivotField numFmtId="2" showAll="0"/>
  </pivotFields>
  <rowFields count="2">
    <field x="0"/>
    <field x="1"/>
  </rowFields>
  <rowItems count="11">
    <i>
      <x v="95"/>
    </i>
    <i>
      <x v="221"/>
    </i>
    <i>
      <x v="130"/>
    </i>
    <i>
      <x v="247"/>
    </i>
    <i>
      <x v="79"/>
    </i>
    <i>
      <x v="128"/>
    </i>
    <i>
      <x v="215"/>
    </i>
    <i>
      <x v="198"/>
    </i>
    <i>
      <x v="3"/>
    </i>
    <i>
      <x v="208"/>
    </i>
    <i t="grand">
      <x/>
    </i>
  </rowItems>
  <colItems count="1">
    <i/>
  </colItems>
  <dataFields count="1">
    <dataField name="Year 2024" fld="10" baseField="0" baseItem="95"/>
  </dataFields>
  <formats count="7">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outline="0" axis="axisValues" fieldPosition="0"/>
    </format>
    <format dxfId="46">
      <pivotArea dataOnly="0" labelOnly="1" fieldPosition="0">
        <references count="1">
          <reference field="0" count="10">
            <x v="3"/>
            <x v="79"/>
            <x v="95"/>
            <x v="128"/>
            <x v="130"/>
            <x v="198"/>
            <x v="208"/>
            <x v="215"/>
            <x v="221"/>
            <x v="247"/>
          </reference>
        </references>
      </pivotArea>
    </format>
    <format dxfId="45">
      <pivotArea dataOnly="0" labelOnly="1" grandRow="1" outline="0" fieldPosition="0"/>
    </format>
    <format dxfId="44">
      <pivotArea dataOnly="0" labelOnly="1" outline="0" axis="axisValues" fieldPosition="0"/>
    </format>
  </formats>
  <pivotTableStyleInfo name="PivotStyleLight16" showRowHeaders="1" showColHeaders="1" showRowStripes="0" showColStripes="0" showLastColumn="1"/>
  <filters count="2">
    <filter fld="1" type="count" evalOrder="-1" id="1" iMeasureFld="0">
      <autoFilter ref="A1">
        <filterColumn colId="0">
          <top10 val="10" filterVal="10"/>
        </filterColumn>
      </autoFilter>
    </filter>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Product Categories">
  <location ref="C10:D17" firstHeaderRow="1" firstDataRow="1" firstDataCol="1"/>
  <pivotFields count="13">
    <pivotField numFmtId="49" showAll="0"/>
    <pivotField showAll="0"/>
    <pivotField numFmtId="2" showAll="0"/>
    <pivotField numFmtId="2" showAll="0"/>
    <pivotField numFmtId="2" showAll="0"/>
    <pivotField showAll="0"/>
    <pivotField showAll="0"/>
    <pivotField showAll="0"/>
    <pivotField showAll="0"/>
    <pivotField showAll="0"/>
    <pivotField dataField="1" showAll="0"/>
    <pivotField numFmtId="2" showAll="0"/>
    <pivotField axis="axisRow" showAll="0" sortType="descending">
      <items count="7">
        <item x="2"/>
        <item x="0"/>
        <item x="4"/>
        <item x="5"/>
        <item x="1"/>
        <item x="3"/>
        <item t="default"/>
      </items>
      <autoSortScope>
        <pivotArea dataOnly="0" outline="0" fieldPosition="0">
          <references count="1">
            <reference field="4294967294" count="1" selected="0">
              <x v="0"/>
            </reference>
          </references>
        </pivotArea>
      </autoSortScope>
    </pivotField>
  </pivotFields>
  <rowFields count="1">
    <field x="12"/>
  </rowFields>
  <rowItems count="7">
    <i>
      <x v="1"/>
    </i>
    <i>
      <x v="3"/>
    </i>
    <i>
      <x v="4"/>
    </i>
    <i>
      <x v="2"/>
    </i>
    <i>
      <x/>
    </i>
    <i>
      <x v="5"/>
    </i>
    <i t="grand">
      <x/>
    </i>
  </rowItems>
  <colItems count="1">
    <i/>
  </colItems>
  <dataFields count="1">
    <dataField name="Year 2024" fld="10" baseField="12" baseItem="1"/>
  </dataFields>
  <formats count="7">
    <format dxfId="43">
      <pivotArea type="all" dataOnly="0" outline="0" fieldPosition="0"/>
    </format>
    <format dxfId="42">
      <pivotArea outline="0" collapsedLevelsAreSubtotals="1" fieldPosition="0"/>
    </format>
    <format dxfId="41">
      <pivotArea field="12" type="button" dataOnly="0" labelOnly="1" outline="0" axis="axisRow" fieldPosition="0"/>
    </format>
    <format dxfId="40">
      <pivotArea dataOnly="0" labelOnly="1" outline="0" axis="axisValues" fieldPosition="0"/>
    </format>
    <format dxfId="39">
      <pivotArea dataOnly="0" labelOnly="1" fieldPosition="0">
        <references count="1">
          <reference field="12" count="0"/>
        </references>
      </pivotArea>
    </format>
    <format dxfId="38">
      <pivotArea dataOnly="0" labelOnly="1" grandRow="1" outline="0" fieldPosition="0"/>
    </format>
    <format dxfId="37">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Product Categories">
  <location ref="C10:D17" firstHeaderRow="1" firstDataRow="1" firstDataCol="1"/>
  <pivotFields count="13">
    <pivotField numFmtId="49" showAll="0"/>
    <pivotField showAll="0"/>
    <pivotField showAll="0"/>
    <pivotField showAll="0"/>
    <pivotField showAll="0"/>
    <pivotField showAll="0"/>
    <pivotField showAll="0"/>
    <pivotField showAll="0"/>
    <pivotField showAll="0"/>
    <pivotField showAll="0"/>
    <pivotField dataField="1" showAll="0"/>
    <pivotField numFmtId="2" showAll="0"/>
    <pivotField axis="axisRow" showAll="0" sortType="descending">
      <items count="7">
        <item x="2"/>
        <item x="0"/>
        <item x="4"/>
        <item x="5"/>
        <item x="1"/>
        <item x="3"/>
        <item t="default"/>
      </items>
      <autoSortScope>
        <pivotArea dataOnly="0" outline="0" fieldPosition="0">
          <references count="1">
            <reference field="4294967294" count="1" selected="0">
              <x v="0"/>
            </reference>
          </references>
        </pivotArea>
      </autoSortScope>
    </pivotField>
  </pivotFields>
  <rowFields count="1">
    <field x="12"/>
  </rowFields>
  <rowItems count="7">
    <i>
      <x v="2"/>
    </i>
    <i>
      <x v="1"/>
    </i>
    <i>
      <x v="3"/>
    </i>
    <i>
      <x v="4"/>
    </i>
    <i>
      <x v="5"/>
    </i>
    <i>
      <x/>
    </i>
    <i t="grand">
      <x/>
    </i>
  </rowItems>
  <colItems count="1">
    <i/>
  </colItems>
  <dataFields count="1">
    <dataField name="Year 2024" fld="10" baseField="12" baseItem="0"/>
  </dataFields>
  <formats count="7">
    <format dxfId="36">
      <pivotArea type="all" dataOnly="0" outline="0" fieldPosition="0"/>
    </format>
    <format dxfId="35">
      <pivotArea outline="0" collapsedLevelsAreSubtotals="1" fieldPosition="0"/>
    </format>
    <format dxfId="34">
      <pivotArea field="12" type="button" dataOnly="0" labelOnly="1" outline="0" axis="axisRow" fieldPosition="0"/>
    </format>
    <format dxfId="33">
      <pivotArea dataOnly="0" labelOnly="1" outline="0" axis="axisValues" fieldPosition="0"/>
    </format>
    <format dxfId="32">
      <pivotArea dataOnly="0" labelOnly="1" fieldPosition="0">
        <references count="1">
          <reference field="12" count="0"/>
        </references>
      </pivotArea>
    </format>
    <format dxfId="31">
      <pivotArea dataOnly="0" labelOnly="1" grandRow="1" outline="0" fieldPosition="0"/>
    </format>
    <format dxfId="30">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1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HS6 Code Products">
  <location ref="B8:C18" firstHeaderRow="1" firstDataRow="1" firstDataCol="1"/>
  <pivotFields count="10">
    <pivotField axis="axisRow" numFmtId="49" showAll="0" measureFilter="1" sortType="descending">
      <items count="240">
        <item x="50"/>
        <item x="53"/>
        <item x="58"/>
        <item x="46"/>
        <item x="56"/>
        <item x="47"/>
        <item x="52"/>
        <item x="59"/>
        <item x="49"/>
        <item x="61"/>
        <item x="57"/>
        <item x="51"/>
        <item x="65"/>
        <item x="64"/>
        <item x="71"/>
        <item x="66"/>
        <item x="62"/>
        <item sd="0" x="70"/>
        <item x="54"/>
        <item x="55"/>
        <item x="63"/>
        <item x="69"/>
        <item x="60"/>
        <item x="67"/>
        <item x="68"/>
        <item x="48"/>
        <item x="73"/>
        <item x="76"/>
        <item x="75"/>
        <item x="80"/>
        <item x="79"/>
        <item x="78"/>
        <item x="72"/>
        <item x="77"/>
        <item x="74"/>
        <item x="83"/>
        <item x="82"/>
        <item x="91"/>
        <item x="89"/>
        <item x="90"/>
        <item x="88"/>
        <item x="81"/>
        <item x="85"/>
        <item x="86"/>
        <item x="87"/>
        <item x="92"/>
        <item x="84"/>
        <item x="94"/>
        <item x="114"/>
        <item x="96"/>
        <item x="101"/>
        <item x="97"/>
        <item x="100"/>
        <item x="107"/>
        <item x="104"/>
        <item x="109"/>
        <item x="106"/>
        <item x="105"/>
        <item x="99"/>
        <item x="115"/>
        <item x="111"/>
        <item x="93"/>
        <item x="103"/>
        <item x="98"/>
        <item x="110"/>
        <item x="108"/>
        <item x="112"/>
        <item x="113"/>
        <item x="102"/>
        <item x="95"/>
        <item x="130"/>
        <item sd="0" x="122"/>
        <item x="116"/>
        <item x="121"/>
        <item x="131"/>
        <item x="125"/>
        <item x="120"/>
        <item x="117"/>
        <item x="118"/>
        <item x="123"/>
        <item x="126"/>
        <item x="124"/>
        <item x="127"/>
        <item sd="0" x="128"/>
        <item x="129"/>
        <item x="119"/>
        <item x="143"/>
        <item x="132"/>
        <item x="140"/>
        <item x="136"/>
        <item x="137"/>
        <item x="133"/>
        <item x="135"/>
        <item x="138"/>
        <item x="141"/>
        <item x="139"/>
        <item x="146"/>
        <item x="142"/>
        <item x="145"/>
        <item x="147"/>
        <item x="144"/>
        <item x="134"/>
        <item x="149"/>
        <item x="150"/>
        <item x="156"/>
        <item x="155"/>
        <item x="157"/>
        <item x="151"/>
        <item x="154"/>
        <item x="153"/>
        <item x="152"/>
        <item x="148"/>
        <item x="238"/>
        <item x="235"/>
        <item x="232"/>
        <item x="233"/>
        <item x="193"/>
        <item x="201"/>
        <item x="174"/>
        <item x="162"/>
        <item x="236"/>
        <item x="160"/>
        <item x="179"/>
        <item x="168"/>
        <item x="170"/>
        <item x="182"/>
        <item x="215"/>
        <item x="199"/>
        <item x="211"/>
        <item x="189"/>
        <item x="227"/>
        <item x="166"/>
        <item x="186"/>
        <item x="198"/>
        <item x="187"/>
        <item x="210"/>
        <item sd="0" x="205"/>
        <item x="196"/>
        <item x="181"/>
        <item x="175"/>
        <item x="218"/>
        <item x="167"/>
        <item x="226"/>
        <item x="184"/>
        <item sd="0" x="230"/>
        <item x="231"/>
        <item x="208"/>
        <item x="221"/>
        <item sd="0" x="222"/>
        <item x="204"/>
        <item x="228"/>
        <item x="161"/>
        <item sd="0" x="214"/>
        <item x="178"/>
        <item x="171"/>
        <item x="192"/>
        <item x="194"/>
        <item x="237"/>
        <item x="229"/>
        <item x="217"/>
        <item x="206"/>
        <item x="220"/>
        <item x="185"/>
        <item x="180"/>
        <item x="190"/>
        <item x="159"/>
        <item x="177"/>
        <item x="195"/>
        <item x="176"/>
        <item x="188"/>
        <item x="169"/>
        <item x="213"/>
        <item x="212"/>
        <item x="223"/>
        <item x="172"/>
        <item x="203"/>
        <item x="216"/>
        <item x="191"/>
        <item x="224"/>
        <item x="183"/>
        <item x="207"/>
        <item x="225"/>
        <item x="219"/>
        <item x="164"/>
        <item x="234"/>
        <item x="158"/>
        <item x="200"/>
        <item x="163"/>
        <item x="165"/>
        <item x="173"/>
        <item x="202"/>
        <item x="197"/>
        <item x="209"/>
        <item x="9"/>
        <item x="42"/>
        <item x="19"/>
        <item x="3"/>
        <item x="20"/>
        <item x="30"/>
        <item x="8"/>
        <item x="38"/>
        <item x="39"/>
        <item sd="0" x="43"/>
        <item x="7"/>
        <item x="17"/>
        <item x="44"/>
        <item x="22"/>
        <item x="5"/>
        <item x="23"/>
        <item x="13"/>
        <item x="28"/>
        <item x="45"/>
        <item x="37"/>
        <item sd="0" x="41"/>
        <item x="18"/>
        <item x="10"/>
        <item x="36"/>
        <item x="35"/>
        <item x="26"/>
        <item x="33"/>
        <item x="27"/>
        <item x="31"/>
        <item x="6"/>
        <item x="16"/>
        <item x="21"/>
        <item x="34"/>
        <item x="1"/>
        <item x="4"/>
        <item x="11"/>
        <item x="29"/>
        <item x="24"/>
        <item x="2"/>
        <item x="0"/>
        <item x="14"/>
        <item x="12"/>
        <item x="25"/>
        <item x="32"/>
        <item x="15"/>
        <item sd="0" x="40"/>
        <item t="default"/>
      </items>
      <autoSortScope>
        <pivotArea dataOnly="0" outline="0" fieldPosition="0">
          <references count="1">
            <reference field="4294967294" count="1" selected="0">
              <x v="0"/>
            </reference>
          </references>
        </pivotArea>
      </autoSortScope>
    </pivotField>
    <pivotField axis="axisRow" showAll="0" sortType="descending">
      <items count="240">
        <item x="47"/>
        <item x="226"/>
        <item x="230"/>
        <item x="182"/>
        <item x="170"/>
        <item x="145"/>
        <item x="135"/>
        <item x="141"/>
        <item x="138"/>
        <item x="137"/>
        <item x="49"/>
        <item x="115"/>
        <item x="156"/>
        <item x="60"/>
        <item x="134"/>
        <item x="79"/>
        <item x="80"/>
        <item x="102"/>
        <item x="95"/>
        <item x="48"/>
        <item x="74"/>
        <item x="191"/>
        <item x="219"/>
        <item x="194"/>
        <item x="232"/>
        <item x="165"/>
        <item x="136"/>
        <item x="120"/>
        <item x="150"/>
        <item x="69"/>
        <item x="157"/>
        <item x="4"/>
        <item x="222"/>
        <item x="68"/>
        <item x="227"/>
        <item x="25"/>
        <item x="142"/>
        <item x="51"/>
        <item x="166"/>
        <item x="84"/>
        <item x="91"/>
        <item x="88"/>
        <item x="90"/>
        <item x="85"/>
        <item x="81"/>
        <item x="99"/>
        <item x="154"/>
        <item x="105"/>
        <item x="174"/>
        <item x="109"/>
        <item x="185"/>
        <item x="123"/>
        <item x="130"/>
        <item x="124"/>
        <item x="126"/>
        <item x="117"/>
        <item x="116"/>
        <item x="122"/>
        <item x="18"/>
        <item x="186"/>
        <item x="8"/>
        <item x="29"/>
        <item x="42"/>
        <item x="23"/>
        <item x="9"/>
        <item x="43"/>
        <item x="31"/>
        <item x="5"/>
        <item x="34"/>
        <item x="1"/>
        <item x="6"/>
        <item x="7"/>
        <item x="32"/>
        <item x="17"/>
        <item x="14"/>
        <item x="16"/>
        <item x="27"/>
        <item x="3"/>
        <item x="20"/>
        <item x="39"/>
        <item x="0"/>
        <item x="179"/>
        <item x="78"/>
        <item x="155"/>
        <item x="151"/>
        <item x="70"/>
        <item x="196"/>
        <item x="72"/>
        <item x="215"/>
        <item x="202"/>
        <item x="184"/>
        <item x="229"/>
        <item x="236"/>
        <item x="22"/>
        <item x="199"/>
        <item x="12"/>
        <item x="15"/>
        <item x="64"/>
        <item x="192"/>
        <item x="177"/>
        <item x="181"/>
        <item x="176"/>
        <item x="188"/>
        <item x="190"/>
        <item x="213"/>
        <item x="212"/>
        <item x="223"/>
        <item x="169"/>
        <item x="195"/>
        <item x="217"/>
        <item x="216"/>
        <item x="221"/>
        <item x="204"/>
        <item x="234"/>
        <item x="220"/>
        <item x="207"/>
        <item x="237"/>
        <item x="164"/>
        <item x="209"/>
        <item x="228"/>
        <item x="208"/>
        <item x="189"/>
        <item x="197"/>
        <item x="158"/>
        <item x="225"/>
        <item x="231"/>
        <item x="214"/>
        <item x="178"/>
        <item x="159"/>
        <item x="131"/>
        <item x="187"/>
        <item x="180"/>
        <item x="28"/>
        <item x="73"/>
        <item x="26"/>
        <item x="66"/>
        <item x="200"/>
        <item x="218"/>
        <item x="111"/>
        <item x="128"/>
        <item x="76"/>
        <item x="65"/>
        <item x="238"/>
        <item x="224"/>
        <item x="119"/>
        <item x="149"/>
        <item x="183"/>
        <item x="41"/>
        <item x="172"/>
        <item x="19"/>
        <item x="33"/>
        <item x="162"/>
        <item x="11"/>
        <item x="167"/>
        <item x="57"/>
        <item x="133"/>
        <item x="118"/>
        <item x="55"/>
        <item x="63"/>
        <item x="52"/>
        <item x="59"/>
        <item x="50"/>
        <item x="53"/>
        <item x="58"/>
        <item x="56"/>
        <item x="46"/>
        <item x="44"/>
        <item x="140"/>
        <item x="125"/>
        <item x="30"/>
        <item x="21"/>
        <item x="161"/>
        <item x="233"/>
        <item x="210"/>
        <item x="168"/>
        <item x="36"/>
        <item x="108"/>
        <item x="94"/>
        <item x="35"/>
        <item x="83"/>
        <item x="211"/>
        <item x="146"/>
        <item x="107"/>
        <item x="82"/>
        <item x="89"/>
        <item x="113"/>
        <item x="93"/>
        <item x="54"/>
        <item x="175"/>
        <item x="2"/>
        <item x="206"/>
        <item x="103"/>
        <item x="205"/>
        <item x="152"/>
        <item x="61"/>
        <item x="75"/>
        <item x="45"/>
        <item x="201"/>
        <item x="98"/>
        <item x="92"/>
        <item x="235"/>
        <item x="193"/>
        <item x="153"/>
        <item x="110"/>
        <item x="147"/>
        <item x="127"/>
        <item x="106"/>
        <item x="100"/>
        <item x="139"/>
        <item x="112"/>
        <item x="144"/>
        <item x="129"/>
        <item x="87"/>
        <item x="67"/>
        <item x="86"/>
        <item x="104"/>
        <item x="163"/>
        <item x="13"/>
        <item x="24"/>
        <item x="203"/>
        <item x="10"/>
        <item x="173"/>
        <item x="97"/>
        <item x="101"/>
        <item x="114"/>
        <item x="96"/>
        <item x="62"/>
        <item x="160"/>
        <item x="143"/>
        <item x="38"/>
        <item x="37"/>
        <item x="40"/>
        <item x="132"/>
        <item x="121"/>
        <item x="71"/>
        <item x="171"/>
        <item x="198"/>
        <item x="148"/>
        <item x="77"/>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pivotField showAll="0"/>
    <pivotField showAll="0"/>
    <pivotField numFmtId="2" showAll="0"/>
    <pivotField dataField="1" showAll="0"/>
    <pivotField showAll="0"/>
  </pivotFields>
  <rowFields count="2">
    <field x="0"/>
    <field x="1"/>
  </rowFields>
  <rowItems count="10">
    <i>
      <x v="238"/>
    </i>
    <i>
      <x v="202"/>
    </i>
    <i>
      <x v="144"/>
    </i>
    <i>
      <x v="152"/>
    </i>
    <i>
      <x v="213"/>
    </i>
    <i>
      <x v="136"/>
    </i>
    <i>
      <x v="71"/>
    </i>
    <i>
      <x v="148"/>
    </i>
    <i>
      <x v="17"/>
    </i>
    <i>
      <x v="83"/>
    </i>
  </rowItems>
  <colItems count="1">
    <i/>
  </colItems>
  <dataFields count="1">
    <dataField name=" Annual growth in import (2021-2025) (%)" fld="8" subtotal="average" baseField="0" baseItem="0"/>
  </dataFields>
  <formats count="7">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outline="0" axis="axisValues" fieldPosition="0"/>
    </format>
    <format dxfId="25">
      <pivotArea dataOnly="0" labelOnly="1" fieldPosition="0">
        <references count="1">
          <reference field="0" count="10">
            <x v="17"/>
            <x v="71"/>
            <x v="83"/>
            <x v="136"/>
            <x v="144"/>
            <x v="148"/>
            <x v="152"/>
            <x v="202"/>
            <x v="213"/>
            <x v="238"/>
          </reference>
        </references>
      </pivotArea>
    </format>
    <format dxfId="24">
      <pivotArea dataOnly="0" labelOnly="1" grandRow="1" outline="0" fieldPosition="0"/>
    </format>
    <format dxfId="23">
      <pivotArea dataOnly="0" labelOnly="1" outline="0" axis="axisValues" fieldPosition="0"/>
    </format>
  </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1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B9:C19" firstHeaderRow="1" firstDataRow="1" firstDataCol="1"/>
  <pivotFields count="10">
    <pivotField axis="axisRow" showAll="0" measureFilter="1" sortType="descending">
      <items count="235">
        <item x="67"/>
        <item x="61"/>
        <item sd="0" x="55"/>
        <item x="47"/>
        <item x="63"/>
        <item x="65"/>
        <item x="51"/>
        <item x="53"/>
        <item x="62"/>
        <item x="58"/>
        <item x="48"/>
        <item x="60"/>
        <item x="57"/>
        <item x="54"/>
        <item sd="0" x="66"/>
        <item x="52"/>
        <item x="68"/>
        <item x="64"/>
        <item x="49"/>
        <item x="56"/>
        <item x="69"/>
        <item x="50"/>
        <item x="59"/>
        <item x="70"/>
        <item x="46"/>
        <item x="78"/>
        <item x="71"/>
        <item x="77"/>
        <item x="76"/>
        <item x="79"/>
        <item x="73"/>
        <item x="80"/>
        <item x="81"/>
        <item x="75"/>
        <item x="72"/>
        <item x="74"/>
        <item x="83"/>
        <item x="85"/>
        <item x="84"/>
        <item x="87"/>
        <item x="82"/>
        <item x="90"/>
        <item x="86"/>
        <item x="88"/>
        <item x="89"/>
        <item x="99"/>
        <item x="106"/>
        <item x="101"/>
        <item x="103"/>
        <item x="96"/>
        <item x="92"/>
        <item x="105"/>
        <item x="95"/>
        <item x="109"/>
        <item x="107"/>
        <item x="100"/>
        <item x="111"/>
        <item x="108"/>
        <item x="98"/>
        <item x="104"/>
        <item x="97"/>
        <item x="102"/>
        <item x="94"/>
        <item x="110"/>
        <item x="93"/>
        <item x="91"/>
        <item x="118"/>
        <item x="114"/>
        <item x="112"/>
        <item sd="0" x="116"/>
        <item x="120"/>
        <item x="115"/>
        <item x="121"/>
        <item x="124"/>
        <item x="122"/>
        <item sd="0" x="117"/>
        <item x="125"/>
        <item x="123"/>
        <item x="119"/>
        <item x="113"/>
        <item x="126"/>
        <item sd="0" x="129"/>
        <item x="131"/>
        <item x="134"/>
        <item x="135"/>
        <item x="130"/>
        <item x="128"/>
        <item x="137"/>
        <item x="136"/>
        <item x="133"/>
        <item x="138"/>
        <item x="139"/>
        <item x="132"/>
        <item x="127"/>
        <item x="140"/>
        <item x="141"/>
        <item x="149"/>
        <item x="145"/>
        <item x="142"/>
        <item x="143"/>
        <item x="148"/>
        <item x="146"/>
        <item x="147"/>
        <item x="144"/>
        <item x="226"/>
        <item x="214"/>
        <item x="222"/>
        <item x="213"/>
        <item x="201"/>
        <item x="157"/>
        <item x="192"/>
        <item x="155"/>
        <item x="151"/>
        <item x="169"/>
        <item x="150"/>
        <item x="168"/>
        <item x="152"/>
        <item x="162"/>
        <item x="172"/>
        <item x="198"/>
        <item x="194"/>
        <item x="184"/>
        <item x="171"/>
        <item x="186"/>
        <item x="158"/>
        <item x="180"/>
        <item x="196"/>
        <item x="193"/>
        <item x="195"/>
        <item x="206"/>
        <item x="217"/>
        <item x="173"/>
        <item x="187"/>
        <item x="208"/>
        <item x="156"/>
        <item x="209"/>
        <item sd="0" x="205"/>
        <item x="207"/>
        <item x="218"/>
        <item x="200"/>
        <item x="179"/>
        <item x="204"/>
        <item x="230"/>
        <item x="190"/>
        <item x="215"/>
        <item x="167"/>
        <item x="231"/>
        <item sd="0" x="181"/>
        <item x="223"/>
        <item x="227"/>
        <item x="178"/>
        <item x="232"/>
        <item x="219"/>
        <item x="210"/>
        <item x="220"/>
        <item x="188"/>
        <item x="185"/>
        <item x="183"/>
        <item x="202"/>
        <item x="211"/>
        <item x="216"/>
        <item x="212"/>
        <item x="203"/>
        <item x="197"/>
        <item x="228"/>
        <item x="221"/>
        <item x="182"/>
        <item x="170"/>
        <item x="191"/>
        <item x="199"/>
        <item x="224"/>
        <item x="175"/>
        <item x="189"/>
        <item x="165"/>
        <item x="166"/>
        <item x="174"/>
        <item x="225"/>
        <item x="154"/>
        <item x="229"/>
        <item x="164"/>
        <item x="161"/>
        <item x="153"/>
        <item x="159"/>
        <item x="160"/>
        <item x="176"/>
        <item x="163"/>
        <item x="177"/>
        <item x="10"/>
        <item x="14"/>
        <item x="12"/>
        <item x="2"/>
        <item x="21"/>
        <item x="42"/>
        <item x="4"/>
        <item x="38"/>
        <item x="40"/>
        <item x="41"/>
        <item x="3"/>
        <item x="11"/>
        <item x="45"/>
        <item x="27"/>
        <item x="31"/>
        <item x="25"/>
        <item x="0"/>
        <item x="22"/>
        <item x="44"/>
        <item x="39"/>
        <item x="43"/>
        <item x="18"/>
        <item sd="0" x="6"/>
        <item x="34"/>
        <item sd="0" x="5"/>
        <item x="24"/>
        <item x="33"/>
        <item x="32"/>
        <item x="29"/>
        <item x="28"/>
        <item x="20"/>
        <item x="26"/>
        <item x="35"/>
        <item x="9"/>
        <item x="8"/>
        <item x="13"/>
        <item x="37"/>
        <item x="30"/>
        <item x="17"/>
        <item x="15"/>
        <item x="19"/>
        <item x="1"/>
        <item x="7"/>
        <item x="16"/>
        <item x="36"/>
        <item sd="0" x="23"/>
        <item x="233"/>
        <item t="default"/>
      </items>
      <autoSortScope>
        <pivotArea dataOnly="0" outline="0" fieldPosition="0">
          <references count="1">
            <reference field="4294967294" count="1" selected="0">
              <x v="0"/>
            </reference>
          </references>
        </pivotArea>
      </autoSortScope>
    </pivotField>
    <pivotField axis="axisRow" showAll="0" sortType="descending">
      <items count="235">
        <item x="65"/>
        <item x="209"/>
        <item x="218"/>
        <item x="172"/>
        <item x="162"/>
        <item x="138"/>
        <item x="128"/>
        <item x="137"/>
        <item x="135"/>
        <item x="62"/>
        <item x="111"/>
        <item x="149"/>
        <item x="50"/>
        <item x="127"/>
        <item x="93"/>
        <item x="91"/>
        <item x="81"/>
        <item x="46"/>
        <item x="74"/>
        <item x="175"/>
        <item x="225"/>
        <item x="178"/>
        <item x="213"/>
        <item x="159"/>
        <item x="134"/>
        <item x="120"/>
        <item x="141"/>
        <item x="69"/>
        <item x="142"/>
        <item x="8"/>
        <item x="230"/>
        <item x="70"/>
        <item x="224"/>
        <item x="186"/>
        <item x="7"/>
        <item x="133"/>
        <item x="60"/>
        <item x="222"/>
        <item x="158"/>
        <item x="89"/>
        <item x="84"/>
        <item x="82"/>
        <item x="87"/>
        <item x="100"/>
        <item x="148"/>
        <item x="155"/>
        <item x="109"/>
        <item x="188"/>
        <item x="124"/>
        <item x="117"/>
        <item x="122"/>
        <item x="115"/>
        <item x="114"/>
        <item x="118"/>
        <item x="18"/>
        <item x="180"/>
        <item x="4"/>
        <item x="37"/>
        <item x="14"/>
        <item x="25"/>
        <item x="10"/>
        <item x="41"/>
        <item x="29"/>
        <item x="31"/>
        <item x="35"/>
        <item x="9"/>
        <item x="28"/>
        <item x="3"/>
        <item x="16"/>
        <item x="11"/>
        <item x="19"/>
        <item x="20"/>
        <item x="32"/>
        <item x="2"/>
        <item x="21"/>
        <item x="40"/>
        <item x="15"/>
        <item x="168"/>
        <item x="145"/>
        <item x="143"/>
        <item x="68"/>
        <item x="217"/>
        <item x="75"/>
        <item x="198"/>
        <item x="176"/>
        <item x="205"/>
        <item x="219"/>
        <item x="169"/>
        <item x="27"/>
        <item x="194"/>
        <item x="1"/>
        <item x="36"/>
        <item x="54"/>
        <item x="227"/>
        <item x="211"/>
        <item x="173"/>
        <item x="212"/>
        <item x="203"/>
        <item x="183"/>
        <item x="228"/>
        <item x="221"/>
        <item x="182"/>
        <item x="197"/>
        <item x="216"/>
        <item x="210"/>
        <item x="199"/>
        <item x="204"/>
        <item x="190"/>
        <item x="229"/>
        <item x="233"/>
        <item x="166"/>
        <item x="232"/>
        <item x="154"/>
        <item x="177"/>
        <item x="215"/>
        <item x="179"/>
        <item x="171"/>
        <item x="163"/>
        <item x="164"/>
        <item x="174"/>
        <item x="200"/>
        <item x="231"/>
        <item x="181"/>
        <item x="202"/>
        <item x="193"/>
        <item x="185"/>
        <item x="22"/>
        <item x="207"/>
        <item x="76"/>
        <item x="24"/>
        <item x="66"/>
        <item x="71"/>
        <item x="161"/>
        <item x="208"/>
        <item x="108"/>
        <item x="123"/>
        <item x="79"/>
        <item x="57"/>
        <item x="226"/>
        <item x="189"/>
        <item x="113"/>
        <item x="140"/>
        <item x="80"/>
        <item x="165"/>
        <item x="43"/>
        <item x="170"/>
        <item x="12"/>
        <item x="33"/>
        <item x="151"/>
        <item x="13"/>
        <item x="156"/>
        <item x="48"/>
        <item x="130"/>
        <item x="121"/>
        <item x="49"/>
        <item x="56"/>
        <item x="51"/>
        <item x="53"/>
        <item x="67"/>
        <item x="61"/>
        <item x="55"/>
        <item x="63"/>
        <item x="47"/>
        <item x="45"/>
        <item x="131"/>
        <item x="116"/>
        <item x="42"/>
        <item x="26"/>
        <item x="167"/>
        <item x="201"/>
        <item x="195"/>
        <item x="152"/>
        <item x="34"/>
        <item x="106"/>
        <item x="5"/>
        <item x="83"/>
        <item x="184"/>
        <item x="105"/>
        <item x="85"/>
        <item x="110"/>
        <item x="98"/>
        <item x="64"/>
        <item x="187"/>
        <item x="17"/>
        <item x="78"/>
        <item x="220"/>
        <item x="104"/>
        <item x="99"/>
        <item x="206"/>
        <item x="147"/>
        <item x="58"/>
        <item x="73"/>
        <item x="44"/>
        <item x="192"/>
        <item x="97"/>
        <item x="88"/>
        <item x="214"/>
        <item x="157"/>
        <item x="146"/>
        <item x="102"/>
        <item x="139"/>
        <item x="125"/>
        <item x="107"/>
        <item x="92"/>
        <item x="136"/>
        <item x="94"/>
        <item x="132"/>
        <item x="119"/>
        <item x="86"/>
        <item x="59"/>
        <item x="90"/>
        <item x="95"/>
        <item x="153"/>
        <item x="0"/>
        <item x="30"/>
        <item x="191"/>
        <item x="6"/>
        <item x="160"/>
        <item x="96"/>
        <item x="103"/>
        <item x="101"/>
        <item x="52"/>
        <item x="150"/>
        <item x="126"/>
        <item x="38"/>
        <item x="39"/>
        <item x="23"/>
        <item x="129"/>
        <item x="112"/>
        <item x="223"/>
        <item x="196"/>
        <item x="144"/>
        <item x="72"/>
        <item x="77"/>
        <item t="default"/>
      </items>
      <autoSortScope>
        <pivotArea dataOnly="0" outline="0" fieldPosition="0">
          <references count="1">
            <reference field="4294967294" count="1" selected="0">
              <x v="0"/>
            </reference>
          </references>
        </pivotArea>
      </autoSortScope>
    </pivotField>
    <pivotField numFmtId="2" showAll="0"/>
    <pivotField numFmtId="1" showAll="0"/>
    <pivotField showAll="0"/>
    <pivotField showAll="0"/>
    <pivotField showAll="0"/>
    <pivotField numFmtId="2" showAll="0"/>
    <pivotField dataField="1" showAll="0"/>
    <pivotField showAll="0"/>
  </pivotFields>
  <rowFields count="2">
    <field x="0"/>
    <field x="1"/>
  </rowFields>
  <rowItems count="10">
    <i>
      <x v="81"/>
    </i>
    <i>
      <x v="211"/>
    </i>
    <i>
      <x v="136"/>
    </i>
    <i>
      <x v="2"/>
    </i>
    <i>
      <x v="232"/>
    </i>
    <i>
      <x v="147"/>
    </i>
    <i>
      <x v="209"/>
    </i>
    <i>
      <x v="69"/>
    </i>
    <i>
      <x v="14"/>
    </i>
    <i>
      <x v="75"/>
    </i>
  </rowItems>
  <colItems count="1">
    <i/>
  </colItems>
  <dataFields count="1">
    <dataField name="Annual growth in export (2021-2025) (%" fld="8" subtotal="average" baseField="1" baseItem="124"/>
  </dataFields>
  <formats count="7">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outline="0" axis="axisValues" fieldPosition="0"/>
    </format>
    <format dxfId="18">
      <pivotArea dataOnly="0" labelOnly="1" fieldPosition="0">
        <references count="1">
          <reference field="0" count="10">
            <x v="2"/>
            <x v="14"/>
            <x v="69"/>
            <x v="75"/>
            <x v="81"/>
            <x v="136"/>
            <x v="147"/>
            <x v="209"/>
            <x v="211"/>
            <x v="232"/>
          </reference>
        </references>
      </pivotArea>
    </format>
    <format dxfId="17">
      <pivotArea dataOnly="0" labelOnly="1" grandRow="1" outline="0" fieldPosition="0"/>
    </format>
    <format dxfId="16">
      <pivotArea dataOnly="0" labelOnly="1" outline="0" axis="axisValues" fieldPosition="0"/>
    </format>
  </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2" name="Table12" displayName="Table12" ref="A1:M259" totalsRowShown="0" headerRowDxfId="2269" dataDxfId="2268" tableBorderDxfId="2267">
  <autoFilter ref="A1:M259"/>
  <tableColumns count="13">
    <tableColumn id="1" name="HS6 Code" dataDxfId="2266"/>
    <tableColumn id="2" name="Product Description" dataDxfId="2265"/>
    <tableColumn id="3" name="2016" dataDxfId="2264"/>
    <tableColumn id="4" name="2017" dataDxfId="2263"/>
    <tableColumn id="5" name="2018" dataDxfId="2262"/>
    <tableColumn id="6" name="2019" dataDxfId="2261"/>
    <tableColumn id="7" name="2020" dataDxfId="2260"/>
    <tableColumn id="8" name="2021" dataDxfId="2259"/>
    <tableColumn id="9" name="2022" dataDxfId="2258"/>
    <tableColumn id="10" name="2023" dataDxfId="2257"/>
    <tableColumn id="11" name="2024" dataDxfId="2256"/>
    <tableColumn id="12" name="2025" dataDxfId="2255"/>
    <tableColumn id="13" name="Product Category" dataDxfId="14">
      <calculatedColumnFormula>VLOOKUP(A2,Product_Mapping!$B:$D,3,FALSE)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3" name="Table13" displayName="Table13" ref="A1:M254" totalsRowShown="0" headerRowDxfId="2254" dataDxfId="2253" tableBorderDxfId="2252">
  <autoFilter ref="A1:M254"/>
  <tableColumns count="13">
    <tableColumn id="1" name="HS6 Code" dataDxfId="2251"/>
    <tableColumn id="2" name="Product Description" dataDxfId="2250"/>
    <tableColumn id="3" name="2016" dataDxfId="2249"/>
    <tableColumn id="4" name="2017" dataDxfId="2248"/>
    <tableColumn id="5" name="2018" dataDxfId="2247"/>
    <tableColumn id="6" name="2019" dataDxfId="2246"/>
    <tableColumn id="7" name="2020" dataDxfId="2245"/>
    <tableColumn id="8" name="2021" dataDxfId="2244"/>
    <tableColumn id="9" name="2022" dataDxfId="2243"/>
    <tableColumn id="10" name="2023" dataDxfId="2242"/>
    <tableColumn id="11" name="2024" dataDxfId="2241"/>
    <tableColumn id="12" name="2025" dataDxfId="2240"/>
    <tableColumn id="13" name="Product Category" dataDxfId="15">
      <calculatedColumnFormula>VLOOKUP(A2,Product_Mapping!$B:$D,3,FALSE)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6" name="Table6" displayName="Table6" ref="A1:J240" totalsRowShown="0" headerRowDxfId="2239" dataDxfId="2238" tableBorderDxfId="2237">
  <autoFilter ref="A1:J240"/>
  <tableColumns count="10">
    <tableColumn id="1" name="HS6 Code" dataDxfId="2236"/>
    <tableColumn id="2" name="Product Descripton" dataDxfId="2235"/>
    <tableColumn id="3" name="Import Value (USD Thousands)" dataDxfId="2234"/>
    <tableColumn id="4" name="Quantity" dataDxfId="2233"/>
    <tableColumn id="5" name="Units" dataDxfId="2232"/>
    <tableColumn id="6" name="Unit Valure" dataDxfId="2231"/>
    <tableColumn id="7" name="Units2" dataDxfId="2230"/>
    <tableColumn id="8" name="Share in India's imports (%)" dataDxfId="2229" dataCellStyle="Percent"/>
    <tableColumn id="9" name="Annual growth in import (2021-2025) (%)" dataDxfId="2228"/>
    <tableColumn id="10" name="Annual growth in quantity (2021-2025)" dataDxfId="2227"/>
  </tableColumns>
  <tableStyleInfo name="TableStyleMedium2" showFirstColumn="0" showLastColumn="0" showRowStripes="1" showColumnStripes="0"/>
</table>
</file>

<file path=xl/tables/table4.xml><?xml version="1.0" encoding="utf-8"?>
<table xmlns="http://schemas.openxmlformats.org/spreadsheetml/2006/main" id="5" name="Table5" displayName="Table5" ref="A1:J235" totalsRowShown="0" headerRowDxfId="2226" headerRowBorderDxfId="2225" tableBorderDxfId="2224" totalsRowBorderDxfId="2223">
  <autoFilter ref="A1:J235"/>
  <tableColumns count="10">
    <tableColumn id="1" name="HS6 code" dataDxfId="2222"/>
    <tableColumn id="2" name="Product Description" dataDxfId="2221"/>
    <tableColumn id="3" name="Export Value (USD Thousands)" dataDxfId="2220"/>
    <tableColumn id="4" name="Quantity" dataDxfId="2219"/>
    <tableColumn id="5" name="Units" dataDxfId="2218"/>
    <tableColumn id="6" name="Unit Value" dataDxfId="2217"/>
    <tableColumn id="7" name="Units2" dataDxfId="2216"/>
    <tableColumn id="8" name="Share in India's exports (%)" dataDxfId="2215"/>
    <tableColumn id="9" name="Annual growth in export (2021-2025) (%)" dataDxfId="2214"/>
    <tableColumn id="10" name="Annual growth in quantity (2021-2025)" dataDxfId="2213"/>
  </tableColumns>
  <tableStyleInfo name="TableStyleMedium2" showFirstColumn="0" showLastColumn="0" showRowStripes="1" showColumnStripes="0"/>
</table>
</file>

<file path=xl/tables/table5.xml><?xml version="1.0" encoding="utf-8"?>
<table xmlns="http://schemas.openxmlformats.org/spreadsheetml/2006/main" id="14" name="Table14" displayName="Table14" ref="A1:E259" totalsRowShown="0" headerRowDxfId="2212" dataDxfId="2211">
  <autoFilter ref="A1:E259"/>
  <tableColumns count="5">
    <tableColumn id="1" name="HS Chapter" dataDxfId="2210"/>
    <tableColumn id="2" name="HS6 Code" dataDxfId="2209"/>
    <tableColumn id="3" name="Product Description" dataDxfId="2208"/>
    <tableColumn id="4" name="Product Category" dataDxfId="2207">
      <calculatedColumnFormula>VLOOKUP(A2,[1]HS_Category_Map!$A$2:$B$10,2,FALSE)</calculatedColumnFormula>
    </tableColumn>
    <tableColumn id="5" name="Business Function" dataDxfId="2206">
      <calculatedColumnFormula>VLOOKUP(D2,[1]Category_Function_Map!$A$2:$C$7,2,FALSE)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id="8" name="Table8" displayName="Table8" ref="B32:D36" totalsRowShown="0" headerRowDxfId="2205" dataDxfId="2203" headerRowBorderDxfId="2204" tableBorderDxfId="2202" totalsRowBorderDxfId="2201">
  <tableColumns count="3">
    <tableColumn id="1" name="Metric" dataDxfId="2200"/>
    <tableColumn id="2" name="Imports" dataDxfId="2199"/>
    <tableColumn id="3" name="Exports" dataDxfId="2198"/>
  </tableColumns>
  <tableStyleInfo name="TableStyleMedium6" showFirstColumn="0" showLastColumn="0" showRowStripes="1" showColumnStripes="0"/>
</table>
</file>

<file path=xl/tables/table7.xml><?xml version="1.0" encoding="utf-8"?>
<table xmlns="http://schemas.openxmlformats.org/spreadsheetml/2006/main" id="9" name="Table9" displayName="Table9" ref="B9:E18" totalsRowShown="0" headerRowDxfId="2197" dataDxfId="2195" headerRowBorderDxfId="2196" tableBorderDxfId="2194" totalsRowBorderDxfId="2193">
  <tableColumns count="4">
    <tableColumn id="1" name="Year" dataDxfId="2192"/>
    <tableColumn id="2" name="Imports" dataDxfId="2191"/>
    <tableColumn id="3" name="Exports" dataDxfId="2190"/>
    <tableColumn id="4" name="Trade Balance" dataDxfId="2189">
      <calculatedColumnFormula>D10-C10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9"/>
  <sheetViews>
    <sheetView workbookViewId="0">
      <selection activeCell="M3" sqref="M3"/>
    </sheetView>
  </sheetViews>
  <sheetFormatPr defaultRowHeight="14.4" x14ac:dyDescent="0.3"/>
  <cols>
    <col min="1" max="1" width="12.44140625" style="2" customWidth="1"/>
    <col min="2" max="2" width="22.109375" style="56" customWidth="1"/>
    <col min="3" max="12" width="9.88671875" style="3" bestFit="1" customWidth="1"/>
    <col min="13" max="13" width="16.5546875" customWidth="1"/>
  </cols>
  <sheetData>
    <row r="1" spans="1:13" ht="27.6" x14ac:dyDescent="0.3">
      <c r="A1" s="117" t="s">
        <v>273</v>
      </c>
      <c r="B1" s="118" t="s">
        <v>272</v>
      </c>
      <c r="C1" s="119" t="s">
        <v>262</v>
      </c>
      <c r="D1" s="119" t="s">
        <v>263</v>
      </c>
      <c r="E1" s="119" t="s">
        <v>264</v>
      </c>
      <c r="F1" s="119" t="s">
        <v>265</v>
      </c>
      <c r="G1" s="119" t="s">
        <v>266</v>
      </c>
      <c r="H1" s="119" t="s">
        <v>267</v>
      </c>
      <c r="I1" s="119" t="s">
        <v>268</v>
      </c>
      <c r="J1" s="119" t="s">
        <v>269</v>
      </c>
      <c r="K1" s="119" t="s">
        <v>270</v>
      </c>
      <c r="L1" s="119" t="s">
        <v>271</v>
      </c>
      <c r="M1" s="120" t="s">
        <v>683</v>
      </c>
    </row>
    <row r="2" spans="1:13" x14ac:dyDescent="0.3">
      <c r="A2" s="116">
        <v>8542</v>
      </c>
      <c r="B2" s="114" t="s">
        <v>0</v>
      </c>
      <c r="C2" s="115">
        <v>92.55</v>
      </c>
      <c r="D2" s="115">
        <v>123.06</v>
      </c>
      <c r="E2" s="115">
        <v>101.01</v>
      </c>
      <c r="F2" s="115">
        <v>97.75</v>
      </c>
      <c r="G2" s="115">
        <v>100.71</v>
      </c>
      <c r="H2" s="115">
        <v>151.05000000000001</v>
      </c>
      <c r="I2" s="115">
        <v>215.05</v>
      </c>
      <c r="J2" s="115">
        <v>313.52</v>
      </c>
      <c r="K2" s="115">
        <v>420.33</v>
      </c>
      <c r="L2" s="115">
        <v>445.84</v>
      </c>
      <c r="M2" s="115" t="str">
        <f>VLOOKUP(A2,Product_Mapping!$B:$D,3,FALSE)</f>
        <v>Electrical</v>
      </c>
    </row>
    <row r="3" spans="1:13" x14ac:dyDescent="0.3">
      <c r="A3" s="116">
        <v>8536</v>
      </c>
      <c r="B3" s="114" t="s">
        <v>1</v>
      </c>
      <c r="C3" s="115">
        <v>115.76</v>
      </c>
      <c r="D3" s="115">
        <v>129.6</v>
      </c>
      <c r="E3" s="115">
        <v>131.68</v>
      </c>
      <c r="F3" s="115">
        <v>108.33</v>
      </c>
      <c r="G3" s="115">
        <v>108.49</v>
      </c>
      <c r="H3" s="115">
        <v>154.6</v>
      </c>
      <c r="I3" s="115">
        <v>184.61</v>
      </c>
      <c r="J3" s="115">
        <v>194.14</v>
      </c>
      <c r="K3" s="115">
        <v>192.44</v>
      </c>
      <c r="L3" s="115">
        <v>247.91</v>
      </c>
      <c r="M3" s="115" t="str">
        <f>VLOOKUP(A3,Product_Mapping!$B:$D,3,FALSE)</f>
        <v>Electrical</v>
      </c>
    </row>
    <row r="4" spans="1:13" x14ac:dyDescent="0.3">
      <c r="A4" s="116">
        <v>8541</v>
      </c>
      <c r="B4" s="114" t="s">
        <v>2</v>
      </c>
      <c r="C4" s="115">
        <v>137.75</v>
      </c>
      <c r="D4" s="115">
        <v>112.73</v>
      </c>
      <c r="E4" s="115">
        <v>93.91</v>
      </c>
      <c r="F4" s="115">
        <v>114.07</v>
      </c>
      <c r="G4" s="115">
        <v>98.8</v>
      </c>
      <c r="H4" s="115">
        <v>111.71</v>
      </c>
      <c r="I4" s="115">
        <v>158.28</v>
      </c>
      <c r="J4" s="115">
        <v>222.86</v>
      </c>
      <c r="K4" s="115">
        <v>184.92</v>
      </c>
      <c r="L4" s="115">
        <v>219.5</v>
      </c>
      <c r="M4" s="115" t="str">
        <f>VLOOKUP(A4,Product_Mapping!$B:$D,3,FALSE)</f>
        <v>Electrical</v>
      </c>
    </row>
    <row r="5" spans="1:13" x14ac:dyDescent="0.3">
      <c r="A5" s="116">
        <v>8504</v>
      </c>
      <c r="B5" s="114" t="s">
        <v>3</v>
      </c>
      <c r="C5" s="115">
        <v>59.42</v>
      </c>
      <c r="D5" s="115">
        <v>80.12</v>
      </c>
      <c r="E5" s="115">
        <v>87.57</v>
      </c>
      <c r="F5" s="115">
        <v>95.71</v>
      </c>
      <c r="G5" s="115">
        <v>60.61</v>
      </c>
      <c r="H5" s="115">
        <v>90.03</v>
      </c>
      <c r="I5" s="115">
        <v>84.43</v>
      </c>
      <c r="J5" s="115">
        <v>111.37</v>
      </c>
      <c r="K5" s="115">
        <v>94.92</v>
      </c>
      <c r="L5" s="115">
        <v>158.44999999999999</v>
      </c>
      <c r="M5" s="115" t="str">
        <f>VLOOKUP(A5,Product_Mapping!$B:$D,3,FALSE)</f>
        <v>Electrical</v>
      </c>
    </row>
    <row r="6" spans="1:13" x14ac:dyDescent="0.3">
      <c r="A6" s="116">
        <v>8537</v>
      </c>
      <c r="B6" s="114" t="s">
        <v>4</v>
      </c>
      <c r="C6" s="115">
        <v>71</v>
      </c>
      <c r="D6" s="115">
        <v>72.790000000000006</v>
      </c>
      <c r="E6" s="115">
        <v>105.87</v>
      </c>
      <c r="F6" s="115">
        <v>74.02</v>
      </c>
      <c r="G6" s="115">
        <v>55.23</v>
      </c>
      <c r="H6" s="115">
        <v>114.25</v>
      </c>
      <c r="I6" s="115">
        <v>130.24</v>
      </c>
      <c r="J6" s="115">
        <v>111.94</v>
      </c>
      <c r="K6" s="115">
        <v>115.82</v>
      </c>
      <c r="L6" s="115">
        <v>132.09</v>
      </c>
      <c r="M6" s="115" t="str">
        <f>VLOOKUP(A6,Product_Mapping!$B:$D,3,FALSE)</f>
        <v>Electrical</v>
      </c>
    </row>
    <row r="7" spans="1:13" x14ac:dyDescent="0.3">
      <c r="A7" s="116">
        <v>8515</v>
      </c>
      <c r="B7" s="114" t="s">
        <v>5</v>
      </c>
      <c r="C7" s="115">
        <v>48.79</v>
      </c>
      <c r="D7" s="115">
        <v>33.119999999999997</v>
      </c>
      <c r="E7" s="115">
        <v>41.69</v>
      </c>
      <c r="F7" s="115">
        <v>86.16</v>
      </c>
      <c r="G7" s="115">
        <v>52.85</v>
      </c>
      <c r="H7" s="115">
        <v>70.12</v>
      </c>
      <c r="I7" s="115">
        <v>47.4</v>
      </c>
      <c r="J7" s="115">
        <v>82.1</v>
      </c>
      <c r="K7" s="115">
        <v>104.45</v>
      </c>
      <c r="L7" s="115">
        <v>115.28</v>
      </c>
      <c r="M7" s="115" t="str">
        <f>VLOOKUP(A7,Product_Mapping!$B:$D,3,FALSE)</f>
        <v>Electrical</v>
      </c>
    </row>
    <row r="8" spans="1:13" x14ac:dyDescent="0.3">
      <c r="A8" s="116">
        <v>8532</v>
      </c>
      <c r="B8" s="114" t="s">
        <v>6</v>
      </c>
      <c r="C8" s="115">
        <v>39.22</v>
      </c>
      <c r="D8" s="115">
        <v>38.83</v>
      </c>
      <c r="E8" s="115">
        <v>31.69</v>
      </c>
      <c r="F8" s="115">
        <v>40.29</v>
      </c>
      <c r="G8" s="115">
        <v>29.83</v>
      </c>
      <c r="H8" s="115">
        <v>31.94</v>
      </c>
      <c r="I8" s="115">
        <v>49.54</v>
      </c>
      <c r="J8" s="115">
        <v>62.62</v>
      </c>
      <c r="K8" s="115">
        <v>87.49</v>
      </c>
      <c r="L8" s="115">
        <v>115.1</v>
      </c>
      <c r="M8" s="115" t="str">
        <f>VLOOKUP(A8,Product_Mapping!$B:$D,3,FALSE)</f>
        <v>Electrical</v>
      </c>
    </row>
    <row r="9" spans="1:13" x14ac:dyDescent="0.3">
      <c r="A9" s="116">
        <v>8511</v>
      </c>
      <c r="B9" s="114" t="s">
        <v>7</v>
      </c>
      <c r="C9" s="115">
        <v>42.34</v>
      </c>
      <c r="D9" s="115">
        <v>46.24</v>
      </c>
      <c r="E9" s="115">
        <v>47.24</v>
      </c>
      <c r="F9" s="115">
        <v>33.450000000000003</v>
      </c>
      <c r="G9" s="115">
        <v>24.31</v>
      </c>
      <c r="H9" s="115">
        <v>41.27</v>
      </c>
      <c r="I9" s="115">
        <v>69.78</v>
      </c>
      <c r="J9" s="115">
        <v>85.24</v>
      </c>
      <c r="K9" s="115">
        <v>98.95</v>
      </c>
      <c r="L9" s="115">
        <v>107.02</v>
      </c>
      <c r="M9" s="115" t="str">
        <f>VLOOKUP(A9,Product_Mapping!$B:$D,3,FALSE)</f>
        <v>Electrical</v>
      </c>
    </row>
    <row r="10" spans="1:13" x14ac:dyDescent="0.3">
      <c r="A10" s="116">
        <v>8507</v>
      </c>
      <c r="B10" s="114" t="s">
        <v>8</v>
      </c>
      <c r="C10" s="115">
        <v>25.83</v>
      </c>
      <c r="D10" s="115">
        <v>31.08</v>
      </c>
      <c r="E10" s="115">
        <v>36.380000000000003</v>
      </c>
      <c r="F10" s="115">
        <v>30.89</v>
      </c>
      <c r="G10" s="115">
        <v>31.89</v>
      </c>
      <c r="H10" s="115">
        <v>56.74</v>
      </c>
      <c r="I10" s="115">
        <v>85.42</v>
      </c>
      <c r="J10" s="115">
        <v>86.64</v>
      </c>
      <c r="K10" s="115">
        <v>65.349999999999994</v>
      </c>
      <c r="L10" s="115">
        <v>105.78</v>
      </c>
      <c r="M10" s="115" t="str">
        <f>VLOOKUP(A10,Product_Mapping!$B:$D,3,FALSE)</f>
        <v>Electrical</v>
      </c>
    </row>
    <row r="11" spans="1:13" x14ac:dyDescent="0.3">
      <c r="A11" s="116">
        <v>8501</v>
      </c>
      <c r="B11" s="114" t="s">
        <v>9</v>
      </c>
      <c r="C11" s="115">
        <v>74.47</v>
      </c>
      <c r="D11" s="115">
        <v>104.29</v>
      </c>
      <c r="E11" s="115">
        <v>111.55</v>
      </c>
      <c r="F11" s="115">
        <v>94.32</v>
      </c>
      <c r="G11" s="115">
        <v>47.97</v>
      </c>
      <c r="H11" s="115">
        <v>64.319999999999993</v>
      </c>
      <c r="I11" s="115">
        <v>73.58</v>
      </c>
      <c r="J11" s="115">
        <v>84.01</v>
      </c>
      <c r="K11" s="115">
        <v>74.349999999999994</v>
      </c>
      <c r="L11" s="115">
        <v>79.78</v>
      </c>
      <c r="M11" s="115" t="str">
        <f>VLOOKUP(A11,Product_Mapping!$B:$D,3,FALSE)</f>
        <v>Electrical</v>
      </c>
    </row>
    <row r="12" spans="1:13" x14ac:dyDescent="0.3">
      <c r="A12" s="116">
        <v>8525</v>
      </c>
      <c r="B12" s="114" t="s">
        <v>10</v>
      </c>
      <c r="C12" s="115">
        <v>75.94</v>
      </c>
      <c r="D12" s="115">
        <v>97.92</v>
      </c>
      <c r="E12" s="115">
        <v>84.09</v>
      </c>
      <c r="F12" s="115">
        <v>96.91</v>
      </c>
      <c r="G12" s="115">
        <v>51</v>
      </c>
      <c r="H12" s="115">
        <v>61.5</v>
      </c>
      <c r="I12" s="115">
        <v>79.61</v>
      </c>
      <c r="J12" s="115">
        <v>63.91</v>
      </c>
      <c r="K12" s="115">
        <v>50.55</v>
      </c>
      <c r="L12" s="115">
        <v>76.8</v>
      </c>
      <c r="M12" s="115" t="str">
        <f>VLOOKUP(A12,Product_Mapping!$B:$D,3,FALSE)</f>
        <v>Electrical</v>
      </c>
    </row>
    <row r="13" spans="1:13" x14ac:dyDescent="0.3">
      <c r="A13" s="116">
        <v>8538</v>
      </c>
      <c r="B13" s="114" t="s">
        <v>11</v>
      </c>
      <c r="C13" s="115">
        <v>45.12</v>
      </c>
      <c r="D13" s="115">
        <v>44.06</v>
      </c>
      <c r="E13" s="115">
        <v>50.34</v>
      </c>
      <c r="F13" s="115">
        <v>63.21</v>
      </c>
      <c r="G13" s="115">
        <v>45.5</v>
      </c>
      <c r="H13" s="115">
        <v>57.19</v>
      </c>
      <c r="I13" s="115">
        <v>59.03</v>
      </c>
      <c r="J13" s="115">
        <v>66.87</v>
      </c>
      <c r="K13" s="115">
        <v>59.68</v>
      </c>
      <c r="L13" s="115">
        <v>73.69</v>
      </c>
      <c r="M13" s="115" t="str">
        <f>VLOOKUP(A13,Product_Mapping!$B:$D,3,FALSE)</f>
        <v>Electrical</v>
      </c>
    </row>
    <row r="14" spans="1:13" x14ac:dyDescent="0.3">
      <c r="A14" s="116">
        <v>8544</v>
      </c>
      <c r="B14" s="114" t="s">
        <v>12</v>
      </c>
      <c r="C14" s="115">
        <v>29.58</v>
      </c>
      <c r="D14" s="115">
        <v>29.61</v>
      </c>
      <c r="E14" s="115">
        <v>64.48</v>
      </c>
      <c r="F14" s="115">
        <v>54.73</v>
      </c>
      <c r="G14" s="115">
        <v>27.12</v>
      </c>
      <c r="H14" s="115">
        <v>29.6</v>
      </c>
      <c r="I14" s="115">
        <v>47.86</v>
      </c>
      <c r="J14" s="115">
        <v>50.24</v>
      </c>
      <c r="K14" s="115">
        <v>49.16</v>
      </c>
      <c r="L14" s="115">
        <v>72.37</v>
      </c>
      <c r="M14" s="115" t="str">
        <f>VLOOKUP(A14,Product_Mapping!$B:$D,3,FALSE)</f>
        <v>Electrical</v>
      </c>
    </row>
    <row r="15" spans="1:13" x14ac:dyDescent="0.3">
      <c r="A15" s="116">
        <v>8524</v>
      </c>
      <c r="B15" s="114" t="s">
        <v>13</v>
      </c>
      <c r="C15" s="115">
        <v>0</v>
      </c>
      <c r="D15" s="115">
        <v>0</v>
      </c>
      <c r="E15" s="115">
        <v>0</v>
      </c>
      <c r="F15" s="115">
        <v>0</v>
      </c>
      <c r="G15" s="115">
        <v>0</v>
      </c>
      <c r="H15" s="115">
        <v>0</v>
      </c>
      <c r="I15" s="115">
        <v>25.93</v>
      </c>
      <c r="J15" s="115">
        <v>26.67</v>
      </c>
      <c r="K15" s="115">
        <v>32.21</v>
      </c>
      <c r="L15" s="115">
        <v>65.28</v>
      </c>
      <c r="M15" s="115" t="str">
        <f>VLOOKUP(A15,Product_Mapping!$B:$D,3,FALSE)</f>
        <v>Electrical</v>
      </c>
    </row>
    <row r="16" spans="1:13" x14ac:dyDescent="0.3">
      <c r="A16" s="116">
        <v>8517</v>
      </c>
      <c r="B16" s="114" t="s">
        <v>14</v>
      </c>
      <c r="C16" s="115">
        <v>91.35</v>
      </c>
      <c r="D16" s="115">
        <v>84.82</v>
      </c>
      <c r="E16" s="115">
        <v>118.59</v>
      </c>
      <c r="F16" s="115">
        <v>102.31</v>
      </c>
      <c r="G16" s="115">
        <v>55.96</v>
      </c>
      <c r="H16" s="115">
        <v>44.01</v>
      </c>
      <c r="I16" s="115">
        <v>37.9</v>
      </c>
      <c r="J16" s="115">
        <v>57.93</v>
      </c>
      <c r="K16" s="115">
        <v>54.63</v>
      </c>
      <c r="L16" s="115">
        <v>57.09</v>
      </c>
      <c r="M16" s="115" t="str">
        <f>VLOOKUP(A16,Product_Mapping!$B:$D,3,FALSE)</f>
        <v>Electrical</v>
      </c>
    </row>
    <row r="17" spans="1:13" x14ac:dyDescent="0.3">
      <c r="A17" s="116">
        <v>8547</v>
      </c>
      <c r="B17" s="114" t="s">
        <v>15</v>
      </c>
      <c r="C17" s="115">
        <v>30.11</v>
      </c>
      <c r="D17" s="115">
        <v>33.299999999999997</v>
      </c>
      <c r="E17" s="115">
        <v>34.19</v>
      </c>
      <c r="F17" s="115">
        <v>26.11</v>
      </c>
      <c r="G17" s="115">
        <v>26.74</v>
      </c>
      <c r="H17" s="115">
        <v>40.47</v>
      </c>
      <c r="I17" s="115">
        <v>41.54</v>
      </c>
      <c r="J17" s="115">
        <v>42.63</v>
      </c>
      <c r="K17" s="115">
        <v>47.14</v>
      </c>
      <c r="L17" s="115">
        <v>56.87</v>
      </c>
      <c r="M17" s="115" t="str">
        <f>VLOOKUP(A17,Product_Mapping!$B:$D,3,FALSE)</f>
        <v>Electrical</v>
      </c>
    </row>
    <row r="18" spans="1:13" x14ac:dyDescent="0.3">
      <c r="A18" s="116">
        <v>8543</v>
      </c>
      <c r="B18" s="114" t="s">
        <v>16</v>
      </c>
      <c r="C18" s="115">
        <v>46.86</v>
      </c>
      <c r="D18" s="115">
        <v>29.89</v>
      </c>
      <c r="E18" s="115">
        <v>41.82</v>
      </c>
      <c r="F18" s="115">
        <v>46.15</v>
      </c>
      <c r="G18" s="115">
        <v>25.31</v>
      </c>
      <c r="H18" s="115">
        <v>34.619999999999997</v>
      </c>
      <c r="I18" s="115">
        <v>56.29</v>
      </c>
      <c r="J18" s="115">
        <v>43.24</v>
      </c>
      <c r="K18" s="115">
        <v>43.45</v>
      </c>
      <c r="L18" s="115">
        <v>54.97</v>
      </c>
      <c r="M18" s="115" t="str">
        <f>VLOOKUP(A18,Product_Mapping!$B:$D,3,FALSE)</f>
        <v>Electrical</v>
      </c>
    </row>
    <row r="19" spans="1:13" x14ac:dyDescent="0.3">
      <c r="A19" s="116">
        <v>8533</v>
      </c>
      <c r="B19" s="114" t="s">
        <v>17</v>
      </c>
      <c r="C19" s="115">
        <v>15.61</v>
      </c>
      <c r="D19" s="115">
        <v>18.309999999999999</v>
      </c>
      <c r="E19" s="115">
        <v>27.34</v>
      </c>
      <c r="F19" s="115">
        <v>24.3</v>
      </c>
      <c r="G19" s="115">
        <v>16.21</v>
      </c>
      <c r="H19" s="115">
        <v>17.010000000000002</v>
      </c>
      <c r="I19" s="115">
        <v>19.02</v>
      </c>
      <c r="J19" s="115">
        <v>23.95</v>
      </c>
      <c r="K19" s="115">
        <v>28.2</v>
      </c>
      <c r="L19" s="115">
        <v>36.68</v>
      </c>
      <c r="M19" s="115" t="str">
        <f>VLOOKUP(A19,Product_Mapping!$B:$D,3,FALSE)</f>
        <v>Electrical</v>
      </c>
    </row>
    <row r="20" spans="1:13" x14ac:dyDescent="0.3">
      <c r="A20" s="116">
        <v>8512</v>
      </c>
      <c r="B20" s="114" t="s">
        <v>18</v>
      </c>
      <c r="C20" s="115">
        <v>13.45</v>
      </c>
      <c r="D20" s="115">
        <v>35.380000000000003</v>
      </c>
      <c r="E20" s="115">
        <v>39.69</v>
      </c>
      <c r="F20" s="115">
        <v>20.63</v>
      </c>
      <c r="G20" s="115">
        <v>11.72</v>
      </c>
      <c r="H20" s="115">
        <v>17.41</v>
      </c>
      <c r="I20" s="115">
        <v>20.18</v>
      </c>
      <c r="J20" s="115">
        <v>19.8</v>
      </c>
      <c r="K20" s="115">
        <v>23.54</v>
      </c>
      <c r="L20" s="115">
        <v>33.65</v>
      </c>
      <c r="M20" s="115" t="str">
        <f>VLOOKUP(A20,Product_Mapping!$B:$D,3,FALSE)</f>
        <v>Electrical</v>
      </c>
    </row>
    <row r="21" spans="1:13" x14ac:dyDescent="0.3">
      <c r="A21" s="116">
        <v>8523</v>
      </c>
      <c r="B21" s="114" t="s">
        <v>19</v>
      </c>
      <c r="C21" s="115">
        <v>26.82</v>
      </c>
      <c r="D21" s="115">
        <v>28.42</v>
      </c>
      <c r="E21" s="115">
        <v>23.19</v>
      </c>
      <c r="F21" s="115">
        <v>33.47</v>
      </c>
      <c r="G21" s="115">
        <v>17</v>
      </c>
      <c r="H21" s="115">
        <v>17.66</v>
      </c>
      <c r="I21" s="115">
        <v>17.690000000000001</v>
      </c>
      <c r="J21" s="115">
        <v>18.95</v>
      </c>
      <c r="K21" s="115">
        <v>24.11</v>
      </c>
      <c r="L21" s="115">
        <v>33.26</v>
      </c>
      <c r="M21" s="115" t="str">
        <f>VLOOKUP(A21,Product_Mapping!$B:$D,3,FALSE)</f>
        <v>Electrical</v>
      </c>
    </row>
    <row r="22" spans="1:13" x14ac:dyDescent="0.3">
      <c r="A22" s="116">
        <v>8503</v>
      </c>
      <c r="B22" s="114" t="s">
        <v>20</v>
      </c>
      <c r="C22" s="115">
        <v>23.02</v>
      </c>
      <c r="D22" s="115">
        <v>20.69</v>
      </c>
      <c r="E22" s="115">
        <v>34.520000000000003</v>
      </c>
      <c r="F22" s="115">
        <v>40.29</v>
      </c>
      <c r="G22" s="115">
        <v>23.95</v>
      </c>
      <c r="H22" s="115">
        <v>32.369999999999997</v>
      </c>
      <c r="I22" s="115">
        <v>39.479999999999997</v>
      </c>
      <c r="J22" s="115">
        <v>57.79</v>
      </c>
      <c r="K22" s="115">
        <v>27.21</v>
      </c>
      <c r="L22" s="115">
        <v>29.13</v>
      </c>
      <c r="M22" s="115" t="str">
        <f>VLOOKUP(A22,Product_Mapping!$B:$D,3,FALSE)</f>
        <v>Electrical</v>
      </c>
    </row>
    <row r="23" spans="1:13" x14ac:dyDescent="0.3">
      <c r="A23" s="116">
        <v>8505</v>
      </c>
      <c r="B23" s="114" t="s">
        <v>21</v>
      </c>
      <c r="C23" s="115">
        <v>5.26</v>
      </c>
      <c r="D23" s="115">
        <v>6.02</v>
      </c>
      <c r="E23" s="115">
        <v>7.44</v>
      </c>
      <c r="F23" s="115">
        <v>11.04</v>
      </c>
      <c r="G23" s="115">
        <v>9.93</v>
      </c>
      <c r="H23" s="115">
        <v>13.91</v>
      </c>
      <c r="I23" s="115">
        <v>15.21</v>
      </c>
      <c r="J23" s="115">
        <v>15.39</v>
      </c>
      <c r="K23" s="115">
        <v>19.239999999999998</v>
      </c>
      <c r="L23" s="115">
        <v>26.22</v>
      </c>
      <c r="M23" s="115" t="str">
        <f>VLOOKUP(A23,Product_Mapping!$B:$D,3,FALSE)</f>
        <v>Electrical</v>
      </c>
    </row>
    <row r="24" spans="1:13" x14ac:dyDescent="0.3">
      <c r="A24" s="116">
        <v>8539</v>
      </c>
      <c r="B24" s="114" t="s">
        <v>22</v>
      </c>
      <c r="C24" s="115">
        <v>6.41</v>
      </c>
      <c r="D24" s="115">
        <v>9.44</v>
      </c>
      <c r="E24" s="115">
        <v>9.39</v>
      </c>
      <c r="F24" s="115">
        <v>9.06</v>
      </c>
      <c r="G24" s="115">
        <v>5.49</v>
      </c>
      <c r="H24" s="115">
        <v>9.1199999999999992</v>
      </c>
      <c r="I24" s="115">
        <v>9.59</v>
      </c>
      <c r="J24" s="115">
        <v>12.04</v>
      </c>
      <c r="K24" s="115">
        <v>15.75</v>
      </c>
      <c r="L24" s="115">
        <v>12.56</v>
      </c>
      <c r="M24" s="115" t="str">
        <f>VLOOKUP(A24,Product_Mapping!$B:$D,3,FALSE)</f>
        <v>Electrical</v>
      </c>
    </row>
    <row r="25" spans="1:13" x14ac:dyDescent="0.3">
      <c r="A25" s="116">
        <v>8534</v>
      </c>
      <c r="B25" s="114" t="s">
        <v>23</v>
      </c>
      <c r="C25" s="115">
        <v>1.7</v>
      </c>
      <c r="D25" s="115">
        <v>3.14</v>
      </c>
      <c r="E25" s="115">
        <v>5.5</v>
      </c>
      <c r="F25" s="115">
        <v>4.49</v>
      </c>
      <c r="G25" s="115">
        <v>4.24</v>
      </c>
      <c r="H25" s="115">
        <v>7.32</v>
      </c>
      <c r="I25" s="115">
        <v>8.44</v>
      </c>
      <c r="J25" s="115">
        <v>9.0399999999999991</v>
      </c>
      <c r="K25" s="115">
        <v>8.3800000000000008</v>
      </c>
      <c r="L25" s="115">
        <v>12.12</v>
      </c>
      <c r="M25" s="115" t="str">
        <f>VLOOKUP(A25,Product_Mapping!$B:$D,3,FALSE)</f>
        <v>Electrical</v>
      </c>
    </row>
    <row r="26" spans="1:13" x14ac:dyDescent="0.3">
      <c r="A26" s="116">
        <v>8514</v>
      </c>
      <c r="B26" s="114" t="s">
        <v>24</v>
      </c>
      <c r="C26" s="115">
        <v>11.27</v>
      </c>
      <c r="D26" s="115">
        <v>5.0999999999999996</v>
      </c>
      <c r="E26" s="115">
        <v>14.63</v>
      </c>
      <c r="F26" s="115">
        <v>21.74</v>
      </c>
      <c r="G26" s="115">
        <v>6.53</v>
      </c>
      <c r="H26" s="115">
        <v>4.03</v>
      </c>
      <c r="I26" s="115">
        <v>11.17</v>
      </c>
      <c r="J26" s="115">
        <v>7.78</v>
      </c>
      <c r="K26" s="115">
        <v>9.27</v>
      </c>
      <c r="L26" s="115">
        <v>11.32</v>
      </c>
      <c r="M26" s="115" t="str">
        <f>VLOOKUP(A26,Product_Mapping!$B:$D,3,FALSE)</f>
        <v>Electrical</v>
      </c>
    </row>
    <row r="27" spans="1:13" x14ac:dyDescent="0.3">
      <c r="A27" s="116">
        <v>8529</v>
      </c>
      <c r="B27" s="114" t="s">
        <v>25</v>
      </c>
      <c r="C27" s="115">
        <v>6.92</v>
      </c>
      <c r="D27" s="115">
        <v>8.68</v>
      </c>
      <c r="E27" s="115">
        <v>7.42</v>
      </c>
      <c r="F27" s="115">
        <v>7.4</v>
      </c>
      <c r="G27" s="115">
        <v>5.46</v>
      </c>
      <c r="H27" s="115">
        <v>12.46</v>
      </c>
      <c r="I27" s="115">
        <v>9.1300000000000008</v>
      </c>
      <c r="J27" s="115">
        <v>10.36</v>
      </c>
      <c r="K27" s="115">
        <v>9.84</v>
      </c>
      <c r="L27" s="115">
        <v>10.23</v>
      </c>
      <c r="M27" s="115" t="str">
        <f>VLOOKUP(A27,Product_Mapping!$B:$D,3,FALSE)</f>
        <v>Electrical</v>
      </c>
    </row>
    <row r="28" spans="1:13" x14ac:dyDescent="0.3">
      <c r="A28" s="116">
        <v>8540</v>
      </c>
      <c r="B28" s="114" t="s">
        <v>26</v>
      </c>
      <c r="C28" s="115">
        <v>0.35</v>
      </c>
      <c r="D28" s="115">
        <v>0.48</v>
      </c>
      <c r="E28" s="115">
        <v>1.17</v>
      </c>
      <c r="F28" s="115">
        <v>2.67</v>
      </c>
      <c r="G28" s="115">
        <v>2.35</v>
      </c>
      <c r="H28" s="115">
        <v>4.18</v>
      </c>
      <c r="I28" s="115">
        <v>5.24</v>
      </c>
      <c r="J28" s="115">
        <v>6.08</v>
      </c>
      <c r="K28" s="115">
        <v>7.16</v>
      </c>
      <c r="L28" s="115">
        <v>9.3699999999999992</v>
      </c>
      <c r="M28" s="115" t="str">
        <f>VLOOKUP(A28,Product_Mapping!$B:$D,3,FALSE)</f>
        <v>Electrical</v>
      </c>
    </row>
    <row r="29" spans="1:13" x14ac:dyDescent="0.3">
      <c r="A29" s="116">
        <v>8516</v>
      </c>
      <c r="B29" s="114" t="s">
        <v>27</v>
      </c>
      <c r="C29" s="115">
        <v>3.7</v>
      </c>
      <c r="D29" s="115">
        <v>4.3499999999999996</v>
      </c>
      <c r="E29" s="115">
        <v>5.83</v>
      </c>
      <c r="F29" s="115">
        <v>6.25</v>
      </c>
      <c r="G29" s="115">
        <v>6.98</v>
      </c>
      <c r="H29" s="115">
        <v>7.99</v>
      </c>
      <c r="I29" s="115">
        <v>5.32</v>
      </c>
      <c r="J29" s="115">
        <v>7.67</v>
      </c>
      <c r="K29" s="115">
        <v>8.74</v>
      </c>
      <c r="L29" s="115">
        <v>8.83</v>
      </c>
      <c r="M29" s="115" t="str">
        <f>VLOOKUP(A29,Product_Mapping!$B:$D,3,FALSE)</f>
        <v>Electrical</v>
      </c>
    </row>
    <row r="30" spans="1:13" x14ac:dyDescent="0.3">
      <c r="A30" s="116">
        <v>8545</v>
      </c>
      <c r="B30" s="114" t="s">
        <v>28</v>
      </c>
      <c r="C30" s="115">
        <v>3.2</v>
      </c>
      <c r="D30" s="115">
        <v>4.03</v>
      </c>
      <c r="E30" s="115">
        <v>9.64</v>
      </c>
      <c r="F30" s="115">
        <v>12.81</v>
      </c>
      <c r="G30" s="115">
        <v>6.49</v>
      </c>
      <c r="H30" s="115">
        <v>11.19</v>
      </c>
      <c r="I30" s="115">
        <v>4.66</v>
      </c>
      <c r="J30" s="115">
        <v>4.5999999999999996</v>
      </c>
      <c r="K30" s="115">
        <v>3.16</v>
      </c>
      <c r="L30" s="115">
        <v>8.3800000000000008</v>
      </c>
      <c r="M30" s="115" t="str">
        <f>VLOOKUP(A30,Product_Mapping!$B:$D,3,FALSE)</f>
        <v>Electrical</v>
      </c>
    </row>
    <row r="31" spans="1:13" x14ac:dyDescent="0.3">
      <c r="A31" s="116">
        <v>8528</v>
      </c>
      <c r="B31" s="114" t="s">
        <v>29</v>
      </c>
      <c r="C31" s="115">
        <v>11.3</v>
      </c>
      <c r="D31" s="115">
        <v>14.53</v>
      </c>
      <c r="E31" s="115">
        <v>15.08</v>
      </c>
      <c r="F31" s="115">
        <v>10.96</v>
      </c>
      <c r="G31" s="115">
        <v>5.61</v>
      </c>
      <c r="H31" s="115">
        <v>5.69</v>
      </c>
      <c r="I31" s="115">
        <v>7.54</v>
      </c>
      <c r="J31" s="115">
        <v>10.62</v>
      </c>
      <c r="K31" s="115">
        <v>5.66</v>
      </c>
      <c r="L31" s="115">
        <v>8.19</v>
      </c>
      <c r="M31" s="115" t="str">
        <f>VLOOKUP(A31,Product_Mapping!$B:$D,3,FALSE)</f>
        <v>Electrical</v>
      </c>
    </row>
    <row r="32" spans="1:13" x14ac:dyDescent="0.3">
      <c r="A32" s="116">
        <v>8530</v>
      </c>
      <c r="B32" s="114" t="s">
        <v>30</v>
      </c>
      <c r="C32" s="115">
        <v>1.41</v>
      </c>
      <c r="D32" s="115">
        <v>0.43</v>
      </c>
      <c r="E32" s="115">
        <v>7.09</v>
      </c>
      <c r="F32" s="115">
        <v>13.86</v>
      </c>
      <c r="G32" s="115">
        <v>8.31</v>
      </c>
      <c r="H32" s="115">
        <v>10.55</v>
      </c>
      <c r="I32" s="115">
        <v>4.3</v>
      </c>
      <c r="J32" s="115">
        <v>4.5599999999999996</v>
      </c>
      <c r="K32" s="115">
        <v>9.11</v>
      </c>
      <c r="L32" s="115">
        <v>7.96</v>
      </c>
      <c r="M32" s="115" t="str">
        <f>VLOOKUP(A32,Product_Mapping!$B:$D,3,FALSE)</f>
        <v>Electrical</v>
      </c>
    </row>
    <row r="33" spans="1:13" x14ac:dyDescent="0.3">
      <c r="A33" s="116">
        <v>8518</v>
      </c>
      <c r="B33" s="114" t="s">
        <v>31</v>
      </c>
      <c r="C33" s="115">
        <v>2.82</v>
      </c>
      <c r="D33" s="115">
        <v>3.53</v>
      </c>
      <c r="E33" s="115">
        <v>5.17</v>
      </c>
      <c r="F33" s="115">
        <v>5.44</v>
      </c>
      <c r="G33" s="115">
        <v>3.77</v>
      </c>
      <c r="H33" s="115">
        <v>3.78</v>
      </c>
      <c r="I33" s="115">
        <v>3.82</v>
      </c>
      <c r="J33" s="115">
        <v>4.0999999999999996</v>
      </c>
      <c r="K33" s="115">
        <v>4.0199999999999996</v>
      </c>
      <c r="L33" s="115">
        <v>6.73</v>
      </c>
      <c r="M33" s="115" t="str">
        <f>VLOOKUP(A33,Product_Mapping!$B:$D,3,FALSE)</f>
        <v>Electrical</v>
      </c>
    </row>
    <row r="34" spans="1:13" x14ac:dyDescent="0.3">
      <c r="A34" s="116">
        <v>8506</v>
      </c>
      <c r="B34" s="114" t="s">
        <v>32</v>
      </c>
      <c r="C34" s="115">
        <v>3.87</v>
      </c>
      <c r="D34" s="115">
        <v>3.4</v>
      </c>
      <c r="E34" s="115">
        <v>2.98</v>
      </c>
      <c r="F34" s="115">
        <v>1.95</v>
      </c>
      <c r="G34" s="115">
        <v>1.56</v>
      </c>
      <c r="H34" s="115">
        <v>2.48</v>
      </c>
      <c r="I34" s="115">
        <v>4.76</v>
      </c>
      <c r="J34" s="115">
        <v>5.0199999999999996</v>
      </c>
      <c r="K34" s="115">
        <v>4.57</v>
      </c>
      <c r="L34" s="115">
        <v>6.55</v>
      </c>
      <c r="M34" s="115" t="str">
        <f>VLOOKUP(A34,Product_Mapping!$B:$D,3,FALSE)</f>
        <v>Electrical</v>
      </c>
    </row>
    <row r="35" spans="1:13" x14ac:dyDescent="0.3">
      <c r="A35" s="116">
        <v>8531</v>
      </c>
      <c r="B35" s="114" t="s">
        <v>33</v>
      </c>
      <c r="C35" s="115">
        <v>1.65</v>
      </c>
      <c r="D35" s="115">
        <v>2.25</v>
      </c>
      <c r="E35" s="115">
        <v>1.99</v>
      </c>
      <c r="F35" s="115">
        <v>2</v>
      </c>
      <c r="G35" s="115">
        <v>0.98</v>
      </c>
      <c r="H35" s="115">
        <v>2.3199999999999998</v>
      </c>
      <c r="I35" s="115">
        <v>3.36</v>
      </c>
      <c r="J35" s="115">
        <v>2</v>
      </c>
      <c r="K35" s="115">
        <v>2.19</v>
      </c>
      <c r="L35" s="115">
        <v>2.5299999999999998</v>
      </c>
      <c r="M35" s="115" t="str">
        <f>VLOOKUP(A35,Product_Mapping!$B:$D,3,FALSE)</f>
        <v>Electrical</v>
      </c>
    </row>
    <row r="36" spans="1:13" x14ac:dyDescent="0.3">
      <c r="A36" s="116">
        <v>8546</v>
      </c>
      <c r="B36" s="114" t="s">
        <v>34</v>
      </c>
      <c r="C36" s="115">
        <v>1.19</v>
      </c>
      <c r="D36" s="115">
        <v>1.36</v>
      </c>
      <c r="E36" s="115">
        <v>0.82</v>
      </c>
      <c r="F36" s="115">
        <v>0.55000000000000004</v>
      </c>
      <c r="G36" s="115">
        <v>0.37</v>
      </c>
      <c r="H36" s="115">
        <v>0.74</v>
      </c>
      <c r="I36" s="115">
        <v>0.49</v>
      </c>
      <c r="J36" s="115">
        <v>0.3</v>
      </c>
      <c r="K36" s="115">
        <v>0.39</v>
      </c>
      <c r="L36" s="115">
        <v>2.29</v>
      </c>
      <c r="M36" s="115" t="str">
        <f>VLOOKUP(A36,Product_Mapping!$B:$D,3,FALSE)</f>
        <v>Electrical</v>
      </c>
    </row>
    <row r="37" spans="1:13" x14ac:dyDescent="0.3">
      <c r="A37" s="116">
        <v>8535</v>
      </c>
      <c r="B37" s="114" t="s">
        <v>35</v>
      </c>
      <c r="C37" s="115">
        <v>2.54</v>
      </c>
      <c r="D37" s="115">
        <v>1.28</v>
      </c>
      <c r="E37" s="115">
        <v>2.78</v>
      </c>
      <c r="F37" s="115">
        <v>6.28</v>
      </c>
      <c r="G37" s="115">
        <v>1.95</v>
      </c>
      <c r="H37" s="115">
        <v>2.41</v>
      </c>
      <c r="I37" s="115">
        <v>1.84</v>
      </c>
      <c r="J37" s="115">
        <v>1.08</v>
      </c>
      <c r="K37" s="115">
        <v>5.62</v>
      </c>
      <c r="L37" s="115">
        <v>1.46</v>
      </c>
      <c r="M37" s="115" t="str">
        <f>VLOOKUP(A37,Product_Mapping!$B:$D,3,FALSE)</f>
        <v>Electrical</v>
      </c>
    </row>
    <row r="38" spans="1:13" x14ac:dyDescent="0.3">
      <c r="A38" s="116">
        <v>8527</v>
      </c>
      <c r="B38" s="114" t="s">
        <v>36</v>
      </c>
      <c r="C38" s="115">
        <v>0.15</v>
      </c>
      <c r="D38" s="115">
        <v>0.16</v>
      </c>
      <c r="E38" s="115">
        <v>0.7</v>
      </c>
      <c r="F38" s="115">
        <v>0.38</v>
      </c>
      <c r="G38" s="115">
        <v>0.09</v>
      </c>
      <c r="H38" s="115">
        <v>0.32</v>
      </c>
      <c r="I38" s="115">
        <v>0.27</v>
      </c>
      <c r="J38" s="115">
        <v>0.37</v>
      </c>
      <c r="K38" s="115">
        <v>0.69</v>
      </c>
      <c r="L38" s="115">
        <v>1.4</v>
      </c>
      <c r="M38" s="115" t="str">
        <f>VLOOKUP(A38,Product_Mapping!$B:$D,3,FALSE)</f>
        <v>Electrical</v>
      </c>
    </row>
    <row r="39" spans="1:13" x14ac:dyDescent="0.3">
      <c r="A39" s="116">
        <v>8526</v>
      </c>
      <c r="B39" s="114" t="s">
        <v>37</v>
      </c>
      <c r="C39" s="115">
        <v>0.63</v>
      </c>
      <c r="D39" s="115">
        <v>0.44</v>
      </c>
      <c r="E39" s="115">
        <v>0.28000000000000003</v>
      </c>
      <c r="F39" s="115">
        <v>0.59</v>
      </c>
      <c r="G39" s="115">
        <v>1.62</v>
      </c>
      <c r="H39" s="115">
        <v>0.21</v>
      </c>
      <c r="I39" s="115">
        <v>0.2</v>
      </c>
      <c r="J39" s="115">
        <v>0.35</v>
      </c>
      <c r="K39" s="115">
        <v>1.02</v>
      </c>
      <c r="L39" s="115">
        <v>0.65</v>
      </c>
      <c r="M39" s="115" t="str">
        <f>VLOOKUP(A39,Product_Mapping!$B:$D,3,FALSE)</f>
        <v>Electrical</v>
      </c>
    </row>
    <row r="40" spans="1:13" x14ac:dyDescent="0.3">
      <c r="A40" s="116">
        <v>8521</v>
      </c>
      <c r="B40" s="114" t="s">
        <v>38</v>
      </c>
      <c r="C40" s="115">
        <v>0.45</v>
      </c>
      <c r="D40" s="115">
        <v>0.46</v>
      </c>
      <c r="E40" s="115">
        <v>0.28000000000000003</v>
      </c>
      <c r="F40" s="115">
        <v>0.15</v>
      </c>
      <c r="G40" s="115">
        <v>0.41</v>
      </c>
      <c r="H40" s="115">
        <v>0.4</v>
      </c>
      <c r="I40" s="115">
        <v>0.47</v>
      </c>
      <c r="J40" s="115">
        <v>0.44</v>
      </c>
      <c r="K40" s="115">
        <v>0.6</v>
      </c>
      <c r="L40" s="115">
        <v>0.61</v>
      </c>
      <c r="M40" s="115" t="str">
        <f>VLOOKUP(A40,Product_Mapping!$B:$D,3,FALSE)</f>
        <v>Electrical</v>
      </c>
    </row>
    <row r="41" spans="1:13" x14ac:dyDescent="0.3">
      <c r="A41" s="116">
        <v>8502</v>
      </c>
      <c r="B41" s="114" t="s">
        <v>39</v>
      </c>
      <c r="C41" s="115">
        <v>2.2400000000000002</v>
      </c>
      <c r="D41" s="115">
        <v>1.95</v>
      </c>
      <c r="E41" s="115">
        <v>0.42</v>
      </c>
      <c r="F41" s="115">
        <v>7.23</v>
      </c>
      <c r="G41" s="115">
        <v>2.2400000000000002</v>
      </c>
      <c r="H41" s="115">
        <v>0.55000000000000004</v>
      </c>
      <c r="I41" s="115">
        <v>0.01</v>
      </c>
      <c r="J41" s="115">
        <v>0.11</v>
      </c>
      <c r="K41" s="115">
        <v>0.05</v>
      </c>
      <c r="L41" s="115">
        <v>0.12</v>
      </c>
      <c r="M41" s="115" t="str">
        <f>VLOOKUP(A41,Product_Mapping!$B:$D,3,FALSE)</f>
        <v>Electrical</v>
      </c>
    </row>
    <row r="42" spans="1:13" x14ac:dyDescent="0.3">
      <c r="A42" s="116">
        <v>8522</v>
      </c>
      <c r="B42" s="114" t="s">
        <v>40</v>
      </c>
      <c r="C42" s="115">
        <v>1</v>
      </c>
      <c r="D42" s="115">
        <v>0.46</v>
      </c>
      <c r="E42" s="115">
        <v>0.23</v>
      </c>
      <c r="F42" s="115">
        <v>0.05</v>
      </c>
      <c r="G42" s="115">
        <v>0.01</v>
      </c>
      <c r="H42" s="115">
        <v>0.01</v>
      </c>
      <c r="I42" s="115">
        <v>0.02</v>
      </c>
      <c r="J42" s="115">
        <v>0.03</v>
      </c>
      <c r="K42" s="115">
        <v>0.08</v>
      </c>
      <c r="L42" s="115">
        <v>0.08</v>
      </c>
      <c r="M42" s="115" t="str">
        <f>VLOOKUP(A42,Product_Mapping!$B:$D,3,FALSE)</f>
        <v>Electrical</v>
      </c>
    </row>
    <row r="43" spans="1:13" x14ac:dyDescent="0.3">
      <c r="A43" s="116">
        <v>8508</v>
      </c>
      <c r="B43" s="114" t="s">
        <v>41</v>
      </c>
      <c r="C43" s="115">
        <v>0.11</v>
      </c>
      <c r="D43" s="115">
        <v>0.14000000000000001</v>
      </c>
      <c r="E43" s="115">
        <v>0.24</v>
      </c>
      <c r="F43" s="115">
        <v>0.16</v>
      </c>
      <c r="G43" s="115">
        <v>0.08</v>
      </c>
      <c r="H43" s="115">
        <v>0.06</v>
      </c>
      <c r="I43" s="115">
        <v>0.17</v>
      </c>
      <c r="J43" s="115">
        <v>0.08</v>
      </c>
      <c r="K43" s="115">
        <v>0.1</v>
      </c>
      <c r="L43" s="115">
        <v>7.0000000000000007E-2</v>
      </c>
      <c r="M43" s="115" t="str">
        <f>VLOOKUP(A43,Product_Mapping!$B:$D,3,FALSE)</f>
        <v>Electrical</v>
      </c>
    </row>
    <row r="44" spans="1:13" x14ac:dyDescent="0.3">
      <c r="A44" s="116">
        <v>8513</v>
      </c>
      <c r="B44" s="114" t="s">
        <v>42</v>
      </c>
      <c r="C44" s="115">
        <v>0.03</v>
      </c>
      <c r="D44" s="115">
        <v>0.06</v>
      </c>
      <c r="E44" s="115">
        <v>0.02</v>
      </c>
      <c r="F44" s="115">
        <v>0.08</v>
      </c>
      <c r="G44" s="115">
        <v>0.02</v>
      </c>
      <c r="H44" s="115">
        <v>0.03</v>
      </c>
      <c r="I44" s="115">
        <v>0.02</v>
      </c>
      <c r="J44" s="115">
        <v>0.03</v>
      </c>
      <c r="K44" s="115">
        <v>0.04</v>
      </c>
      <c r="L44" s="115">
        <v>0.05</v>
      </c>
      <c r="M44" s="115" t="str">
        <f>VLOOKUP(A44,Product_Mapping!$B:$D,3,FALSE)</f>
        <v>Electrical</v>
      </c>
    </row>
    <row r="45" spans="1:13" x14ac:dyDescent="0.3">
      <c r="A45" s="116">
        <v>8519</v>
      </c>
      <c r="B45" s="114" t="s">
        <v>43</v>
      </c>
      <c r="C45" s="115">
        <v>0.1</v>
      </c>
      <c r="D45" s="115">
        <v>0.05</v>
      </c>
      <c r="E45" s="115">
        <v>0.06</v>
      </c>
      <c r="F45" s="115">
        <v>0.17</v>
      </c>
      <c r="G45" s="115">
        <v>0.1</v>
      </c>
      <c r="H45" s="115">
        <v>0.18</v>
      </c>
      <c r="I45" s="115">
        <v>0.21</v>
      </c>
      <c r="J45" s="115">
        <v>0.14000000000000001</v>
      </c>
      <c r="K45" s="115">
        <v>0.13</v>
      </c>
      <c r="L45" s="115">
        <v>0.04</v>
      </c>
      <c r="M45" s="115" t="str">
        <f>VLOOKUP(A45,Product_Mapping!$B:$D,3,FALSE)</f>
        <v>Electrical</v>
      </c>
    </row>
    <row r="46" spans="1:13" x14ac:dyDescent="0.3">
      <c r="A46" s="116">
        <v>8509</v>
      </c>
      <c r="B46" s="114" t="s">
        <v>44</v>
      </c>
      <c r="C46" s="115">
        <v>0.12</v>
      </c>
      <c r="D46" s="115">
        <v>0.09</v>
      </c>
      <c r="E46" s="115">
        <v>0.25</v>
      </c>
      <c r="F46" s="115">
        <v>0.13</v>
      </c>
      <c r="G46" s="115">
        <v>0.02</v>
      </c>
      <c r="H46" s="115">
        <v>0.1</v>
      </c>
      <c r="I46" s="115">
        <v>0.12</v>
      </c>
      <c r="J46" s="115">
        <v>0.05</v>
      </c>
      <c r="K46" s="115">
        <v>0.05</v>
      </c>
      <c r="L46" s="115">
        <v>0.04</v>
      </c>
      <c r="M46" s="115" t="str">
        <f>VLOOKUP(A46,Product_Mapping!$B:$D,3,FALSE)</f>
        <v>Electrical</v>
      </c>
    </row>
    <row r="47" spans="1:13" x14ac:dyDescent="0.3">
      <c r="A47" s="116">
        <v>8548</v>
      </c>
      <c r="B47" s="114" t="s">
        <v>45</v>
      </c>
      <c r="C47" s="115">
        <v>0.01</v>
      </c>
      <c r="D47" s="115">
        <v>0.02</v>
      </c>
      <c r="E47" s="115">
        <v>0.03</v>
      </c>
      <c r="F47" s="115">
        <v>0</v>
      </c>
      <c r="G47" s="115">
        <v>0.03</v>
      </c>
      <c r="H47" s="115">
        <v>0</v>
      </c>
      <c r="I47" s="115">
        <v>0.11</v>
      </c>
      <c r="J47" s="115">
        <v>0.01</v>
      </c>
      <c r="K47" s="115">
        <v>0.09</v>
      </c>
      <c r="L47" s="115">
        <v>0.02</v>
      </c>
      <c r="M47" s="115" t="str">
        <f>VLOOKUP(A47,Product_Mapping!$B:$D,3,FALSE)</f>
        <v>Electrical</v>
      </c>
    </row>
    <row r="48" spans="1:13" x14ac:dyDescent="0.3">
      <c r="A48" s="116">
        <v>8549</v>
      </c>
      <c r="B48" s="114" t="s">
        <v>46</v>
      </c>
      <c r="C48" s="115">
        <v>0</v>
      </c>
      <c r="D48" s="115">
        <v>0</v>
      </c>
      <c r="E48" s="115">
        <v>0</v>
      </c>
      <c r="F48" s="115">
        <v>0</v>
      </c>
      <c r="G48" s="115">
        <v>0</v>
      </c>
      <c r="H48" s="115">
        <v>0</v>
      </c>
      <c r="I48" s="115">
        <v>0</v>
      </c>
      <c r="J48" s="115">
        <v>0.99</v>
      </c>
      <c r="K48" s="115">
        <v>0.38</v>
      </c>
      <c r="L48" s="115">
        <v>0.01</v>
      </c>
      <c r="M48" s="115" t="str">
        <f>VLOOKUP(A48,Product_Mapping!$B:$D,3,FALSE)</f>
        <v>Electrical</v>
      </c>
    </row>
    <row r="49" spans="1:13" x14ac:dyDescent="0.3">
      <c r="A49" s="116">
        <v>8510</v>
      </c>
      <c r="B49" s="114" t="s">
        <v>47</v>
      </c>
      <c r="C49" s="115">
        <v>0</v>
      </c>
      <c r="D49" s="115">
        <v>0</v>
      </c>
      <c r="E49" s="115">
        <v>0</v>
      </c>
      <c r="F49" s="115">
        <v>0</v>
      </c>
      <c r="G49" s="115">
        <v>0</v>
      </c>
      <c r="H49" s="115">
        <v>0</v>
      </c>
      <c r="I49" s="115">
        <v>0</v>
      </c>
      <c r="J49" s="115">
        <v>0</v>
      </c>
      <c r="K49" s="115">
        <v>0</v>
      </c>
      <c r="L49" s="115">
        <v>0</v>
      </c>
      <c r="M49" s="115" t="str">
        <f>VLOOKUP(A49,Product_Mapping!$B:$D,3,FALSE)</f>
        <v>Electrical</v>
      </c>
    </row>
    <row r="50" spans="1:13" x14ac:dyDescent="0.3">
      <c r="A50" s="116">
        <v>3904</v>
      </c>
      <c r="B50" s="114" t="s">
        <v>51</v>
      </c>
      <c r="C50" s="115">
        <v>276.67</v>
      </c>
      <c r="D50" s="115">
        <v>347.51</v>
      </c>
      <c r="E50" s="115">
        <v>387.45</v>
      </c>
      <c r="F50" s="115">
        <v>501.82</v>
      </c>
      <c r="G50" s="115">
        <v>450.49</v>
      </c>
      <c r="H50" s="115">
        <v>640.76</v>
      </c>
      <c r="I50" s="115">
        <v>627.88</v>
      </c>
      <c r="J50" s="115">
        <v>544.52</v>
      </c>
      <c r="K50" s="115">
        <v>479.81</v>
      </c>
      <c r="L50" s="115">
        <v>456.61</v>
      </c>
      <c r="M50" s="115" t="str">
        <f>VLOOKUP(A50,Product_Mapping!$B:$D,3,FALSE)</f>
        <v>Plastics</v>
      </c>
    </row>
    <row r="51" spans="1:13" x14ac:dyDescent="0.3">
      <c r="A51" s="116">
        <v>3906</v>
      </c>
      <c r="B51" s="114" t="s">
        <v>52</v>
      </c>
      <c r="C51" s="115">
        <v>39.61</v>
      </c>
      <c r="D51" s="115">
        <v>70.430000000000007</v>
      </c>
      <c r="E51" s="115">
        <v>83.35</v>
      </c>
      <c r="F51" s="115">
        <v>74.150000000000006</v>
      </c>
      <c r="G51" s="115">
        <v>63.67</v>
      </c>
      <c r="H51" s="115">
        <v>91.67</v>
      </c>
      <c r="I51" s="115">
        <v>123.01</v>
      </c>
      <c r="J51" s="115">
        <v>98.95</v>
      </c>
      <c r="K51" s="115">
        <v>93.55</v>
      </c>
      <c r="L51" s="115">
        <v>123.43</v>
      </c>
      <c r="M51" s="115" t="str">
        <f>VLOOKUP(A51,Product_Mapping!$B:$D,3,FALSE)</f>
        <v>Plastics</v>
      </c>
    </row>
    <row r="52" spans="1:13" x14ac:dyDescent="0.3">
      <c r="A52" s="116">
        <v>3926</v>
      </c>
      <c r="B52" s="114" t="s">
        <v>53</v>
      </c>
      <c r="C52" s="115">
        <v>41.33</v>
      </c>
      <c r="D52" s="115">
        <v>47.45</v>
      </c>
      <c r="E52" s="115">
        <v>46.87</v>
      </c>
      <c r="F52" s="115">
        <v>44.96</v>
      </c>
      <c r="G52" s="115">
        <v>36.270000000000003</v>
      </c>
      <c r="H52" s="115">
        <v>54.13</v>
      </c>
      <c r="I52" s="115">
        <v>59.83</v>
      </c>
      <c r="J52" s="115">
        <v>58.41</v>
      </c>
      <c r="K52" s="115">
        <v>60.31</v>
      </c>
      <c r="L52" s="115">
        <v>82.06</v>
      </c>
      <c r="M52" s="115" t="str">
        <f>VLOOKUP(A52,Product_Mapping!$B:$D,3,FALSE)</f>
        <v>Plastics</v>
      </c>
    </row>
    <row r="53" spans="1:13" x14ac:dyDescent="0.3">
      <c r="A53" s="116">
        <v>3909</v>
      </c>
      <c r="B53" s="114" t="s">
        <v>54</v>
      </c>
      <c r="C53" s="115">
        <v>18.45</v>
      </c>
      <c r="D53" s="115">
        <v>17.8</v>
      </c>
      <c r="E53" s="115">
        <v>34.25</v>
      </c>
      <c r="F53" s="115">
        <v>31.03</v>
      </c>
      <c r="G53" s="115">
        <v>29.24</v>
      </c>
      <c r="H53" s="115">
        <v>51.89</v>
      </c>
      <c r="I53" s="115">
        <v>64.680000000000007</v>
      </c>
      <c r="J53" s="115">
        <v>60.98</v>
      </c>
      <c r="K53" s="115">
        <v>88.87</v>
      </c>
      <c r="L53" s="115">
        <v>80.260000000000005</v>
      </c>
      <c r="M53" s="115" t="str">
        <f>VLOOKUP(A53,Product_Mapping!$B:$D,3,FALSE)</f>
        <v>Plastics</v>
      </c>
    </row>
    <row r="54" spans="1:13" x14ac:dyDescent="0.3">
      <c r="A54" s="116">
        <v>3901</v>
      </c>
      <c r="B54" s="114" t="s">
        <v>55</v>
      </c>
      <c r="C54" s="115">
        <v>45.07</v>
      </c>
      <c r="D54" s="115">
        <v>48.22</v>
      </c>
      <c r="E54" s="115">
        <v>41.61</v>
      </c>
      <c r="F54" s="115">
        <v>43.21</v>
      </c>
      <c r="G54" s="115">
        <v>43.17</v>
      </c>
      <c r="H54" s="115">
        <v>55.27</v>
      </c>
      <c r="I54" s="115">
        <v>64.12</v>
      </c>
      <c r="J54" s="115">
        <v>82.03</v>
      </c>
      <c r="K54" s="115">
        <v>66.8</v>
      </c>
      <c r="L54" s="115">
        <v>67.34</v>
      </c>
      <c r="M54" s="115" t="str">
        <f>VLOOKUP(A54,Product_Mapping!$B:$D,3,FALSE)</f>
        <v>Plastics</v>
      </c>
    </row>
    <row r="55" spans="1:13" x14ac:dyDescent="0.3">
      <c r="A55" s="116">
        <v>3912</v>
      </c>
      <c r="B55" s="114" t="s">
        <v>56</v>
      </c>
      <c r="C55" s="115">
        <v>23.57</v>
      </c>
      <c r="D55" s="115">
        <v>24.86</v>
      </c>
      <c r="E55" s="115">
        <v>34.979999999999997</v>
      </c>
      <c r="F55" s="115">
        <v>35.340000000000003</v>
      </c>
      <c r="G55" s="115">
        <v>37.71</v>
      </c>
      <c r="H55" s="115">
        <v>53.83</v>
      </c>
      <c r="I55" s="115">
        <v>50.16</v>
      </c>
      <c r="J55" s="115">
        <v>46.13</v>
      </c>
      <c r="K55" s="115">
        <v>60.02</v>
      </c>
      <c r="L55" s="115">
        <v>62.32</v>
      </c>
      <c r="M55" s="115" t="str">
        <f>VLOOKUP(A55,Product_Mapping!$B:$D,3,FALSE)</f>
        <v>Plastics</v>
      </c>
    </row>
    <row r="56" spans="1:13" x14ac:dyDescent="0.3">
      <c r="A56" s="116">
        <v>3907</v>
      </c>
      <c r="B56" s="114" t="s">
        <v>57</v>
      </c>
      <c r="C56" s="115">
        <v>35.08</v>
      </c>
      <c r="D56" s="115">
        <v>38.520000000000003</v>
      </c>
      <c r="E56" s="115">
        <v>47.88</v>
      </c>
      <c r="F56" s="115">
        <v>38.49</v>
      </c>
      <c r="G56" s="115">
        <v>35.020000000000003</v>
      </c>
      <c r="H56" s="115">
        <v>51.92</v>
      </c>
      <c r="I56" s="115">
        <v>46.73</v>
      </c>
      <c r="J56" s="115">
        <v>47.18</v>
      </c>
      <c r="K56" s="115">
        <v>55.64</v>
      </c>
      <c r="L56" s="115">
        <v>61</v>
      </c>
      <c r="M56" s="115" t="str">
        <f>VLOOKUP(A56,Product_Mapping!$B:$D,3,FALSE)</f>
        <v>Plastics</v>
      </c>
    </row>
    <row r="57" spans="1:13" x14ac:dyDescent="0.3">
      <c r="A57" s="116">
        <v>3902</v>
      </c>
      <c r="B57" s="114" t="s">
        <v>58</v>
      </c>
      <c r="C57" s="115">
        <v>18.82</v>
      </c>
      <c r="D57" s="115">
        <v>22.44</v>
      </c>
      <c r="E57" s="115">
        <v>25.47</v>
      </c>
      <c r="F57" s="115">
        <v>23.62</v>
      </c>
      <c r="G57" s="115">
        <v>17.77</v>
      </c>
      <c r="H57" s="115">
        <v>28.15</v>
      </c>
      <c r="I57" s="115">
        <v>32.5</v>
      </c>
      <c r="J57" s="115">
        <v>41.94</v>
      </c>
      <c r="K57" s="115">
        <v>57.11</v>
      </c>
      <c r="L57" s="115">
        <v>45.1</v>
      </c>
      <c r="M57" s="115" t="str">
        <f>VLOOKUP(A57,Product_Mapping!$B:$D,3,FALSE)</f>
        <v>Plastics</v>
      </c>
    </row>
    <row r="58" spans="1:13" x14ac:dyDescent="0.3">
      <c r="A58" s="116">
        <v>3919</v>
      </c>
      <c r="B58" s="114" t="s">
        <v>59</v>
      </c>
      <c r="C58" s="115">
        <v>26.52</v>
      </c>
      <c r="D58" s="115">
        <v>30.62</v>
      </c>
      <c r="E58" s="115">
        <v>29.34</v>
      </c>
      <c r="F58" s="115">
        <v>25.98</v>
      </c>
      <c r="G58" s="115">
        <v>19.940000000000001</v>
      </c>
      <c r="H58" s="115">
        <v>26.91</v>
      </c>
      <c r="I58" s="115">
        <v>26.46</v>
      </c>
      <c r="J58" s="115">
        <v>25.58</v>
      </c>
      <c r="K58" s="115">
        <v>28.77</v>
      </c>
      <c r="L58" s="115">
        <v>36.090000000000003</v>
      </c>
      <c r="M58" s="115" t="str">
        <f>VLOOKUP(A58,Product_Mapping!$B:$D,3,FALSE)</f>
        <v>Plastics</v>
      </c>
    </row>
    <row r="59" spans="1:13" x14ac:dyDescent="0.3">
      <c r="A59" s="116">
        <v>3920</v>
      </c>
      <c r="B59" s="114" t="s">
        <v>60</v>
      </c>
      <c r="C59" s="115">
        <v>38.22</v>
      </c>
      <c r="D59" s="115">
        <v>32.57</v>
      </c>
      <c r="E59" s="115">
        <v>31.2</v>
      </c>
      <c r="F59" s="115">
        <v>22.77</v>
      </c>
      <c r="G59" s="115">
        <v>20.2</v>
      </c>
      <c r="H59" s="115">
        <v>29.82</v>
      </c>
      <c r="I59" s="115">
        <v>31.14</v>
      </c>
      <c r="J59" s="115">
        <v>31.16</v>
      </c>
      <c r="K59" s="115">
        <v>33.33</v>
      </c>
      <c r="L59" s="115">
        <v>35.979999999999997</v>
      </c>
      <c r="M59" s="115" t="str">
        <f>VLOOKUP(A59,Product_Mapping!$B:$D,3,FALSE)</f>
        <v>Plastics</v>
      </c>
    </row>
    <row r="60" spans="1:13" x14ac:dyDescent="0.3">
      <c r="A60" s="116">
        <v>3905</v>
      </c>
      <c r="B60" s="114" t="s">
        <v>61</v>
      </c>
      <c r="C60" s="115">
        <v>28.2</v>
      </c>
      <c r="D60" s="115">
        <v>23.27</v>
      </c>
      <c r="E60" s="115">
        <v>21.44</v>
      </c>
      <c r="F60" s="115">
        <v>20.99</v>
      </c>
      <c r="G60" s="115">
        <v>20.22</v>
      </c>
      <c r="H60" s="115">
        <v>27.43</v>
      </c>
      <c r="I60" s="115">
        <v>29.76</v>
      </c>
      <c r="J60" s="115">
        <v>22.72</v>
      </c>
      <c r="K60" s="115">
        <v>19.670000000000002</v>
      </c>
      <c r="L60" s="115">
        <v>21.65</v>
      </c>
      <c r="M60" s="115" t="str">
        <f>VLOOKUP(A60,Product_Mapping!$B:$D,3,FALSE)</f>
        <v>Plastics</v>
      </c>
    </row>
    <row r="61" spans="1:13" x14ac:dyDescent="0.3">
      <c r="A61" s="116">
        <v>3911</v>
      </c>
      <c r="B61" s="114" t="s">
        <v>62</v>
      </c>
      <c r="C61" s="115">
        <v>7.96</v>
      </c>
      <c r="D61" s="115">
        <v>12.2</v>
      </c>
      <c r="E61" s="115">
        <v>12.64</v>
      </c>
      <c r="F61" s="115">
        <v>14.73</v>
      </c>
      <c r="G61" s="115">
        <v>14.27</v>
      </c>
      <c r="H61" s="115">
        <v>25.13</v>
      </c>
      <c r="I61" s="115">
        <v>27.96</v>
      </c>
      <c r="J61" s="115">
        <v>28.87</v>
      </c>
      <c r="K61" s="115">
        <v>24.42</v>
      </c>
      <c r="L61" s="115">
        <v>20.29</v>
      </c>
      <c r="M61" s="115" t="str">
        <f>VLOOKUP(A61,Product_Mapping!$B:$D,3,FALSE)</f>
        <v>Plastics</v>
      </c>
    </row>
    <row r="62" spans="1:13" x14ac:dyDescent="0.3">
      <c r="A62" s="116">
        <v>3903</v>
      </c>
      <c r="B62" s="114" t="s">
        <v>63</v>
      </c>
      <c r="C62" s="115">
        <v>12.9</v>
      </c>
      <c r="D62" s="115">
        <v>13.92</v>
      </c>
      <c r="E62" s="115">
        <v>9.19</v>
      </c>
      <c r="F62" s="115">
        <v>8.2200000000000006</v>
      </c>
      <c r="G62" s="115">
        <v>7.58</v>
      </c>
      <c r="H62" s="115">
        <v>18.78</v>
      </c>
      <c r="I62" s="115">
        <v>19.8</v>
      </c>
      <c r="J62" s="115">
        <v>11.96</v>
      </c>
      <c r="K62" s="115">
        <v>12.14</v>
      </c>
      <c r="L62" s="115">
        <v>19.91</v>
      </c>
      <c r="M62" s="115" t="str">
        <f>VLOOKUP(A62,Product_Mapping!$B:$D,3,FALSE)</f>
        <v>Plastics</v>
      </c>
    </row>
    <row r="63" spans="1:13" x14ac:dyDescent="0.3">
      <c r="A63" s="116">
        <v>3908</v>
      </c>
      <c r="B63" s="114" t="s">
        <v>64</v>
      </c>
      <c r="C63" s="115">
        <v>12.71</v>
      </c>
      <c r="D63" s="115">
        <v>15.44</v>
      </c>
      <c r="E63" s="115">
        <v>15.73</v>
      </c>
      <c r="F63" s="115">
        <v>13.96</v>
      </c>
      <c r="G63" s="115">
        <v>15.5</v>
      </c>
      <c r="H63" s="115">
        <v>19.5</v>
      </c>
      <c r="I63" s="115">
        <v>19.510000000000002</v>
      </c>
      <c r="J63" s="115">
        <v>16.84</v>
      </c>
      <c r="K63" s="115">
        <v>16.27</v>
      </c>
      <c r="L63" s="115">
        <v>15.43</v>
      </c>
      <c r="M63" s="115" t="str">
        <f>VLOOKUP(A63,Product_Mapping!$B:$D,3,FALSE)</f>
        <v>Plastics</v>
      </c>
    </row>
    <row r="64" spans="1:13" x14ac:dyDescent="0.3">
      <c r="A64" s="116">
        <v>3923</v>
      </c>
      <c r="B64" s="114" t="s">
        <v>65</v>
      </c>
      <c r="C64" s="115">
        <v>11.56</v>
      </c>
      <c r="D64" s="115">
        <v>12.24</v>
      </c>
      <c r="E64" s="115">
        <v>13.72</v>
      </c>
      <c r="F64" s="115">
        <v>13.76</v>
      </c>
      <c r="G64" s="115">
        <v>8.2100000000000009</v>
      </c>
      <c r="H64" s="115">
        <v>8.99</v>
      </c>
      <c r="I64" s="115">
        <v>9.98</v>
      </c>
      <c r="J64" s="115">
        <v>11.37</v>
      </c>
      <c r="K64" s="115">
        <v>12.1</v>
      </c>
      <c r="L64" s="115">
        <v>14.81</v>
      </c>
      <c r="M64" s="115" t="str">
        <f>VLOOKUP(A64,Product_Mapping!$B:$D,3,FALSE)</f>
        <v>Plastics</v>
      </c>
    </row>
    <row r="65" spans="1:13" x14ac:dyDescent="0.3">
      <c r="A65" s="116">
        <v>3910</v>
      </c>
      <c r="B65" s="114" t="s">
        <v>66</v>
      </c>
      <c r="C65" s="115">
        <v>8.39</v>
      </c>
      <c r="D65" s="115">
        <v>11.15</v>
      </c>
      <c r="E65" s="115">
        <v>15.02</v>
      </c>
      <c r="F65" s="115">
        <v>11.57</v>
      </c>
      <c r="G65" s="115">
        <v>8.64</v>
      </c>
      <c r="H65" s="115">
        <v>12.82</v>
      </c>
      <c r="I65" s="115">
        <v>14.85</v>
      </c>
      <c r="J65" s="115">
        <v>13.47</v>
      </c>
      <c r="K65" s="115">
        <v>15.81</v>
      </c>
      <c r="L65" s="115">
        <v>14.39</v>
      </c>
      <c r="M65" s="115" t="str">
        <f>VLOOKUP(A65,Product_Mapping!$B:$D,3,FALSE)</f>
        <v>Plastics</v>
      </c>
    </row>
    <row r="66" spans="1:13" x14ac:dyDescent="0.3">
      <c r="A66" s="116">
        <v>3917</v>
      </c>
      <c r="B66" s="114" t="s">
        <v>67</v>
      </c>
      <c r="C66" s="115">
        <v>8.7899999999999991</v>
      </c>
      <c r="D66" s="115">
        <v>10.88</v>
      </c>
      <c r="E66" s="115">
        <v>12.45</v>
      </c>
      <c r="F66" s="115">
        <v>10.62</v>
      </c>
      <c r="G66" s="115">
        <v>8.6300000000000008</v>
      </c>
      <c r="H66" s="115">
        <v>12.91</v>
      </c>
      <c r="I66" s="115">
        <v>12.27</v>
      </c>
      <c r="J66" s="115">
        <v>12.16</v>
      </c>
      <c r="K66" s="115">
        <v>10.53</v>
      </c>
      <c r="L66" s="115">
        <v>11.17</v>
      </c>
      <c r="M66" s="115" t="str">
        <f>VLOOKUP(A66,Product_Mapping!$B:$D,3,FALSE)</f>
        <v>Plastics</v>
      </c>
    </row>
    <row r="67" spans="1:13" x14ac:dyDescent="0.3">
      <c r="A67" s="116">
        <v>3921</v>
      </c>
      <c r="B67" s="114" t="s">
        <v>68</v>
      </c>
      <c r="C67" s="115">
        <v>6.82</v>
      </c>
      <c r="D67" s="115">
        <v>6.32</v>
      </c>
      <c r="E67" s="115">
        <v>8.17</v>
      </c>
      <c r="F67" s="115">
        <v>8.86</v>
      </c>
      <c r="G67" s="115">
        <v>5.01</v>
      </c>
      <c r="H67" s="115">
        <v>7.33</v>
      </c>
      <c r="I67" s="115">
        <v>9.4</v>
      </c>
      <c r="J67" s="115">
        <v>8.69</v>
      </c>
      <c r="K67" s="115">
        <v>12.17</v>
      </c>
      <c r="L67" s="115">
        <v>10.24</v>
      </c>
      <c r="M67" s="115" t="str">
        <f>VLOOKUP(A67,Product_Mapping!$B:$D,3,FALSE)</f>
        <v>Plastics</v>
      </c>
    </row>
    <row r="68" spans="1:13" x14ac:dyDescent="0.3">
      <c r="A68" s="116">
        <v>3914</v>
      </c>
      <c r="B68" s="114" t="s">
        <v>69</v>
      </c>
      <c r="C68" s="115">
        <v>1.4</v>
      </c>
      <c r="D68" s="115">
        <v>1</v>
      </c>
      <c r="E68" s="115">
        <v>2.8</v>
      </c>
      <c r="F68" s="115">
        <v>0.63</v>
      </c>
      <c r="G68" s="115">
        <v>1.52</v>
      </c>
      <c r="H68" s="115">
        <v>2</v>
      </c>
      <c r="I68" s="115">
        <v>3.03</v>
      </c>
      <c r="J68" s="115">
        <v>2.36</v>
      </c>
      <c r="K68" s="115">
        <v>3.52</v>
      </c>
      <c r="L68" s="115">
        <v>2.97</v>
      </c>
      <c r="M68" s="115" t="str">
        <f>VLOOKUP(A68,Product_Mapping!$B:$D,3,FALSE)</f>
        <v>Plastics</v>
      </c>
    </row>
    <row r="69" spans="1:13" x14ac:dyDescent="0.3">
      <c r="A69" s="116">
        <v>3913</v>
      </c>
      <c r="B69" s="114" t="s">
        <v>70</v>
      </c>
      <c r="C69" s="115">
        <v>1.88</v>
      </c>
      <c r="D69" s="115">
        <v>0.73</v>
      </c>
      <c r="E69" s="115">
        <v>1.53</v>
      </c>
      <c r="F69" s="115">
        <v>1.07</v>
      </c>
      <c r="G69" s="115">
        <v>0.41</v>
      </c>
      <c r="H69" s="115">
        <v>0.52</v>
      </c>
      <c r="I69" s="115">
        <v>1.28</v>
      </c>
      <c r="J69" s="115">
        <v>1.75</v>
      </c>
      <c r="K69" s="115">
        <v>1.61</v>
      </c>
      <c r="L69" s="115">
        <v>2.1800000000000002</v>
      </c>
      <c r="M69" s="115" t="str">
        <f>VLOOKUP(A69,Product_Mapping!$B:$D,3,FALSE)</f>
        <v>Plastics</v>
      </c>
    </row>
    <row r="70" spans="1:13" x14ac:dyDescent="0.3">
      <c r="A70" s="116">
        <v>3916</v>
      </c>
      <c r="B70" s="114" t="s">
        <v>71</v>
      </c>
      <c r="C70" s="115">
        <v>0.49</v>
      </c>
      <c r="D70" s="115">
        <v>0.28000000000000003</v>
      </c>
      <c r="E70" s="115">
        <v>0.2</v>
      </c>
      <c r="F70" s="115">
        <v>0.11</v>
      </c>
      <c r="G70" s="115">
        <v>0.16</v>
      </c>
      <c r="H70" s="115">
        <v>0.2</v>
      </c>
      <c r="I70" s="115">
        <v>0.56000000000000005</v>
      </c>
      <c r="J70" s="115">
        <v>1.35</v>
      </c>
      <c r="K70" s="115">
        <v>1.23</v>
      </c>
      <c r="L70" s="115">
        <v>0.84</v>
      </c>
      <c r="M70" s="115" t="str">
        <f>VLOOKUP(A70,Product_Mapping!$B:$D,3,FALSE)</f>
        <v>Plastics</v>
      </c>
    </row>
    <row r="71" spans="1:13" x14ac:dyDescent="0.3">
      <c r="A71" s="116">
        <v>3924</v>
      </c>
      <c r="B71" s="114" t="s">
        <v>72</v>
      </c>
      <c r="C71" s="115">
        <v>0.21</v>
      </c>
      <c r="D71" s="115">
        <v>0.33</v>
      </c>
      <c r="E71" s="115">
        <v>0.67</v>
      </c>
      <c r="F71" s="115">
        <v>0.31</v>
      </c>
      <c r="G71" s="115">
        <v>0.09</v>
      </c>
      <c r="H71" s="115">
        <v>0.06</v>
      </c>
      <c r="I71" s="115">
        <v>0.13</v>
      </c>
      <c r="J71" s="115">
        <v>0.19</v>
      </c>
      <c r="K71" s="115">
        <v>0.25</v>
      </c>
      <c r="L71" s="115">
        <v>0.43</v>
      </c>
      <c r="M71" s="115" t="str">
        <f>VLOOKUP(A71,Product_Mapping!$B:$D,3,FALSE)</f>
        <v>Plastics</v>
      </c>
    </row>
    <row r="72" spans="1:13" x14ac:dyDescent="0.3">
      <c r="A72" s="116">
        <v>3925</v>
      </c>
      <c r="B72" s="114" t="s">
        <v>73</v>
      </c>
      <c r="C72" s="115">
        <v>0.11</v>
      </c>
      <c r="D72" s="115">
        <v>0.26</v>
      </c>
      <c r="E72" s="115">
        <v>0.15</v>
      </c>
      <c r="F72" s="115">
        <v>0.16</v>
      </c>
      <c r="G72" s="115">
        <v>0.11</v>
      </c>
      <c r="H72" s="115">
        <v>0.1</v>
      </c>
      <c r="I72" s="115">
        <v>0.23</v>
      </c>
      <c r="J72" s="115">
        <v>0.3</v>
      </c>
      <c r="K72" s="115">
        <v>0.13</v>
      </c>
      <c r="L72" s="115">
        <v>0.23</v>
      </c>
      <c r="M72" s="115" t="str">
        <f>VLOOKUP(A72,Product_Mapping!$B:$D,3,FALSE)</f>
        <v>Plastics</v>
      </c>
    </row>
    <row r="73" spans="1:13" x14ac:dyDescent="0.3">
      <c r="A73" s="116">
        <v>3922</v>
      </c>
      <c r="B73" s="114" t="s">
        <v>74</v>
      </c>
      <c r="C73" s="115">
        <v>0.05</v>
      </c>
      <c r="D73" s="115">
        <v>0.05</v>
      </c>
      <c r="E73" s="115">
        <v>0.09</v>
      </c>
      <c r="F73" s="115">
        <v>0.45</v>
      </c>
      <c r="G73" s="115">
        <v>0.32</v>
      </c>
      <c r="H73" s="115">
        <v>0.25</v>
      </c>
      <c r="I73" s="115">
        <v>0.21</v>
      </c>
      <c r="J73" s="115">
        <v>0.03</v>
      </c>
      <c r="K73" s="115">
        <v>0.01</v>
      </c>
      <c r="L73" s="115">
        <v>0.06</v>
      </c>
      <c r="M73" s="115" t="str">
        <f>VLOOKUP(A73,Product_Mapping!$B:$D,3,FALSE)</f>
        <v>Plastics</v>
      </c>
    </row>
    <row r="74" spans="1:13" x14ac:dyDescent="0.3">
      <c r="A74" s="116">
        <v>3918</v>
      </c>
      <c r="B74" s="114" t="s">
        <v>75</v>
      </c>
      <c r="C74" s="115">
        <v>0.04</v>
      </c>
      <c r="D74" s="115">
        <v>0.06</v>
      </c>
      <c r="E74" s="115">
        <v>0.03</v>
      </c>
      <c r="F74" s="115">
        <v>0.32</v>
      </c>
      <c r="G74" s="115">
        <v>0.06</v>
      </c>
      <c r="H74" s="115">
        <v>0.01</v>
      </c>
      <c r="I74" s="115">
        <v>0.04</v>
      </c>
      <c r="J74" s="115">
        <v>0.06</v>
      </c>
      <c r="K74" s="115">
        <v>0.12</v>
      </c>
      <c r="L74" s="115">
        <v>0.05</v>
      </c>
      <c r="M74" s="115" t="str">
        <f>VLOOKUP(A74,Product_Mapping!$B:$D,3,FALSE)</f>
        <v>Plastics</v>
      </c>
    </row>
    <row r="75" spans="1:13" x14ac:dyDescent="0.3">
      <c r="A75" s="116">
        <v>3915</v>
      </c>
      <c r="B75" s="114" t="s">
        <v>76</v>
      </c>
      <c r="C75" s="115">
        <v>0.05</v>
      </c>
      <c r="D75" s="115">
        <v>0.23</v>
      </c>
      <c r="E75" s="115">
        <v>0.11</v>
      </c>
      <c r="F75" s="115">
        <v>0</v>
      </c>
      <c r="G75" s="115">
        <v>0</v>
      </c>
      <c r="H75" s="115">
        <v>0</v>
      </c>
      <c r="I75" s="115">
        <v>0</v>
      </c>
      <c r="J75" s="115">
        <v>0.01</v>
      </c>
      <c r="K75" s="115">
        <v>0</v>
      </c>
      <c r="L75" s="115">
        <v>0.02</v>
      </c>
      <c r="M75" s="115" t="str">
        <f>VLOOKUP(A75,Product_Mapping!$B:$D,3,FALSE)</f>
        <v>Plastics</v>
      </c>
    </row>
    <row r="76" spans="1:13" x14ac:dyDescent="0.3">
      <c r="A76" s="116">
        <v>6813</v>
      </c>
      <c r="B76" s="114" t="s">
        <v>81</v>
      </c>
      <c r="C76" s="115">
        <v>18.739999999999998</v>
      </c>
      <c r="D76" s="115">
        <v>18.13</v>
      </c>
      <c r="E76" s="115">
        <v>27.19</v>
      </c>
      <c r="F76" s="115">
        <v>21.16</v>
      </c>
      <c r="G76" s="115">
        <v>15.13</v>
      </c>
      <c r="H76" s="115">
        <v>19.010000000000002</v>
      </c>
      <c r="I76" s="115">
        <v>18.149999999999999</v>
      </c>
      <c r="J76" s="115">
        <v>17.36</v>
      </c>
      <c r="K76" s="115">
        <v>18.690000000000001</v>
      </c>
      <c r="L76" s="115">
        <v>22.84</v>
      </c>
      <c r="M76" s="115" t="str">
        <f>VLOOKUP(A76,Product_Mapping!$B:$D,3,FALSE)</f>
        <v>Decorative Materials</v>
      </c>
    </row>
    <row r="77" spans="1:13" x14ac:dyDescent="0.3">
      <c r="A77" s="116">
        <v>6804</v>
      </c>
      <c r="B77" s="114" t="s">
        <v>82</v>
      </c>
      <c r="C77" s="115">
        <v>13.4</v>
      </c>
      <c r="D77" s="115">
        <v>14.16</v>
      </c>
      <c r="E77" s="115">
        <v>20.350000000000001</v>
      </c>
      <c r="F77" s="115">
        <v>16.03</v>
      </c>
      <c r="G77" s="115">
        <v>13.03</v>
      </c>
      <c r="H77" s="115">
        <v>18.54</v>
      </c>
      <c r="I77" s="115">
        <v>17.13</v>
      </c>
      <c r="J77" s="115">
        <v>18.5</v>
      </c>
      <c r="K77" s="115">
        <v>18.98</v>
      </c>
      <c r="L77" s="115">
        <v>18.350000000000001</v>
      </c>
      <c r="M77" s="115" t="str">
        <f>VLOOKUP(A77,Product_Mapping!$B:$D,3,FALSE)</f>
        <v>Decorative Materials</v>
      </c>
    </row>
    <row r="78" spans="1:13" x14ac:dyDescent="0.3">
      <c r="A78" s="116">
        <v>6815</v>
      </c>
      <c r="B78" s="114" t="s">
        <v>80</v>
      </c>
      <c r="C78" s="115">
        <v>3.57</v>
      </c>
      <c r="D78" s="115">
        <v>11.68</v>
      </c>
      <c r="E78" s="115">
        <v>7.15</v>
      </c>
      <c r="F78" s="115">
        <v>11.39</v>
      </c>
      <c r="G78" s="115">
        <v>5.51</v>
      </c>
      <c r="H78" s="115">
        <v>15.26</v>
      </c>
      <c r="I78" s="115">
        <v>3.76</v>
      </c>
      <c r="J78" s="115">
        <v>6.37</v>
      </c>
      <c r="K78" s="115">
        <v>10.75</v>
      </c>
      <c r="L78" s="115">
        <v>11.09</v>
      </c>
      <c r="M78" s="115" t="str">
        <f>VLOOKUP(A78,Product_Mapping!$B:$D,3,FALSE)</f>
        <v>Decorative Materials</v>
      </c>
    </row>
    <row r="79" spans="1:13" x14ac:dyDescent="0.3">
      <c r="A79" s="116">
        <v>6806</v>
      </c>
      <c r="B79" s="114" t="s">
        <v>79</v>
      </c>
      <c r="C79" s="115">
        <v>3.72</v>
      </c>
      <c r="D79" s="115">
        <v>2.73</v>
      </c>
      <c r="E79" s="115">
        <v>5.01</v>
      </c>
      <c r="F79" s="115">
        <v>3.61</v>
      </c>
      <c r="G79" s="115">
        <v>1.44</v>
      </c>
      <c r="H79" s="115">
        <v>3.77</v>
      </c>
      <c r="I79" s="115">
        <v>4.51</v>
      </c>
      <c r="J79" s="115">
        <v>6.82</v>
      </c>
      <c r="K79" s="115">
        <v>7.96</v>
      </c>
      <c r="L79" s="115">
        <v>8.76</v>
      </c>
      <c r="M79" s="115" t="str">
        <f>VLOOKUP(A79,Product_Mapping!$B:$D,3,FALSE)</f>
        <v>Decorative Materials</v>
      </c>
    </row>
    <row r="80" spans="1:13" x14ac:dyDescent="0.3">
      <c r="A80" s="116">
        <v>6805</v>
      </c>
      <c r="B80" s="114" t="s">
        <v>85</v>
      </c>
      <c r="C80" s="115">
        <v>1.55</v>
      </c>
      <c r="D80" s="115">
        <v>1.69</v>
      </c>
      <c r="E80" s="115">
        <v>2.14</v>
      </c>
      <c r="F80" s="115">
        <v>2.37</v>
      </c>
      <c r="G80" s="115">
        <v>1.61</v>
      </c>
      <c r="H80" s="115">
        <v>3.12</v>
      </c>
      <c r="I80" s="115">
        <v>2.82</v>
      </c>
      <c r="J80" s="115">
        <v>2.73</v>
      </c>
      <c r="K80" s="115">
        <v>2.75</v>
      </c>
      <c r="L80" s="115">
        <v>4.28</v>
      </c>
      <c r="M80" s="115" t="str">
        <f>VLOOKUP(A80,Product_Mapping!$B:$D,3,FALSE)</f>
        <v>Decorative Materials</v>
      </c>
    </row>
    <row r="81" spans="1:13" x14ac:dyDescent="0.3">
      <c r="A81" s="116">
        <v>6814</v>
      </c>
      <c r="B81" s="114" t="s">
        <v>78</v>
      </c>
      <c r="C81" s="115">
        <v>0.64</v>
      </c>
      <c r="D81" s="115">
        <v>0.89</v>
      </c>
      <c r="E81" s="115">
        <v>0.96</v>
      </c>
      <c r="F81" s="115">
        <v>1.1299999999999999</v>
      </c>
      <c r="G81" s="115">
        <v>1.44</v>
      </c>
      <c r="H81" s="115">
        <v>2.0099999999999998</v>
      </c>
      <c r="I81" s="115">
        <v>1.46</v>
      </c>
      <c r="J81" s="115">
        <v>1.88</v>
      </c>
      <c r="K81" s="115">
        <v>1.4</v>
      </c>
      <c r="L81" s="115">
        <v>1.72</v>
      </c>
      <c r="M81" s="115" t="str">
        <f>VLOOKUP(A81,Product_Mapping!$B:$D,3,FALSE)</f>
        <v>Decorative Materials</v>
      </c>
    </row>
    <row r="82" spans="1:13" x14ac:dyDescent="0.3">
      <c r="A82" s="116">
        <v>6812</v>
      </c>
      <c r="B82" s="114" t="s">
        <v>91</v>
      </c>
      <c r="C82" s="115">
        <v>0.2</v>
      </c>
      <c r="D82" s="115">
        <v>0.15</v>
      </c>
      <c r="E82" s="115">
        <v>0.59</v>
      </c>
      <c r="F82" s="115">
        <v>0.38</v>
      </c>
      <c r="G82" s="115">
        <v>0.28000000000000003</v>
      </c>
      <c r="H82" s="115">
        <v>0.3</v>
      </c>
      <c r="I82" s="115">
        <v>0.21</v>
      </c>
      <c r="J82" s="115">
        <v>0.24</v>
      </c>
      <c r="K82" s="115">
        <v>0.24</v>
      </c>
      <c r="L82" s="115">
        <v>0.15</v>
      </c>
      <c r="M82" s="115" t="str">
        <f>VLOOKUP(A82,Product_Mapping!$B:$D,3,FALSE)</f>
        <v>Decorative Materials</v>
      </c>
    </row>
    <row r="83" spans="1:13" x14ac:dyDescent="0.3">
      <c r="A83" s="116">
        <v>6811</v>
      </c>
      <c r="B83" s="114" t="s">
        <v>90</v>
      </c>
      <c r="C83" s="115">
        <v>0</v>
      </c>
      <c r="D83" s="115">
        <v>0.02</v>
      </c>
      <c r="E83" s="115">
        <v>0.08</v>
      </c>
      <c r="F83" s="115">
        <v>0.04</v>
      </c>
      <c r="G83" s="115">
        <v>0</v>
      </c>
      <c r="H83" s="115">
        <v>0.02</v>
      </c>
      <c r="I83" s="115">
        <v>0.05</v>
      </c>
      <c r="J83" s="115">
        <v>0.15</v>
      </c>
      <c r="K83" s="115">
        <v>0</v>
      </c>
      <c r="L83" s="115">
        <v>0.11</v>
      </c>
      <c r="M83" s="115" t="str">
        <f>VLOOKUP(A83,Product_Mapping!$B:$D,3,FALSE)</f>
        <v>Decorative Materials</v>
      </c>
    </row>
    <row r="84" spans="1:13" x14ac:dyDescent="0.3">
      <c r="A84" s="116">
        <v>6810</v>
      </c>
      <c r="B84" s="114" t="s">
        <v>89</v>
      </c>
      <c r="C84" s="115">
        <v>0.03</v>
      </c>
      <c r="D84" s="115">
        <v>0.02</v>
      </c>
      <c r="E84" s="115">
        <v>0.15</v>
      </c>
      <c r="F84" s="115" t="s">
        <v>48</v>
      </c>
      <c r="G84" s="115">
        <v>0</v>
      </c>
      <c r="H84" s="115">
        <v>0</v>
      </c>
      <c r="I84" s="115">
        <v>0</v>
      </c>
      <c r="J84" s="115">
        <v>0</v>
      </c>
      <c r="K84" s="115">
        <v>0.03</v>
      </c>
      <c r="L84" s="115">
        <v>0.1</v>
      </c>
      <c r="M84" s="115" t="str">
        <f>VLOOKUP(A84,Product_Mapping!$B:$D,3,FALSE)</f>
        <v>Decorative Materials</v>
      </c>
    </row>
    <row r="85" spans="1:13" x14ac:dyDescent="0.3">
      <c r="A85" s="116">
        <v>6802</v>
      </c>
      <c r="B85" s="114" t="s">
        <v>77</v>
      </c>
      <c r="C85" s="115">
        <v>0.05</v>
      </c>
      <c r="D85" s="115">
        <v>0.02</v>
      </c>
      <c r="E85" s="115">
        <v>0.01</v>
      </c>
      <c r="F85" s="115">
        <v>0.01</v>
      </c>
      <c r="G85" s="115">
        <v>0.01</v>
      </c>
      <c r="H85" s="115">
        <v>0</v>
      </c>
      <c r="I85" s="115">
        <v>0</v>
      </c>
      <c r="J85" s="115">
        <v>0</v>
      </c>
      <c r="K85" s="115">
        <v>0</v>
      </c>
      <c r="L85" s="115">
        <v>0</v>
      </c>
      <c r="M85" s="115" t="str">
        <f>VLOOKUP(A85,Product_Mapping!$B:$D,3,FALSE)</f>
        <v>Decorative Materials</v>
      </c>
    </row>
    <row r="86" spans="1:13" x14ac:dyDescent="0.3">
      <c r="A86" s="116">
        <v>6803</v>
      </c>
      <c r="B86" s="114" t="s">
        <v>83</v>
      </c>
      <c r="C86" s="115">
        <v>0</v>
      </c>
      <c r="D86" s="115">
        <v>0</v>
      </c>
      <c r="E86" s="115">
        <v>0</v>
      </c>
      <c r="F86" s="115" t="s">
        <v>48</v>
      </c>
      <c r="G86" s="115" t="s">
        <v>48</v>
      </c>
      <c r="H86" s="115">
        <v>0</v>
      </c>
      <c r="I86" s="115">
        <v>0</v>
      </c>
      <c r="J86" s="115" t="s">
        <v>48</v>
      </c>
      <c r="K86" s="115">
        <v>0</v>
      </c>
      <c r="L86" s="115">
        <v>0</v>
      </c>
      <c r="M86" s="115" t="str">
        <f>VLOOKUP(A86,Product_Mapping!$B:$D,3,FALSE)</f>
        <v>Decorative Materials</v>
      </c>
    </row>
    <row r="87" spans="1:13" x14ac:dyDescent="0.3">
      <c r="A87" s="116">
        <v>6807</v>
      </c>
      <c r="B87" s="114" t="s">
        <v>88</v>
      </c>
      <c r="C87" s="115">
        <v>0.17</v>
      </c>
      <c r="D87" s="115">
        <v>0.25</v>
      </c>
      <c r="E87" s="115">
        <v>0</v>
      </c>
      <c r="F87" s="115">
        <v>0</v>
      </c>
      <c r="G87" s="115">
        <v>0</v>
      </c>
      <c r="H87" s="115">
        <v>0.01</v>
      </c>
      <c r="I87" s="115">
        <v>0</v>
      </c>
      <c r="J87" s="115">
        <v>0.01</v>
      </c>
      <c r="K87" s="115">
        <v>0</v>
      </c>
      <c r="L87" s="115">
        <v>0</v>
      </c>
      <c r="M87" s="115" t="str">
        <f>VLOOKUP(A87,Product_Mapping!$B:$D,3,FALSE)</f>
        <v>Decorative Materials</v>
      </c>
    </row>
    <row r="88" spans="1:13" x14ac:dyDescent="0.3">
      <c r="A88" s="116">
        <v>6808</v>
      </c>
      <c r="B88" s="114" t="s">
        <v>86</v>
      </c>
      <c r="C88" s="115">
        <v>0.02</v>
      </c>
      <c r="D88" s="115">
        <v>0</v>
      </c>
      <c r="E88" s="115">
        <v>0</v>
      </c>
      <c r="F88" s="115" t="s">
        <v>48</v>
      </c>
      <c r="G88" s="115">
        <v>0</v>
      </c>
      <c r="H88" s="115">
        <v>0</v>
      </c>
      <c r="I88" s="115">
        <v>0</v>
      </c>
      <c r="J88" s="115" t="s">
        <v>48</v>
      </c>
      <c r="K88" s="115">
        <v>0</v>
      </c>
      <c r="L88" s="115">
        <v>0</v>
      </c>
      <c r="M88" s="115" t="str">
        <f>VLOOKUP(A88,Product_Mapping!$B:$D,3,FALSE)</f>
        <v>Decorative Materials</v>
      </c>
    </row>
    <row r="89" spans="1:13" x14ac:dyDescent="0.3">
      <c r="A89" s="116">
        <v>6809</v>
      </c>
      <c r="B89" s="114" t="s">
        <v>87</v>
      </c>
      <c r="C89" s="115">
        <v>0</v>
      </c>
      <c r="D89" s="115">
        <v>0.05</v>
      </c>
      <c r="E89" s="115">
        <v>0</v>
      </c>
      <c r="F89" s="115">
        <v>0</v>
      </c>
      <c r="G89" s="115">
        <v>0</v>
      </c>
      <c r="H89" s="115">
        <v>0</v>
      </c>
      <c r="I89" s="115">
        <v>0</v>
      </c>
      <c r="J89" s="115">
        <v>0</v>
      </c>
      <c r="K89" s="115">
        <v>0</v>
      </c>
      <c r="L89" s="115">
        <v>0</v>
      </c>
      <c r="M89" s="115" t="str">
        <f>VLOOKUP(A89,Product_Mapping!$B:$D,3,FALSE)</f>
        <v>Decorative Materials</v>
      </c>
    </row>
    <row r="90" spans="1:13" x14ac:dyDescent="0.3">
      <c r="A90" s="116">
        <v>6909</v>
      </c>
      <c r="B90" s="114" t="s">
        <v>92</v>
      </c>
      <c r="C90" s="115">
        <v>3.46</v>
      </c>
      <c r="D90" s="115">
        <v>9.1999999999999993</v>
      </c>
      <c r="E90" s="115">
        <v>12.48</v>
      </c>
      <c r="F90" s="115">
        <v>7.15</v>
      </c>
      <c r="G90" s="115">
        <v>8.09</v>
      </c>
      <c r="H90" s="115">
        <v>13.29</v>
      </c>
      <c r="I90" s="115">
        <v>11.02</v>
      </c>
      <c r="J90" s="115">
        <v>20.88</v>
      </c>
      <c r="K90" s="115">
        <v>16.989999999999998</v>
      </c>
      <c r="L90" s="115">
        <v>21.44</v>
      </c>
      <c r="M90" s="115" t="str">
        <f>VLOOKUP(A90,Product_Mapping!$B:$D,3,FALSE)</f>
        <v>Sanitary</v>
      </c>
    </row>
    <row r="91" spans="1:13" x14ac:dyDescent="0.3">
      <c r="A91" s="116">
        <v>6903</v>
      </c>
      <c r="B91" s="114" t="s">
        <v>93</v>
      </c>
      <c r="C91" s="115">
        <v>4.3099999999999996</v>
      </c>
      <c r="D91" s="115">
        <v>3.68</v>
      </c>
      <c r="E91" s="115">
        <v>6.47</v>
      </c>
      <c r="F91" s="115">
        <v>8.17</v>
      </c>
      <c r="G91" s="115">
        <v>8.7100000000000009</v>
      </c>
      <c r="H91" s="115">
        <v>12.58</v>
      </c>
      <c r="I91" s="115">
        <v>12.66</v>
      </c>
      <c r="J91" s="115">
        <v>11.78</v>
      </c>
      <c r="K91" s="115">
        <v>11.76</v>
      </c>
      <c r="L91" s="115">
        <v>11.41</v>
      </c>
      <c r="M91" s="115" t="str">
        <f>VLOOKUP(A91,Product_Mapping!$B:$D,3,FALSE)</f>
        <v>Sanitary</v>
      </c>
    </row>
    <row r="92" spans="1:13" x14ac:dyDescent="0.3">
      <c r="A92" s="116">
        <v>6902</v>
      </c>
      <c r="B92" s="114" t="s">
        <v>94</v>
      </c>
      <c r="C92" s="115">
        <v>1.89</v>
      </c>
      <c r="D92" s="115">
        <v>4.25</v>
      </c>
      <c r="E92" s="115">
        <v>1.38</v>
      </c>
      <c r="F92" s="115">
        <v>1.3</v>
      </c>
      <c r="G92" s="115">
        <v>1.94</v>
      </c>
      <c r="H92" s="115">
        <v>2.88</v>
      </c>
      <c r="I92" s="115">
        <v>1.43</v>
      </c>
      <c r="J92" s="115">
        <v>7.39</v>
      </c>
      <c r="K92" s="115">
        <v>15.09</v>
      </c>
      <c r="L92" s="115">
        <v>9.3000000000000007</v>
      </c>
      <c r="M92" s="115" t="str">
        <f>VLOOKUP(A92,Product_Mapping!$B:$D,3,FALSE)</f>
        <v>Sanitary</v>
      </c>
    </row>
    <row r="93" spans="1:13" x14ac:dyDescent="0.3">
      <c r="A93" s="116">
        <v>6914</v>
      </c>
      <c r="B93" s="114" t="s">
        <v>95</v>
      </c>
      <c r="C93" s="115">
        <v>3.6</v>
      </c>
      <c r="D93" s="115">
        <v>1.96</v>
      </c>
      <c r="E93" s="115">
        <v>2.69</v>
      </c>
      <c r="F93" s="115">
        <v>2.64</v>
      </c>
      <c r="G93" s="115">
        <v>1.59</v>
      </c>
      <c r="H93" s="115">
        <v>2.36</v>
      </c>
      <c r="I93" s="115">
        <v>2.3199999999999998</v>
      </c>
      <c r="J93" s="115">
        <v>1.31</v>
      </c>
      <c r="K93" s="115">
        <v>2.3199999999999998</v>
      </c>
      <c r="L93" s="115">
        <v>2.11</v>
      </c>
      <c r="M93" s="115" t="str">
        <f>VLOOKUP(A93,Product_Mapping!$B:$D,3,FALSE)</f>
        <v>Sanitary</v>
      </c>
    </row>
    <row r="94" spans="1:13" x14ac:dyDescent="0.3">
      <c r="A94" s="116">
        <v>6910</v>
      </c>
      <c r="B94" s="114" t="s">
        <v>96</v>
      </c>
      <c r="C94" s="115">
        <v>0.13</v>
      </c>
      <c r="D94" s="115">
        <v>0.21</v>
      </c>
      <c r="E94" s="115">
        <v>0.36</v>
      </c>
      <c r="F94" s="115">
        <v>0.33</v>
      </c>
      <c r="G94" s="115">
        <v>0.25</v>
      </c>
      <c r="H94" s="115">
        <v>0.32</v>
      </c>
      <c r="I94" s="115">
        <v>0.44</v>
      </c>
      <c r="J94" s="115">
        <v>0.54</v>
      </c>
      <c r="K94" s="115">
        <v>0.43</v>
      </c>
      <c r="L94" s="115">
        <v>0.52</v>
      </c>
      <c r="M94" s="115" t="str">
        <f>VLOOKUP(A94,Product_Mapping!$B:$D,3,FALSE)</f>
        <v>Sanitary</v>
      </c>
    </row>
    <row r="95" spans="1:13" x14ac:dyDescent="0.3">
      <c r="A95" s="116">
        <v>6911</v>
      </c>
      <c r="B95" s="114" t="s">
        <v>97</v>
      </c>
      <c r="C95" s="115">
        <v>0.21</v>
      </c>
      <c r="D95" s="115">
        <v>0.11</v>
      </c>
      <c r="E95" s="115">
        <v>0.21</v>
      </c>
      <c r="F95" s="115">
        <v>0.35</v>
      </c>
      <c r="G95" s="115">
        <v>0.31</v>
      </c>
      <c r="H95" s="115">
        <v>0.54</v>
      </c>
      <c r="I95" s="115">
        <v>0.27</v>
      </c>
      <c r="J95" s="115">
        <v>0.16</v>
      </c>
      <c r="K95" s="115">
        <v>0.18</v>
      </c>
      <c r="L95" s="115">
        <v>0.14000000000000001</v>
      </c>
      <c r="M95" s="115" t="str">
        <f>VLOOKUP(A95,Product_Mapping!$B:$D,3,FALSE)</f>
        <v>Sanitary</v>
      </c>
    </row>
    <row r="96" spans="1:13" x14ac:dyDescent="0.3">
      <c r="A96" s="116">
        <v>6912</v>
      </c>
      <c r="B96" s="114" t="s">
        <v>98</v>
      </c>
      <c r="C96" s="115">
        <v>0.04</v>
      </c>
      <c r="D96" s="115">
        <v>0.02</v>
      </c>
      <c r="E96" s="115">
        <v>0.03</v>
      </c>
      <c r="F96" s="115">
        <v>0.04</v>
      </c>
      <c r="G96" s="115">
        <v>0.02</v>
      </c>
      <c r="H96" s="115">
        <v>0.11</v>
      </c>
      <c r="I96" s="115">
        <v>0.04</v>
      </c>
      <c r="J96" s="115">
        <v>0.04</v>
      </c>
      <c r="K96" s="115">
        <v>7.0000000000000007E-2</v>
      </c>
      <c r="L96" s="115">
        <v>7.0000000000000007E-2</v>
      </c>
      <c r="M96" s="115" t="str">
        <f>VLOOKUP(A96,Product_Mapping!$B:$D,3,FALSE)</f>
        <v>Sanitary</v>
      </c>
    </row>
    <row r="97" spans="1:13" x14ac:dyDescent="0.3">
      <c r="A97" s="116">
        <v>6907</v>
      </c>
      <c r="B97" s="114" t="s">
        <v>99</v>
      </c>
      <c r="C97" s="115">
        <v>0</v>
      </c>
      <c r="D97" s="115">
        <v>0.14000000000000001</v>
      </c>
      <c r="E97" s="115">
        <v>0.36</v>
      </c>
      <c r="F97" s="115">
        <v>0.28000000000000003</v>
      </c>
      <c r="G97" s="115">
        <v>0.01</v>
      </c>
      <c r="H97" s="115">
        <v>0.01</v>
      </c>
      <c r="I97" s="115" t="s">
        <v>48</v>
      </c>
      <c r="J97" s="115">
        <v>0.01</v>
      </c>
      <c r="K97" s="115">
        <v>0</v>
      </c>
      <c r="L97" s="115">
        <v>0.03</v>
      </c>
      <c r="M97" s="115" t="str">
        <f>VLOOKUP(A97,Product_Mapping!$B:$D,3,FALSE)</f>
        <v>Sanitary</v>
      </c>
    </row>
    <row r="98" spans="1:13" x14ac:dyDescent="0.3">
      <c r="A98" s="116">
        <v>6905</v>
      </c>
      <c r="B98" s="114" t="s">
        <v>100</v>
      </c>
      <c r="C98" s="115">
        <v>0.01</v>
      </c>
      <c r="D98" s="115">
        <v>0.02</v>
      </c>
      <c r="E98" s="115">
        <v>0.02</v>
      </c>
      <c r="F98" s="115">
        <v>0.04</v>
      </c>
      <c r="G98" s="115">
        <v>0.05</v>
      </c>
      <c r="H98" s="115">
        <v>0.09</v>
      </c>
      <c r="I98" s="115">
        <v>0.06</v>
      </c>
      <c r="J98" s="115">
        <v>0.03</v>
      </c>
      <c r="K98" s="115">
        <v>0.04</v>
      </c>
      <c r="L98" s="115">
        <v>0.03</v>
      </c>
      <c r="M98" s="115" t="str">
        <f>VLOOKUP(A98,Product_Mapping!$B:$D,3,FALSE)</f>
        <v>Sanitary</v>
      </c>
    </row>
    <row r="99" spans="1:13" x14ac:dyDescent="0.3">
      <c r="A99" s="116">
        <v>6906</v>
      </c>
      <c r="B99" s="114" t="s">
        <v>101</v>
      </c>
      <c r="C99" s="115">
        <v>0</v>
      </c>
      <c r="D99" s="115">
        <v>0</v>
      </c>
      <c r="E99" s="115">
        <v>0</v>
      </c>
      <c r="F99" s="115">
        <v>0.01</v>
      </c>
      <c r="G99" s="115">
        <v>0</v>
      </c>
      <c r="H99" s="115">
        <v>0.03</v>
      </c>
      <c r="I99" s="115">
        <v>0.03</v>
      </c>
      <c r="J99" s="115">
        <v>0.06</v>
      </c>
      <c r="K99" s="115">
        <v>0.02</v>
      </c>
      <c r="L99" s="115">
        <v>0.01</v>
      </c>
      <c r="M99" s="115" t="str">
        <f>VLOOKUP(A99,Product_Mapping!$B:$D,3,FALSE)</f>
        <v>Sanitary</v>
      </c>
    </row>
    <row r="100" spans="1:13" x14ac:dyDescent="0.3">
      <c r="A100" s="116">
        <v>6904</v>
      </c>
      <c r="B100" s="114" t="s">
        <v>102</v>
      </c>
      <c r="C100" s="115">
        <v>0.56000000000000005</v>
      </c>
      <c r="D100" s="115">
        <v>0.02</v>
      </c>
      <c r="E100" s="115">
        <v>0</v>
      </c>
      <c r="F100" s="115">
        <v>1.17</v>
      </c>
      <c r="G100" s="115">
        <v>0.01</v>
      </c>
      <c r="H100" s="115">
        <v>0</v>
      </c>
      <c r="I100" s="115">
        <v>0</v>
      </c>
      <c r="J100" s="115">
        <v>0</v>
      </c>
      <c r="K100" s="115">
        <v>0</v>
      </c>
      <c r="L100" s="115">
        <v>0.01</v>
      </c>
      <c r="M100" s="115" t="str">
        <f>VLOOKUP(A100,Product_Mapping!$B:$D,3,FALSE)</f>
        <v>Sanitary</v>
      </c>
    </row>
    <row r="101" spans="1:13" x14ac:dyDescent="0.3">
      <c r="A101" s="116">
        <v>6913</v>
      </c>
      <c r="B101" s="114" t="s">
        <v>103</v>
      </c>
      <c r="C101" s="115">
        <v>0.01</v>
      </c>
      <c r="D101" s="115">
        <v>0</v>
      </c>
      <c r="E101" s="115">
        <v>0</v>
      </c>
      <c r="F101" s="115" t="s">
        <v>48</v>
      </c>
      <c r="G101" s="115">
        <v>0</v>
      </c>
      <c r="H101" s="115" t="s">
        <v>48</v>
      </c>
      <c r="I101" s="115">
        <v>0</v>
      </c>
      <c r="J101" s="115" t="s">
        <v>48</v>
      </c>
      <c r="K101" s="115">
        <v>0</v>
      </c>
      <c r="L101" s="115">
        <v>0</v>
      </c>
      <c r="M101" s="115" t="str">
        <f>VLOOKUP(A101,Product_Mapping!$B:$D,3,FALSE)</f>
        <v>Sanitary</v>
      </c>
    </row>
    <row r="102" spans="1:13" x14ac:dyDescent="0.3">
      <c r="A102" s="116">
        <v>6901</v>
      </c>
      <c r="B102" s="114" t="s">
        <v>104</v>
      </c>
      <c r="C102" s="115">
        <v>0</v>
      </c>
      <c r="D102" s="115">
        <v>0.03</v>
      </c>
      <c r="E102" s="115">
        <v>0.09</v>
      </c>
      <c r="F102" s="115">
        <v>0.01</v>
      </c>
      <c r="G102" s="115" t="s">
        <v>48</v>
      </c>
      <c r="H102" s="115">
        <v>0</v>
      </c>
      <c r="I102" s="115">
        <v>0</v>
      </c>
      <c r="J102" s="115">
        <v>0</v>
      </c>
      <c r="K102" s="115">
        <v>0</v>
      </c>
      <c r="L102" s="115">
        <v>0</v>
      </c>
      <c r="M102" s="115" t="str">
        <f>VLOOKUP(A102,Product_Mapping!$B:$D,3,FALSE)</f>
        <v>Sanitary</v>
      </c>
    </row>
    <row r="103" spans="1:13" x14ac:dyDescent="0.3">
      <c r="A103" s="116">
        <v>6908</v>
      </c>
      <c r="B103" s="114" t="s">
        <v>105</v>
      </c>
      <c r="C103" s="115">
        <v>0.02</v>
      </c>
      <c r="D103" s="115">
        <v>0</v>
      </c>
      <c r="E103" s="115">
        <v>0</v>
      </c>
      <c r="F103" s="115">
        <v>0</v>
      </c>
      <c r="G103" s="115">
        <v>0</v>
      </c>
      <c r="H103" s="115">
        <v>0</v>
      </c>
      <c r="I103" s="115">
        <v>0</v>
      </c>
      <c r="J103" s="115">
        <v>0</v>
      </c>
      <c r="K103" s="115">
        <v>0</v>
      </c>
      <c r="L103" s="115">
        <v>0</v>
      </c>
      <c r="M103" s="115" t="str">
        <f>VLOOKUP(A103,Product_Mapping!$B:$D,3,FALSE)</f>
        <v>Sanitary</v>
      </c>
    </row>
    <row r="104" spans="1:13" x14ac:dyDescent="0.3">
      <c r="A104" s="116">
        <v>7318</v>
      </c>
      <c r="B104" s="114" t="s">
        <v>113</v>
      </c>
      <c r="C104" s="115">
        <v>113.57</v>
      </c>
      <c r="D104" s="115">
        <v>117.43</v>
      </c>
      <c r="E104" s="115">
        <v>132.84</v>
      </c>
      <c r="F104" s="115">
        <v>101.88</v>
      </c>
      <c r="G104" s="115">
        <v>72.63</v>
      </c>
      <c r="H104" s="115">
        <v>108.66</v>
      </c>
      <c r="I104" s="115">
        <v>106.46</v>
      </c>
      <c r="J104" s="115">
        <v>129.47</v>
      </c>
      <c r="K104" s="115">
        <v>126.9</v>
      </c>
      <c r="L104" s="115">
        <v>149.87</v>
      </c>
      <c r="M104" s="115" t="str">
        <f>VLOOKUP(A104,Product_Mapping!$B:$D,3,FALSE)</f>
        <v>Hardware</v>
      </c>
    </row>
    <row r="105" spans="1:13" x14ac:dyDescent="0.3">
      <c r="A105" s="116">
        <v>7302</v>
      </c>
      <c r="B105" s="114" t="s">
        <v>121</v>
      </c>
      <c r="C105" s="115">
        <v>50.07</v>
      </c>
      <c r="D105" s="115">
        <v>25.71</v>
      </c>
      <c r="E105" s="115">
        <v>59.5</v>
      </c>
      <c r="F105" s="115">
        <v>84.44</v>
      </c>
      <c r="G105" s="115">
        <v>25.54</v>
      </c>
      <c r="H105" s="115">
        <v>56.81</v>
      </c>
      <c r="I105" s="115">
        <v>27.73</v>
      </c>
      <c r="J105" s="115">
        <v>93.62</v>
      </c>
      <c r="K105" s="115">
        <v>46.06</v>
      </c>
      <c r="L105" s="115">
        <v>91.28</v>
      </c>
      <c r="M105" s="115" t="str">
        <f>VLOOKUP(A105,Product_Mapping!$B:$D,3,FALSE)</f>
        <v>Hardware</v>
      </c>
    </row>
    <row r="106" spans="1:13" x14ac:dyDescent="0.3">
      <c r="A106" s="116">
        <v>7326</v>
      </c>
      <c r="B106" s="114" t="s">
        <v>106</v>
      </c>
      <c r="C106" s="115">
        <v>69.650000000000006</v>
      </c>
      <c r="D106" s="115">
        <v>64.56</v>
      </c>
      <c r="E106" s="115">
        <v>59.45</v>
      </c>
      <c r="F106" s="115">
        <v>65.709999999999994</v>
      </c>
      <c r="G106" s="115">
        <v>40.450000000000003</v>
      </c>
      <c r="H106" s="115">
        <v>55.75</v>
      </c>
      <c r="I106" s="115">
        <v>53.83</v>
      </c>
      <c r="J106" s="115">
        <v>60.07</v>
      </c>
      <c r="K106" s="115">
        <v>62.97</v>
      </c>
      <c r="L106" s="115">
        <v>79.33</v>
      </c>
      <c r="M106" s="115" t="str">
        <f>VLOOKUP(A106,Product_Mapping!$B:$D,3,FALSE)</f>
        <v>Hardware</v>
      </c>
    </row>
    <row r="107" spans="1:13" x14ac:dyDescent="0.3">
      <c r="A107" s="116">
        <v>7304</v>
      </c>
      <c r="B107" s="114" t="s">
        <v>116</v>
      </c>
      <c r="C107" s="115">
        <v>61.05</v>
      </c>
      <c r="D107" s="115">
        <v>28.89</v>
      </c>
      <c r="E107" s="115">
        <v>67.03</v>
      </c>
      <c r="F107" s="115">
        <v>57.11</v>
      </c>
      <c r="G107" s="115">
        <v>32.33</v>
      </c>
      <c r="H107" s="115">
        <v>18.18</v>
      </c>
      <c r="I107" s="115">
        <v>39.03</v>
      </c>
      <c r="J107" s="115">
        <v>23.76</v>
      </c>
      <c r="K107" s="115">
        <v>46.27</v>
      </c>
      <c r="L107" s="115">
        <v>26.71</v>
      </c>
      <c r="M107" s="115" t="str">
        <f>VLOOKUP(A107,Product_Mapping!$B:$D,3,FALSE)</f>
        <v>Hardware</v>
      </c>
    </row>
    <row r="108" spans="1:13" x14ac:dyDescent="0.3">
      <c r="A108" s="116">
        <v>7307</v>
      </c>
      <c r="B108" s="114" t="s">
        <v>111</v>
      </c>
      <c r="C108" s="115">
        <v>8.3800000000000008</v>
      </c>
      <c r="D108" s="115">
        <v>10.37</v>
      </c>
      <c r="E108" s="115">
        <v>13.63</v>
      </c>
      <c r="F108" s="115">
        <v>11.21</v>
      </c>
      <c r="G108" s="115">
        <v>7.98</v>
      </c>
      <c r="H108" s="115">
        <v>10.59</v>
      </c>
      <c r="I108" s="115">
        <v>11.38</v>
      </c>
      <c r="J108" s="115">
        <v>13.39</v>
      </c>
      <c r="K108" s="115">
        <v>11.34</v>
      </c>
      <c r="L108" s="115">
        <v>14.93</v>
      </c>
      <c r="M108" s="115" t="str">
        <f>VLOOKUP(A108,Product_Mapping!$B:$D,3,FALSE)</f>
        <v>Hardware</v>
      </c>
    </row>
    <row r="109" spans="1:13" x14ac:dyDescent="0.3">
      <c r="A109" s="116">
        <v>7320</v>
      </c>
      <c r="B109" s="114" t="s">
        <v>112</v>
      </c>
      <c r="C109" s="115">
        <v>14.32</v>
      </c>
      <c r="D109" s="115">
        <v>15.14</v>
      </c>
      <c r="E109" s="115">
        <v>15.84</v>
      </c>
      <c r="F109" s="115">
        <v>13.38</v>
      </c>
      <c r="G109" s="115">
        <v>11.05</v>
      </c>
      <c r="H109" s="115">
        <v>13.72</v>
      </c>
      <c r="I109" s="115">
        <v>12.57</v>
      </c>
      <c r="J109" s="115">
        <v>13.42</v>
      </c>
      <c r="K109" s="115">
        <v>15.07</v>
      </c>
      <c r="L109" s="115">
        <v>14.46</v>
      </c>
      <c r="M109" s="115" t="str">
        <f>VLOOKUP(A109,Product_Mapping!$B:$D,3,FALSE)</f>
        <v>Hardware</v>
      </c>
    </row>
    <row r="110" spans="1:13" x14ac:dyDescent="0.3">
      <c r="A110" s="116">
        <v>7315</v>
      </c>
      <c r="B110" s="114" t="s">
        <v>115</v>
      </c>
      <c r="C110" s="115">
        <v>5.75</v>
      </c>
      <c r="D110" s="115">
        <v>6.1</v>
      </c>
      <c r="E110" s="115">
        <v>7.5</v>
      </c>
      <c r="F110" s="115">
        <v>6.49</v>
      </c>
      <c r="G110" s="115">
        <v>6.79</v>
      </c>
      <c r="H110" s="115">
        <v>6.85</v>
      </c>
      <c r="I110" s="115">
        <v>8.01</v>
      </c>
      <c r="J110" s="115">
        <v>10.09</v>
      </c>
      <c r="K110" s="115">
        <v>8.98</v>
      </c>
      <c r="L110" s="115">
        <v>12.3</v>
      </c>
      <c r="M110" s="115" t="str">
        <f>VLOOKUP(A110,Product_Mapping!$B:$D,3,FALSE)</f>
        <v>Hardware</v>
      </c>
    </row>
    <row r="111" spans="1:13" x14ac:dyDescent="0.3">
      <c r="A111" s="116">
        <v>7308</v>
      </c>
      <c r="B111" s="114" t="s">
        <v>107</v>
      </c>
      <c r="C111" s="115">
        <v>7.08</v>
      </c>
      <c r="D111" s="115">
        <v>7.08</v>
      </c>
      <c r="E111" s="115">
        <v>4.57</v>
      </c>
      <c r="F111" s="115">
        <v>2.6</v>
      </c>
      <c r="G111" s="115">
        <v>16.63</v>
      </c>
      <c r="H111" s="115">
        <v>65.62</v>
      </c>
      <c r="I111" s="115">
        <v>20.57</v>
      </c>
      <c r="J111" s="115">
        <v>32.69</v>
      </c>
      <c r="K111" s="115">
        <v>16.28</v>
      </c>
      <c r="L111" s="115">
        <v>7.34</v>
      </c>
      <c r="M111" s="115" t="str">
        <f>VLOOKUP(A111,Product_Mapping!$B:$D,3,FALSE)</f>
        <v>Hardware</v>
      </c>
    </row>
    <row r="112" spans="1:13" x14ac:dyDescent="0.3">
      <c r="A112" s="116">
        <v>7306</v>
      </c>
      <c r="B112" s="114" t="s">
        <v>118</v>
      </c>
      <c r="C112" s="115">
        <v>17.57</v>
      </c>
      <c r="D112" s="115">
        <v>16.329999999999998</v>
      </c>
      <c r="E112" s="115">
        <v>16.82</v>
      </c>
      <c r="F112" s="115">
        <v>12.36</v>
      </c>
      <c r="G112" s="115">
        <v>7.37</v>
      </c>
      <c r="H112" s="115">
        <v>10.06</v>
      </c>
      <c r="I112" s="115">
        <v>7.92</v>
      </c>
      <c r="J112" s="115">
        <v>7.89</v>
      </c>
      <c r="K112" s="115">
        <v>7.8</v>
      </c>
      <c r="L112" s="115">
        <v>6.06</v>
      </c>
      <c r="M112" s="115" t="str">
        <f>VLOOKUP(A112,Product_Mapping!$B:$D,3,FALSE)</f>
        <v>Hardware</v>
      </c>
    </row>
    <row r="113" spans="1:13" x14ac:dyDescent="0.3">
      <c r="A113" s="116">
        <v>7325</v>
      </c>
      <c r="B113" s="114" t="s">
        <v>108</v>
      </c>
      <c r="C113" s="115">
        <v>10.71</v>
      </c>
      <c r="D113" s="115">
        <v>8.09</v>
      </c>
      <c r="E113" s="115">
        <v>5.01</v>
      </c>
      <c r="F113" s="115">
        <v>5.16</v>
      </c>
      <c r="G113" s="115">
        <v>1.1399999999999999</v>
      </c>
      <c r="H113" s="115">
        <v>1.28</v>
      </c>
      <c r="I113" s="115">
        <v>2.11</v>
      </c>
      <c r="J113" s="115">
        <v>2.36</v>
      </c>
      <c r="K113" s="115">
        <v>2.48</v>
      </c>
      <c r="L113" s="115">
        <v>4.6100000000000003</v>
      </c>
      <c r="M113" s="115" t="str">
        <f>VLOOKUP(A113,Product_Mapping!$B:$D,3,FALSE)</f>
        <v>Hardware</v>
      </c>
    </row>
    <row r="114" spans="1:13" x14ac:dyDescent="0.3">
      <c r="A114" s="116">
        <v>7319</v>
      </c>
      <c r="B114" s="114" t="s">
        <v>119</v>
      </c>
      <c r="C114" s="115">
        <v>5.08</v>
      </c>
      <c r="D114" s="115">
        <v>5.84</v>
      </c>
      <c r="E114" s="115">
        <v>5.34</v>
      </c>
      <c r="F114" s="115">
        <v>4.6100000000000003</v>
      </c>
      <c r="G114" s="115">
        <v>3.09</v>
      </c>
      <c r="H114" s="115">
        <v>3.9</v>
      </c>
      <c r="I114" s="115">
        <v>3.17</v>
      </c>
      <c r="J114" s="115">
        <v>3.34</v>
      </c>
      <c r="K114" s="115">
        <v>3.53</v>
      </c>
      <c r="L114" s="115">
        <v>4.17</v>
      </c>
      <c r="M114" s="115" t="str">
        <f>VLOOKUP(A114,Product_Mapping!$B:$D,3,FALSE)</f>
        <v>Hardware</v>
      </c>
    </row>
    <row r="115" spans="1:13" x14ac:dyDescent="0.3">
      <c r="A115" s="116">
        <v>7310</v>
      </c>
      <c r="B115" s="114" t="s">
        <v>110</v>
      </c>
      <c r="C115" s="115">
        <v>3.34</v>
      </c>
      <c r="D115" s="115">
        <v>4.38</v>
      </c>
      <c r="E115" s="115">
        <v>3.93</v>
      </c>
      <c r="F115" s="115">
        <v>3.16</v>
      </c>
      <c r="G115" s="115">
        <v>1.77</v>
      </c>
      <c r="H115" s="115">
        <v>2.75</v>
      </c>
      <c r="I115" s="115">
        <v>2.39</v>
      </c>
      <c r="J115" s="115">
        <v>3.09</v>
      </c>
      <c r="K115" s="115">
        <v>3.91</v>
      </c>
      <c r="L115" s="115">
        <v>2.62</v>
      </c>
      <c r="M115" s="115" t="str">
        <f>VLOOKUP(A115,Product_Mapping!$B:$D,3,FALSE)</f>
        <v>Hardware</v>
      </c>
    </row>
    <row r="116" spans="1:13" x14ac:dyDescent="0.3">
      <c r="A116" s="116">
        <v>7314</v>
      </c>
      <c r="B116" s="114" t="s">
        <v>129</v>
      </c>
      <c r="C116" s="115">
        <v>2.42</v>
      </c>
      <c r="D116" s="115">
        <v>2.17</v>
      </c>
      <c r="E116" s="115">
        <v>1.22</v>
      </c>
      <c r="F116" s="115">
        <v>1</v>
      </c>
      <c r="G116" s="115">
        <v>0.78</v>
      </c>
      <c r="H116" s="115">
        <v>2.13</v>
      </c>
      <c r="I116" s="115">
        <v>1.68</v>
      </c>
      <c r="J116" s="115">
        <v>1.6</v>
      </c>
      <c r="K116" s="115">
        <v>0.79</v>
      </c>
      <c r="L116" s="115">
        <v>1.1399999999999999</v>
      </c>
      <c r="M116" s="115" t="str">
        <f>VLOOKUP(A116,Product_Mapping!$B:$D,3,FALSE)</f>
        <v>Hardware</v>
      </c>
    </row>
    <row r="117" spans="1:13" x14ac:dyDescent="0.3">
      <c r="A117" s="116">
        <v>7312</v>
      </c>
      <c r="B117" s="114" t="s">
        <v>122</v>
      </c>
      <c r="C117" s="115">
        <v>1.3</v>
      </c>
      <c r="D117" s="115">
        <v>1.48</v>
      </c>
      <c r="E117" s="115">
        <v>1.62</v>
      </c>
      <c r="F117" s="115">
        <v>1.66</v>
      </c>
      <c r="G117" s="115">
        <v>0.74</v>
      </c>
      <c r="H117" s="115">
        <v>0.98</v>
      </c>
      <c r="I117" s="115">
        <v>1.1200000000000001</v>
      </c>
      <c r="J117" s="115">
        <v>1.28</v>
      </c>
      <c r="K117" s="115">
        <v>1.1499999999999999</v>
      </c>
      <c r="L117" s="115">
        <v>1.01</v>
      </c>
      <c r="M117" s="115" t="str">
        <f>VLOOKUP(A117,Product_Mapping!$B:$D,3,FALSE)</f>
        <v>Hardware</v>
      </c>
    </row>
    <row r="118" spans="1:13" x14ac:dyDescent="0.3">
      <c r="A118" s="116">
        <v>7309</v>
      </c>
      <c r="B118" s="114" t="s">
        <v>120</v>
      </c>
      <c r="C118" s="115">
        <v>1.6</v>
      </c>
      <c r="D118" s="115">
        <v>1.18</v>
      </c>
      <c r="E118" s="115">
        <v>0.95</v>
      </c>
      <c r="F118" s="115">
        <v>0.8</v>
      </c>
      <c r="G118" s="115">
        <v>0.41</v>
      </c>
      <c r="H118" s="115">
        <v>0.25</v>
      </c>
      <c r="I118" s="115">
        <v>0.22</v>
      </c>
      <c r="J118" s="115">
        <v>0.26</v>
      </c>
      <c r="K118" s="115">
        <v>0.37</v>
      </c>
      <c r="L118" s="115">
        <v>0.43</v>
      </c>
      <c r="M118" s="115" t="str">
        <f>VLOOKUP(A118,Product_Mapping!$B:$D,3,FALSE)</f>
        <v>Hardware</v>
      </c>
    </row>
    <row r="119" spans="1:13" x14ac:dyDescent="0.3">
      <c r="A119" s="116">
        <v>7322</v>
      </c>
      <c r="B119" s="114" t="s">
        <v>130</v>
      </c>
      <c r="C119" s="115">
        <v>0.1</v>
      </c>
      <c r="D119" s="115">
        <v>0.16</v>
      </c>
      <c r="E119" s="115">
        <v>0.09</v>
      </c>
      <c r="F119" s="115">
        <v>0.56999999999999995</v>
      </c>
      <c r="G119" s="115">
        <v>0.27</v>
      </c>
      <c r="H119" s="115">
        <v>0.4</v>
      </c>
      <c r="I119" s="115">
        <v>0.37</v>
      </c>
      <c r="J119" s="115">
        <v>0.26</v>
      </c>
      <c r="K119" s="115">
        <v>1.55</v>
      </c>
      <c r="L119" s="115">
        <v>0.42</v>
      </c>
      <c r="M119" s="115" t="str">
        <f>VLOOKUP(A119,Product_Mapping!$B:$D,3,FALSE)</f>
        <v>Hardware</v>
      </c>
    </row>
    <row r="120" spans="1:13" x14ac:dyDescent="0.3">
      <c r="A120" s="116">
        <v>7311</v>
      </c>
      <c r="B120" s="114" t="s">
        <v>123</v>
      </c>
      <c r="C120" s="115">
        <v>0.03</v>
      </c>
      <c r="D120" s="115">
        <v>0.06</v>
      </c>
      <c r="E120" s="115">
        <v>0.09</v>
      </c>
      <c r="F120" s="115">
        <v>0.14000000000000001</v>
      </c>
      <c r="G120" s="115">
        <v>0.16</v>
      </c>
      <c r="H120" s="115">
        <v>0.64</v>
      </c>
      <c r="I120" s="115">
        <v>0.32</v>
      </c>
      <c r="J120" s="115">
        <v>0.25</v>
      </c>
      <c r="K120" s="115">
        <v>0.28999999999999998</v>
      </c>
      <c r="L120" s="115">
        <v>0.27</v>
      </c>
      <c r="M120" s="115" t="str">
        <f>VLOOKUP(A120,Product_Mapping!$B:$D,3,FALSE)</f>
        <v>Hardware</v>
      </c>
    </row>
    <row r="121" spans="1:13" x14ac:dyDescent="0.3">
      <c r="A121" s="116">
        <v>7321</v>
      </c>
      <c r="B121" s="114" t="s">
        <v>117</v>
      </c>
      <c r="C121" s="115">
        <v>0.01</v>
      </c>
      <c r="D121" s="115">
        <v>0.01</v>
      </c>
      <c r="E121" s="115">
        <v>0.01</v>
      </c>
      <c r="F121" s="115">
        <v>0.03</v>
      </c>
      <c r="G121" s="115">
        <v>0.02</v>
      </c>
      <c r="H121" s="115" t="s">
        <v>48</v>
      </c>
      <c r="I121" s="115">
        <v>0</v>
      </c>
      <c r="J121" s="115">
        <v>0.01</v>
      </c>
      <c r="K121" s="115">
        <v>0</v>
      </c>
      <c r="L121" s="115">
        <v>0.16</v>
      </c>
      <c r="M121" s="115" t="str">
        <f>VLOOKUP(A121,Product_Mapping!$B:$D,3,FALSE)</f>
        <v>Hardware</v>
      </c>
    </row>
    <row r="122" spans="1:13" x14ac:dyDescent="0.3">
      <c r="A122" s="116">
        <v>7323</v>
      </c>
      <c r="B122" s="114" t="s">
        <v>109</v>
      </c>
      <c r="C122" s="115">
        <v>7.0000000000000007E-2</v>
      </c>
      <c r="D122" s="115">
        <v>0.13</v>
      </c>
      <c r="E122" s="115">
        <v>0.23</v>
      </c>
      <c r="F122" s="115">
        <v>0.11</v>
      </c>
      <c r="G122" s="115">
        <v>0.05</v>
      </c>
      <c r="H122" s="115">
        <v>0.06</v>
      </c>
      <c r="I122" s="115">
        <v>0.12</v>
      </c>
      <c r="J122" s="115">
        <v>0.08</v>
      </c>
      <c r="K122" s="115">
        <v>0.12</v>
      </c>
      <c r="L122" s="115">
        <v>0.06</v>
      </c>
      <c r="M122" s="115" t="str">
        <f>VLOOKUP(A122,Product_Mapping!$B:$D,3,FALSE)</f>
        <v>Hardware</v>
      </c>
    </row>
    <row r="123" spans="1:13" x14ac:dyDescent="0.3">
      <c r="A123" s="116">
        <v>7317</v>
      </c>
      <c r="B123" s="114" t="s">
        <v>124</v>
      </c>
      <c r="C123" s="115">
        <v>0.57999999999999996</v>
      </c>
      <c r="D123" s="115">
        <v>0.5</v>
      </c>
      <c r="E123" s="115">
        <v>0.13</v>
      </c>
      <c r="F123" s="115">
        <v>0.18</v>
      </c>
      <c r="G123" s="115">
        <v>0.09</v>
      </c>
      <c r="H123" s="115">
        <v>0.09</v>
      </c>
      <c r="I123" s="115">
        <v>0.09</v>
      </c>
      <c r="J123" s="115">
        <v>0.18</v>
      </c>
      <c r="K123" s="115">
        <v>0.04</v>
      </c>
      <c r="L123" s="115">
        <v>0.05</v>
      </c>
      <c r="M123" s="115" t="str">
        <f>VLOOKUP(A123,Product_Mapping!$B:$D,3,FALSE)</f>
        <v>Hardware</v>
      </c>
    </row>
    <row r="124" spans="1:13" x14ac:dyDescent="0.3">
      <c r="A124" s="116">
        <v>7324</v>
      </c>
      <c r="B124" s="114" t="s">
        <v>125</v>
      </c>
      <c r="C124" s="115">
        <v>0.02</v>
      </c>
      <c r="D124" s="115">
        <v>0.03</v>
      </c>
      <c r="E124" s="115">
        <v>0.03</v>
      </c>
      <c r="F124" s="115">
        <v>0.04</v>
      </c>
      <c r="G124" s="115">
        <v>0.05</v>
      </c>
      <c r="H124" s="115">
        <v>0.1</v>
      </c>
      <c r="I124" s="115">
        <v>0.16</v>
      </c>
      <c r="J124" s="115">
        <v>0.02</v>
      </c>
      <c r="K124" s="115">
        <v>0.01</v>
      </c>
      <c r="L124" s="115">
        <v>0.03</v>
      </c>
      <c r="M124" s="115" t="str">
        <f>VLOOKUP(A124,Product_Mapping!$B:$D,3,FALSE)</f>
        <v>Hardware</v>
      </c>
    </row>
    <row r="125" spans="1:13" x14ac:dyDescent="0.3">
      <c r="A125" s="116">
        <v>7303</v>
      </c>
      <c r="B125" s="114" t="s">
        <v>127</v>
      </c>
      <c r="C125" s="115">
        <v>0.04</v>
      </c>
      <c r="D125" s="115">
        <v>0.02</v>
      </c>
      <c r="E125" s="115">
        <v>0.22</v>
      </c>
      <c r="F125" s="115">
        <v>0.05</v>
      </c>
      <c r="G125" s="115">
        <v>0.03</v>
      </c>
      <c r="H125" s="115">
        <v>0.06</v>
      </c>
      <c r="I125" s="115">
        <v>0.02</v>
      </c>
      <c r="J125" s="115">
        <v>0.04</v>
      </c>
      <c r="K125" s="115">
        <v>0.05</v>
      </c>
      <c r="L125" s="115">
        <v>0.03</v>
      </c>
      <c r="M125" s="115" t="str">
        <f>VLOOKUP(A125,Product_Mapping!$B:$D,3,FALSE)</f>
        <v>Hardware</v>
      </c>
    </row>
    <row r="126" spans="1:13" x14ac:dyDescent="0.3">
      <c r="A126" s="116">
        <v>7316</v>
      </c>
      <c r="B126" s="114" t="s">
        <v>126</v>
      </c>
      <c r="C126" s="115">
        <v>0.01</v>
      </c>
      <c r="D126" s="115">
        <v>0.04</v>
      </c>
      <c r="E126" s="115">
        <v>0.01</v>
      </c>
      <c r="F126" s="115">
        <v>0.03</v>
      </c>
      <c r="G126" s="115">
        <v>0.02</v>
      </c>
      <c r="H126" s="115">
        <v>0.01</v>
      </c>
      <c r="I126" s="115">
        <v>0</v>
      </c>
      <c r="J126" s="115">
        <v>0</v>
      </c>
      <c r="K126" s="115">
        <v>0.01</v>
      </c>
      <c r="L126" s="115">
        <v>0</v>
      </c>
      <c r="M126" s="115" t="str">
        <f>VLOOKUP(A126,Product_Mapping!$B:$D,3,FALSE)</f>
        <v>Hardware</v>
      </c>
    </row>
    <row r="127" spans="1:13" x14ac:dyDescent="0.3">
      <c r="A127" s="116">
        <v>7301</v>
      </c>
      <c r="B127" s="114" t="s">
        <v>114</v>
      </c>
      <c r="C127" s="115">
        <v>0.14000000000000001</v>
      </c>
      <c r="D127" s="115">
        <v>0.06</v>
      </c>
      <c r="E127" s="115">
        <v>0.08</v>
      </c>
      <c r="F127" s="115">
        <v>0.69</v>
      </c>
      <c r="G127" s="115">
        <v>0.08</v>
      </c>
      <c r="H127" s="115">
        <v>0.14000000000000001</v>
      </c>
      <c r="I127" s="115">
        <v>0.17</v>
      </c>
      <c r="J127" s="115">
        <v>0.09</v>
      </c>
      <c r="K127" s="115">
        <v>0</v>
      </c>
      <c r="L127" s="115">
        <v>0</v>
      </c>
      <c r="M127" s="115" t="str">
        <f>VLOOKUP(A127,Product_Mapping!$B:$D,3,FALSE)</f>
        <v>Hardware</v>
      </c>
    </row>
    <row r="128" spans="1:13" x14ac:dyDescent="0.3">
      <c r="A128" s="116">
        <v>7305</v>
      </c>
      <c r="B128" s="114" t="s">
        <v>128</v>
      </c>
      <c r="C128" s="115">
        <v>0.21</v>
      </c>
      <c r="D128" s="115">
        <v>0.15</v>
      </c>
      <c r="E128" s="115">
        <v>0.04</v>
      </c>
      <c r="F128" s="115">
        <v>0.54</v>
      </c>
      <c r="G128" s="115">
        <v>0.09</v>
      </c>
      <c r="H128" s="115">
        <v>0</v>
      </c>
      <c r="I128" s="115">
        <v>0.17</v>
      </c>
      <c r="J128" s="115">
        <v>0.33</v>
      </c>
      <c r="K128" s="115">
        <v>7.0000000000000007E-2</v>
      </c>
      <c r="L128" s="115">
        <v>0</v>
      </c>
      <c r="M128" s="115" t="str">
        <f>VLOOKUP(A128,Product_Mapping!$B:$D,3,FALSE)</f>
        <v>Hardware</v>
      </c>
    </row>
    <row r="129" spans="1:13" x14ac:dyDescent="0.3">
      <c r="A129" s="116">
        <v>7313</v>
      </c>
      <c r="B129" s="114" t="s">
        <v>131</v>
      </c>
      <c r="C129" s="115">
        <v>0</v>
      </c>
      <c r="D129" s="115">
        <v>0</v>
      </c>
      <c r="E129" s="115">
        <v>0</v>
      </c>
      <c r="F129" s="115">
        <v>0</v>
      </c>
      <c r="G129" s="115">
        <v>0</v>
      </c>
      <c r="H129" s="115">
        <v>0</v>
      </c>
      <c r="I129" s="115">
        <v>0</v>
      </c>
      <c r="J129" s="115">
        <v>0.01</v>
      </c>
      <c r="K129" s="115">
        <v>0</v>
      </c>
      <c r="L129" s="115">
        <v>0</v>
      </c>
      <c r="M129" s="115" t="str">
        <f>VLOOKUP(A129,Product_Mapping!$B:$D,3,FALSE)</f>
        <v>Hardware</v>
      </c>
    </row>
    <row r="130" spans="1:13" x14ac:dyDescent="0.3">
      <c r="A130" s="116">
        <v>7403</v>
      </c>
      <c r="B130" s="114" t="s">
        <v>132</v>
      </c>
      <c r="C130" s="115">
        <v>27.33</v>
      </c>
      <c r="D130" s="115">
        <v>121.33</v>
      </c>
      <c r="E130" s="115">
        <v>376.31</v>
      </c>
      <c r="F130" s="115">
        <v>676.63</v>
      </c>
      <c r="G130" s="115">
        <v>758.82</v>
      </c>
      <c r="H130" s="115">
        <v>1103.99</v>
      </c>
      <c r="I130" s="115">
        <v>942.91</v>
      </c>
      <c r="J130" s="115">
        <v>1908.09</v>
      </c>
      <c r="K130" s="115">
        <v>1994.98</v>
      </c>
      <c r="L130" s="115">
        <v>1970.11</v>
      </c>
      <c r="M130" s="115" t="str">
        <f>VLOOKUP(A130,Product_Mapping!$B:$D,3,FALSE)</f>
        <v>Electrical</v>
      </c>
    </row>
    <row r="131" spans="1:13" x14ac:dyDescent="0.3">
      <c r="A131" s="116">
        <v>7408</v>
      </c>
      <c r="B131" s="114" t="s">
        <v>133</v>
      </c>
      <c r="C131" s="115">
        <v>13.05</v>
      </c>
      <c r="D131" s="115">
        <v>19.010000000000002</v>
      </c>
      <c r="E131" s="115">
        <v>45.25</v>
      </c>
      <c r="F131" s="115">
        <v>54.72</v>
      </c>
      <c r="G131" s="115">
        <v>77.69</v>
      </c>
      <c r="H131" s="115">
        <v>94.01</v>
      </c>
      <c r="I131" s="115">
        <v>85.6</v>
      </c>
      <c r="J131" s="115">
        <v>174.75</v>
      </c>
      <c r="K131" s="115">
        <v>102.64</v>
      </c>
      <c r="L131" s="115">
        <v>108.77</v>
      </c>
      <c r="M131" s="115" t="str">
        <f>VLOOKUP(A131,Product_Mapping!$B:$D,3,FALSE)</f>
        <v>Electrical</v>
      </c>
    </row>
    <row r="132" spans="1:13" x14ac:dyDescent="0.3">
      <c r="A132" s="116">
        <v>7409</v>
      </c>
      <c r="B132" s="114" t="s">
        <v>134</v>
      </c>
      <c r="C132" s="115">
        <v>6.47</v>
      </c>
      <c r="D132" s="115">
        <v>8.57</v>
      </c>
      <c r="E132" s="115">
        <v>9.5500000000000007</v>
      </c>
      <c r="F132" s="115">
        <v>9.0399999999999991</v>
      </c>
      <c r="G132" s="115">
        <v>7.92</v>
      </c>
      <c r="H132" s="115">
        <v>15.65</v>
      </c>
      <c r="I132" s="115">
        <v>17.329999999999998</v>
      </c>
      <c r="J132" s="115">
        <v>16.86</v>
      </c>
      <c r="K132" s="115">
        <v>24.47</v>
      </c>
      <c r="L132" s="115">
        <v>25.64</v>
      </c>
      <c r="M132" s="115" t="str">
        <f>VLOOKUP(A132,Product_Mapping!$B:$D,3,FALSE)</f>
        <v>Electrical</v>
      </c>
    </row>
    <row r="133" spans="1:13" x14ac:dyDescent="0.3">
      <c r="A133" s="116">
        <v>7419</v>
      </c>
      <c r="B133" s="114" t="s">
        <v>135</v>
      </c>
      <c r="C133" s="115">
        <v>8.2899999999999991</v>
      </c>
      <c r="D133" s="115">
        <v>9.3699999999999992</v>
      </c>
      <c r="E133" s="115">
        <v>15.32</v>
      </c>
      <c r="F133" s="115">
        <v>13.91</v>
      </c>
      <c r="G133" s="115">
        <v>7.79</v>
      </c>
      <c r="H133" s="115">
        <v>14</v>
      </c>
      <c r="I133" s="115">
        <v>12.89</v>
      </c>
      <c r="J133" s="115">
        <v>11.4</v>
      </c>
      <c r="K133" s="115">
        <v>11.45</v>
      </c>
      <c r="L133" s="115">
        <v>14.47</v>
      </c>
      <c r="M133" s="115" t="str">
        <f>VLOOKUP(A133,Product_Mapping!$B:$D,3,FALSE)</f>
        <v>Electrical</v>
      </c>
    </row>
    <row r="134" spans="1:13" x14ac:dyDescent="0.3">
      <c r="A134" s="116">
        <v>7407</v>
      </c>
      <c r="B134" s="114" t="s">
        <v>136</v>
      </c>
      <c r="C134" s="115">
        <v>9.39</v>
      </c>
      <c r="D134" s="115">
        <v>20.38</v>
      </c>
      <c r="E134" s="115">
        <v>14.16</v>
      </c>
      <c r="F134" s="115">
        <v>13.05</v>
      </c>
      <c r="G134" s="115">
        <v>8.9</v>
      </c>
      <c r="H134" s="115">
        <v>17.45</v>
      </c>
      <c r="I134" s="115">
        <v>24.97</v>
      </c>
      <c r="J134" s="115">
        <v>19.95</v>
      </c>
      <c r="K134" s="115">
        <v>13.3</v>
      </c>
      <c r="L134" s="115">
        <v>14.08</v>
      </c>
      <c r="M134" s="115" t="str">
        <f>VLOOKUP(A134,Product_Mapping!$B:$D,3,FALSE)</f>
        <v>Electrical</v>
      </c>
    </row>
    <row r="135" spans="1:13" x14ac:dyDescent="0.3">
      <c r="A135" s="116">
        <v>7404</v>
      </c>
      <c r="B135" s="114" t="s">
        <v>137</v>
      </c>
      <c r="C135" s="115">
        <v>0.09</v>
      </c>
      <c r="D135" s="115">
        <v>0</v>
      </c>
      <c r="E135" s="115">
        <v>0.12</v>
      </c>
      <c r="F135" s="115">
        <v>4.5199999999999996</v>
      </c>
      <c r="G135" s="115">
        <v>7.05</v>
      </c>
      <c r="H135" s="115">
        <v>4.91</v>
      </c>
      <c r="I135" s="115">
        <v>0.79</v>
      </c>
      <c r="J135" s="115">
        <v>1.1000000000000001</v>
      </c>
      <c r="K135" s="115">
        <v>2.06</v>
      </c>
      <c r="L135" s="115">
        <v>5.12</v>
      </c>
      <c r="M135" s="115" t="str">
        <f>VLOOKUP(A135,Product_Mapping!$B:$D,3,FALSE)</f>
        <v>Electrical</v>
      </c>
    </row>
    <row r="136" spans="1:13" x14ac:dyDescent="0.3">
      <c r="A136" s="116">
        <v>7402</v>
      </c>
      <c r="B136" s="114" t="s">
        <v>138</v>
      </c>
      <c r="C136" s="115">
        <v>0</v>
      </c>
      <c r="D136" s="115">
        <v>0.3</v>
      </c>
      <c r="E136" s="115">
        <v>0.56999999999999995</v>
      </c>
      <c r="F136" s="115">
        <v>0.56000000000000005</v>
      </c>
      <c r="G136" s="115">
        <v>0.42</v>
      </c>
      <c r="H136" s="115">
        <v>0.13</v>
      </c>
      <c r="I136" s="115">
        <v>7.0000000000000007E-2</v>
      </c>
      <c r="J136" s="115">
        <v>0</v>
      </c>
      <c r="K136" s="115">
        <v>0.02</v>
      </c>
      <c r="L136" s="115">
        <v>4.51</v>
      </c>
      <c r="M136" s="115" t="str">
        <f>VLOOKUP(A136,Product_Mapping!$B:$D,3,FALSE)</f>
        <v>Electrical</v>
      </c>
    </row>
    <row r="137" spans="1:13" x14ac:dyDescent="0.3">
      <c r="A137" s="116">
        <v>7410</v>
      </c>
      <c r="B137" s="114" t="s">
        <v>139</v>
      </c>
      <c r="C137" s="115">
        <v>0.74</v>
      </c>
      <c r="D137" s="115">
        <v>1.06</v>
      </c>
      <c r="E137" s="115">
        <v>1.19</v>
      </c>
      <c r="F137" s="115">
        <v>0.62</v>
      </c>
      <c r="G137" s="115">
        <v>0.89</v>
      </c>
      <c r="H137" s="115">
        <v>1.18</v>
      </c>
      <c r="I137" s="115">
        <v>1.1599999999999999</v>
      </c>
      <c r="J137" s="115">
        <v>1.61</v>
      </c>
      <c r="K137" s="115">
        <v>2.2000000000000002</v>
      </c>
      <c r="L137" s="115">
        <v>3.67</v>
      </c>
      <c r="M137" s="115" t="str">
        <f>VLOOKUP(A137,Product_Mapping!$B:$D,3,FALSE)</f>
        <v>Electrical</v>
      </c>
    </row>
    <row r="138" spans="1:13" x14ac:dyDescent="0.3">
      <c r="A138" s="116">
        <v>7412</v>
      </c>
      <c r="B138" s="114" t="s">
        <v>140</v>
      </c>
      <c r="C138" s="115">
        <v>1.0900000000000001</v>
      </c>
      <c r="D138" s="115">
        <v>1.2</v>
      </c>
      <c r="E138" s="115">
        <v>1.47</v>
      </c>
      <c r="F138" s="115">
        <v>1.46</v>
      </c>
      <c r="G138" s="115">
        <v>1.28</v>
      </c>
      <c r="H138" s="115">
        <v>1.9</v>
      </c>
      <c r="I138" s="115">
        <v>1.89</v>
      </c>
      <c r="J138" s="115">
        <v>2.48</v>
      </c>
      <c r="K138" s="115">
        <v>2.2799999999999998</v>
      </c>
      <c r="L138" s="115">
        <v>2.3199999999999998</v>
      </c>
      <c r="M138" s="115" t="str">
        <f>VLOOKUP(A138,Product_Mapping!$B:$D,3,FALSE)</f>
        <v>Electrical</v>
      </c>
    </row>
    <row r="139" spans="1:13" x14ac:dyDescent="0.3">
      <c r="A139" s="116">
        <v>7406</v>
      </c>
      <c r="B139" s="114" t="s">
        <v>141</v>
      </c>
      <c r="C139" s="115">
        <v>0.75</v>
      </c>
      <c r="D139" s="115">
        <v>0.89</v>
      </c>
      <c r="E139" s="115">
        <v>1.19</v>
      </c>
      <c r="F139" s="115">
        <v>1.25</v>
      </c>
      <c r="G139" s="115">
        <v>0.85</v>
      </c>
      <c r="H139" s="115">
        <v>1.17</v>
      </c>
      <c r="I139" s="115">
        <v>1.08</v>
      </c>
      <c r="J139" s="115">
        <v>1.25</v>
      </c>
      <c r="K139" s="115">
        <v>1.6</v>
      </c>
      <c r="L139" s="115">
        <v>1.76</v>
      </c>
      <c r="M139" s="115" t="str">
        <f>VLOOKUP(A139,Product_Mapping!$B:$D,3,FALSE)</f>
        <v>Electrical</v>
      </c>
    </row>
    <row r="140" spans="1:13" x14ac:dyDescent="0.3">
      <c r="A140" s="116">
        <v>7411</v>
      </c>
      <c r="B140" s="114" t="s">
        <v>142</v>
      </c>
      <c r="C140" s="115">
        <v>3.01</v>
      </c>
      <c r="D140" s="115">
        <v>1.84</v>
      </c>
      <c r="E140" s="115">
        <v>2.29</v>
      </c>
      <c r="F140" s="115">
        <v>2.69</v>
      </c>
      <c r="G140" s="115">
        <v>2.5099999999999998</v>
      </c>
      <c r="H140" s="115">
        <v>2.4700000000000002</v>
      </c>
      <c r="I140" s="115">
        <v>1.81</v>
      </c>
      <c r="J140" s="115">
        <v>0.8</v>
      </c>
      <c r="K140" s="115">
        <v>14.35</v>
      </c>
      <c r="L140" s="115">
        <v>1.37</v>
      </c>
      <c r="M140" s="115" t="str">
        <f>VLOOKUP(A140,Product_Mapping!$B:$D,3,FALSE)</f>
        <v>Electrical</v>
      </c>
    </row>
    <row r="141" spans="1:13" x14ac:dyDescent="0.3">
      <c r="A141" s="116">
        <v>7413</v>
      </c>
      <c r="B141" s="114" t="s">
        <v>143</v>
      </c>
      <c r="C141" s="115">
        <v>0.02</v>
      </c>
      <c r="D141" s="115">
        <v>0.05</v>
      </c>
      <c r="E141" s="115">
        <v>0.12</v>
      </c>
      <c r="F141" s="115">
        <v>0.04</v>
      </c>
      <c r="G141" s="115">
        <v>0.11</v>
      </c>
      <c r="H141" s="115">
        <v>0.15</v>
      </c>
      <c r="I141" s="115">
        <v>0.17</v>
      </c>
      <c r="J141" s="115">
        <v>0.12</v>
      </c>
      <c r="K141" s="115">
        <v>0.1</v>
      </c>
      <c r="L141" s="115">
        <v>1.18</v>
      </c>
      <c r="M141" s="115" t="str">
        <f>VLOOKUP(A141,Product_Mapping!$B:$D,3,FALSE)</f>
        <v>Electrical</v>
      </c>
    </row>
    <row r="142" spans="1:13" x14ac:dyDescent="0.3">
      <c r="A142" s="116">
        <v>7415</v>
      </c>
      <c r="B142" s="114" t="s">
        <v>144</v>
      </c>
      <c r="C142" s="115">
        <v>0.13</v>
      </c>
      <c r="D142" s="115">
        <v>0.12</v>
      </c>
      <c r="E142" s="115">
        <v>0.09</v>
      </c>
      <c r="F142" s="115">
        <v>7.0000000000000007E-2</v>
      </c>
      <c r="G142" s="115">
        <v>0.08</v>
      </c>
      <c r="H142" s="115">
        <v>0.13</v>
      </c>
      <c r="I142" s="115">
        <v>0.11</v>
      </c>
      <c r="J142" s="115">
        <v>0.17</v>
      </c>
      <c r="K142" s="115">
        <v>0.48</v>
      </c>
      <c r="L142" s="115">
        <v>0.74</v>
      </c>
      <c r="M142" s="115" t="str">
        <f>VLOOKUP(A142,Product_Mapping!$B:$D,3,FALSE)</f>
        <v>Electrical</v>
      </c>
    </row>
    <row r="143" spans="1:13" x14ac:dyDescent="0.3">
      <c r="A143" s="116">
        <v>7418</v>
      </c>
      <c r="B143" s="114" t="s">
        <v>145</v>
      </c>
      <c r="C143" s="115">
        <v>0.05</v>
      </c>
      <c r="D143" s="115">
        <v>0.02</v>
      </c>
      <c r="E143" s="115">
        <v>0.04</v>
      </c>
      <c r="F143" s="115">
        <v>0.02</v>
      </c>
      <c r="G143" s="115">
        <v>0.03</v>
      </c>
      <c r="H143" s="115">
        <v>0.04</v>
      </c>
      <c r="I143" s="115">
        <v>0.06</v>
      </c>
      <c r="J143" s="115">
        <v>0.02</v>
      </c>
      <c r="K143" s="115">
        <v>0.05</v>
      </c>
      <c r="L143" s="115">
        <v>0.05</v>
      </c>
      <c r="M143" s="115" t="str">
        <f>VLOOKUP(A143,Product_Mapping!$B:$D,3,FALSE)</f>
        <v>Electrical</v>
      </c>
    </row>
    <row r="144" spans="1:13" x14ac:dyDescent="0.3">
      <c r="A144" s="116">
        <v>7401</v>
      </c>
      <c r="B144" s="114" t="s">
        <v>146</v>
      </c>
      <c r="C144" s="115">
        <v>0</v>
      </c>
      <c r="D144" s="115">
        <v>0</v>
      </c>
      <c r="E144" s="115">
        <v>0</v>
      </c>
      <c r="F144" s="115">
        <v>0</v>
      </c>
      <c r="G144" s="115">
        <v>0</v>
      </c>
      <c r="H144" s="115">
        <v>0</v>
      </c>
      <c r="I144" s="115">
        <v>0</v>
      </c>
      <c r="J144" s="115">
        <v>0</v>
      </c>
      <c r="K144" s="115">
        <v>0</v>
      </c>
      <c r="L144" s="115">
        <v>0.01</v>
      </c>
      <c r="M144" s="115" t="str">
        <f>VLOOKUP(A144,Product_Mapping!$B:$D,3,FALSE)</f>
        <v>Electrical</v>
      </c>
    </row>
    <row r="145" spans="1:13" x14ac:dyDescent="0.3">
      <c r="A145" s="116">
        <v>7405</v>
      </c>
      <c r="B145" s="114" t="s">
        <v>147</v>
      </c>
      <c r="C145" s="115">
        <v>0</v>
      </c>
      <c r="D145" s="115">
        <v>0</v>
      </c>
      <c r="E145" s="115">
        <v>0</v>
      </c>
      <c r="F145" s="115">
        <v>0</v>
      </c>
      <c r="G145" s="115">
        <v>0</v>
      </c>
      <c r="H145" s="115">
        <v>0.01</v>
      </c>
      <c r="I145" s="115">
        <v>0.01</v>
      </c>
      <c r="J145" s="115">
        <v>0</v>
      </c>
      <c r="K145" s="115">
        <v>0.01</v>
      </c>
      <c r="L145" s="115">
        <v>0.01</v>
      </c>
      <c r="M145" s="115" t="str">
        <f>VLOOKUP(A145,Product_Mapping!$B:$D,3,FALSE)</f>
        <v>Electrical</v>
      </c>
    </row>
    <row r="146" spans="1:13" x14ac:dyDescent="0.3">
      <c r="A146" s="116">
        <v>7602</v>
      </c>
      <c r="B146" s="114" t="s">
        <v>148</v>
      </c>
      <c r="C146" s="115">
        <v>0.86</v>
      </c>
      <c r="D146" s="115">
        <v>1.1000000000000001</v>
      </c>
      <c r="E146" s="115">
        <v>4.2300000000000004</v>
      </c>
      <c r="F146" s="115">
        <v>8.56</v>
      </c>
      <c r="G146" s="115">
        <v>10.14</v>
      </c>
      <c r="H146" s="115">
        <v>11.18</v>
      </c>
      <c r="I146" s="115">
        <v>6.83</v>
      </c>
      <c r="J146" s="115">
        <v>11.02</v>
      </c>
      <c r="K146" s="115">
        <v>8.1199999999999992</v>
      </c>
      <c r="L146" s="115">
        <v>28.47</v>
      </c>
      <c r="M146" s="115" t="str">
        <f>VLOOKUP(A146,Product_Mapping!$B:$D,3,FALSE)</f>
        <v>Hardware</v>
      </c>
    </row>
    <row r="147" spans="1:13" x14ac:dyDescent="0.3">
      <c r="A147" s="116">
        <v>7606</v>
      </c>
      <c r="B147" s="114" t="s">
        <v>149</v>
      </c>
      <c r="C147" s="115">
        <v>7.92</v>
      </c>
      <c r="D147" s="115">
        <v>5.33</v>
      </c>
      <c r="E147" s="115">
        <v>6.41</v>
      </c>
      <c r="F147" s="115">
        <v>6.77</v>
      </c>
      <c r="G147" s="115">
        <v>3.52</v>
      </c>
      <c r="H147" s="115">
        <v>5.64</v>
      </c>
      <c r="I147" s="115">
        <v>8.3699999999999992</v>
      </c>
      <c r="J147" s="115">
        <v>6.51</v>
      </c>
      <c r="K147" s="115">
        <v>9.16</v>
      </c>
      <c r="L147" s="115">
        <v>8.1300000000000008</v>
      </c>
      <c r="M147" s="115" t="str">
        <f>VLOOKUP(A147,Product_Mapping!$B:$D,3,FALSE)</f>
        <v>Hardware</v>
      </c>
    </row>
    <row r="148" spans="1:13" x14ac:dyDescent="0.3">
      <c r="A148" s="116">
        <v>7616</v>
      </c>
      <c r="B148" s="114" t="s">
        <v>150</v>
      </c>
      <c r="C148" s="115">
        <v>5.86</v>
      </c>
      <c r="D148" s="115">
        <v>4.54</v>
      </c>
      <c r="E148" s="115">
        <v>8.2899999999999991</v>
      </c>
      <c r="F148" s="115">
        <v>14.29</v>
      </c>
      <c r="G148" s="115">
        <v>10.45</v>
      </c>
      <c r="H148" s="115">
        <v>9.4600000000000009</v>
      </c>
      <c r="I148" s="115">
        <v>18.03</v>
      </c>
      <c r="J148" s="115">
        <v>12.68</v>
      </c>
      <c r="K148" s="115">
        <v>9.4600000000000009</v>
      </c>
      <c r="L148" s="115">
        <v>7.69</v>
      </c>
      <c r="M148" s="115" t="str">
        <f>VLOOKUP(A148,Product_Mapping!$B:$D,3,FALSE)</f>
        <v>Hardware</v>
      </c>
    </row>
    <row r="149" spans="1:13" x14ac:dyDescent="0.3">
      <c r="A149" s="116">
        <v>7607</v>
      </c>
      <c r="B149" s="114" t="s">
        <v>151</v>
      </c>
      <c r="C149" s="115">
        <v>2.36</v>
      </c>
      <c r="D149" s="115">
        <v>2.4900000000000002</v>
      </c>
      <c r="E149" s="115">
        <v>2.12</v>
      </c>
      <c r="F149" s="115">
        <v>1.32</v>
      </c>
      <c r="G149" s="115">
        <v>0.73</v>
      </c>
      <c r="H149" s="115">
        <v>0.97</v>
      </c>
      <c r="I149" s="115">
        <v>1.18</v>
      </c>
      <c r="J149" s="115">
        <v>1.29</v>
      </c>
      <c r="K149" s="115">
        <v>1.47</v>
      </c>
      <c r="L149" s="115">
        <v>1.78</v>
      </c>
      <c r="M149" s="115" t="str">
        <f>VLOOKUP(A149,Product_Mapping!$B:$D,3,FALSE)</f>
        <v>Hardware</v>
      </c>
    </row>
    <row r="150" spans="1:13" x14ac:dyDescent="0.3">
      <c r="A150" s="116">
        <v>7604</v>
      </c>
      <c r="B150" s="114" t="s">
        <v>152</v>
      </c>
      <c r="C150" s="115">
        <v>2.82</v>
      </c>
      <c r="D150" s="115">
        <v>2.11</v>
      </c>
      <c r="E150" s="115">
        <v>3.56</v>
      </c>
      <c r="F150" s="115">
        <v>4.09</v>
      </c>
      <c r="G150" s="115">
        <v>2.41</v>
      </c>
      <c r="H150" s="115">
        <v>2.08</v>
      </c>
      <c r="I150" s="115">
        <v>1.91</v>
      </c>
      <c r="J150" s="115">
        <v>1.57</v>
      </c>
      <c r="K150" s="115">
        <v>1.28</v>
      </c>
      <c r="L150" s="115">
        <v>1.56</v>
      </c>
      <c r="M150" s="115" t="str">
        <f>VLOOKUP(A150,Product_Mapping!$B:$D,3,FALSE)</f>
        <v>Hardware</v>
      </c>
    </row>
    <row r="151" spans="1:13" x14ac:dyDescent="0.3">
      <c r="A151" s="116">
        <v>7605</v>
      </c>
      <c r="B151" s="114" t="s">
        <v>153</v>
      </c>
      <c r="C151" s="115">
        <v>0.08</v>
      </c>
      <c r="D151" s="115">
        <v>0.09</v>
      </c>
      <c r="E151" s="115">
        <v>0.11</v>
      </c>
      <c r="F151" s="115">
        <v>0.2</v>
      </c>
      <c r="G151" s="115">
        <v>0.1</v>
      </c>
      <c r="H151" s="115">
        <v>0.17</v>
      </c>
      <c r="I151" s="115">
        <v>0.42</v>
      </c>
      <c r="J151" s="115">
        <v>0.2</v>
      </c>
      <c r="K151" s="115">
        <v>0.3</v>
      </c>
      <c r="L151" s="115">
        <v>1.07</v>
      </c>
      <c r="M151" s="115" t="str">
        <f>VLOOKUP(A151,Product_Mapping!$B:$D,3,FALSE)</f>
        <v>Hardware</v>
      </c>
    </row>
    <row r="152" spans="1:13" x14ac:dyDescent="0.3">
      <c r="A152" s="116">
        <v>7608</v>
      </c>
      <c r="B152" s="114" t="s">
        <v>154</v>
      </c>
      <c r="C152" s="115">
        <v>1.18</v>
      </c>
      <c r="D152" s="115">
        <v>0.88</v>
      </c>
      <c r="E152" s="115">
        <v>1.18</v>
      </c>
      <c r="F152" s="115">
        <v>1.51</v>
      </c>
      <c r="G152" s="115">
        <v>0.39</v>
      </c>
      <c r="H152" s="115">
        <v>0.82</v>
      </c>
      <c r="I152" s="115">
        <v>0.78</v>
      </c>
      <c r="J152" s="115">
        <v>0.87</v>
      </c>
      <c r="K152" s="115">
        <v>1.06</v>
      </c>
      <c r="L152" s="115">
        <v>0.87</v>
      </c>
      <c r="M152" s="115" t="str">
        <f>VLOOKUP(A152,Product_Mapping!$B:$D,3,FALSE)</f>
        <v>Hardware</v>
      </c>
    </row>
    <row r="153" spans="1:13" x14ac:dyDescent="0.3">
      <c r="A153" s="116">
        <v>7610</v>
      </c>
      <c r="B153" s="114" t="s">
        <v>155</v>
      </c>
      <c r="C153" s="115">
        <v>5.03</v>
      </c>
      <c r="D153" s="115">
        <v>1.57</v>
      </c>
      <c r="E153" s="115">
        <v>0.73</v>
      </c>
      <c r="F153" s="115">
        <v>0.23</v>
      </c>
      <c r="G153" s="115">
        <v>7.0000000000000007E-2</v>
      </c>
      <c r="H153" s="115">
        <v>0.28000000000000003</v>
      </c>
      <c r="I153" s="115">
        <v>0.41</v>
      </c>
      <c r="J153" s="115">
        <v>0.41</v>
      </c>
      <c r="K153" s="115">
        <v>0.4</v>
      </c>
      <c r="L153" s="115">
        <v>0.64</v>
      </c>
      <c r="M153" s="115" t="str">
        <f>VLOOKUP(A153,Product_Mapping!$B:$D,3,FALSE)</f>
        <v>Hardware</v>
      </c>
    </row>
    <row r="154" spans="1:13" x14ac:dyDescent="0.3">
      <c r="A154" s="116">
        <v>7603</v>
      </c>
      <c r="B154" s="114" t="s">
        <v>156</v>
      </c>
      <c r="C154" s="115">
        <v>0.06</v>
      </c>
      <c r="D154" s="115">
        <v>0.1</v>
      </c>
      <c r="E154" s="115">
        <v>0.17</v>
      </c>
      <c r="F154" s="115">
        <v>0.17</v>
      </c>
      <c r="G154" s="115">
        <v>0.3</v>
      </c>
      <c r="H154" s="115">
        <v>0.48</v>
      </c>
      <c r="I154" s="115">
        <v>0.56999999999999995</v>
      </c>
      <c r="J154" s="115">
        <v>0.47</v>
      </c>
      <c r="K154" s="115">
        <v>0.52</v>
      </c>
      <c r="L154" s="115">
        <v>0.61</v>
      </c>
      <c r="M154" s="115" t="str">
        <f>VLOOKUP(A154,Product_Mapping!$B:$D,3,FALSE)</f>
        <v>Hardware</v>
      </c>
    </row>
    <row r="155" spans="1:13" x14ac:dyDescent="0.3">
      <c r="A155" s="116">
        <v>7609</v>
      </c>
      <c r="B155" s="114" t="s">
        <v>157</v>
      </c>
      <c r="C155" s="115">
        <v>7.0000000000000007E-2</v>
      </c>
      <c r="D155" s="115">
        <v>0.02</v>
      </c>
      <c r="E155" s="115">
        <v>0.09</v>
      </c>
      <c r="F155" s="115">
        <v>0.06</v>
      </c>
      <c r="G155" s="115">
        <v>0.04</v>
      </c>
      <c r="H155" s="115">
        <v>0.24</v>
      </c>
      <c r="I155" s="115">
        <v>0.14000000000000001</v>
      </c>
      <c r="J155" s="115">
        <v>0.17</v>
      </c>
      <c r="K155" s="115">
        <v>0.15</v>
      </c>
      <c r="L155" s="115">
        <v>0.22</v>
      </c>
      <c r="M155" s="115" t="str">
        <f>VLOOKUP(A155,Product_Mapping!$B:$D,3,FALSE)</f>
        <v>Hardware</v>
      </c>
    </row>
    <row r="156" spans="1:13" x14ac:dyDescent="0.3">
      <c r="A156" s="116">
        <v>7612</v>
      </c>
      <c r="B156" s="114" t="s">
        <v>158</v>
      </c>
      <c r="C156" s="115">
        <v>0.06</v>
      </c>
      <c r="D156" s="115">
        <v>0.19</v>
      </c>
      <c r="E156" s="115">
        <v>0.16</v>
      </c>
      <c r="F156" s="115">
        <v>0.04</v>
      </c>
      <c r="G156" s="115">
        <v>0.04</v>
      </c>
      <c r="H156" s="115">
        <v>0.24</v>
      </c>
      <c r="I156" s="115">
        <v>0.23</v>
      </c>
      <c r="J156" s="115">
        <v>0.18</v>
      </c>
      <c r="K156" s="115">
        <v>0.23</v>
      </c>
      <c r="L156" s="115">
        <v>0.09</v>
      </c>
      <c r="M156" s="115" t="str">
        <f>VLOOKUP(A156,Product_Mapping!$B:$D,3,FALSE)</f>
        <v>Hardware</v>
      </c>
    </row>
    <row r="157" spans="1:13" x14ac:dyDescent="0.3">
      <c r="A157" s="116">
        <v>7601</v>
      </c>
      <c r="B157" s="114" t="s">
        <v>159</v>
      </c>
      <c r="C157" s="115">
        <v>1.1200000000000001</v>
      </c>
      <c r="D157" s="115">
        <v>0.71</v>
      </c>
      <c r="E157" s="115">
        <v>2.09</v>
      </c>
      <c r="F157" s="115">
        <v>3.02</v>
      </c>
      <c r="G157" s="115">
        <v>0.88</v>
      </c>
      <c r="H157" s="115">
        <v>0.91</v>
      </c>
      <c r="I157" s="115">
        <v>0.78</v>
      </c>
      <c r="J157" s="115">
        <v>0.24</v>
      </c>
      <c r="K157" s="115">
        <v>0.28000000000000003</v>
      </c>
      <c r="L157" s="115">
        <v>0.06</v>
      </c>
      <c r="M157" s="115" t="str">
        <f>VLOOKUP(A157,Product_Mapping!$B:$D,3,FALSE)</f>
        <v>Hardware</v>
      </c>
    </row>
    <row r="158" spans="1:13" x14ac:dyDescent="0.3">
      <c r="A158" s="116">
        <v>7615</v>
      </c>
      <c r="B158" s="114" t="s">
        <v>160</v>
      </c>
      <c r="C158" s="115">
        <v>0</v>
      </c>
      <c r="D158" s="115">
        <v>0.01</v>
      </c>
      <c r="E158" s="115">
        <v>0.04</v>
      </c>
      <c r="F158" s="115">
        <v>0.02</v>
      </c>
      <c r="G158" s="115">
        <v>0</v>
      </c>
      <c r="H158" s="115">
        <v>0</v>
      </c>
      <c r="I158" s="115">
        <v>0.01</v>
      </c>
      <c r="J158" s="115">
        <v>0.02</v>
      </c>
      <c r="K158" s="115">
        <v>0.01</v>
      </c>
      <c r="L158" s="115">
        <v>0.01</v>
      </c>
      <c r="M158" s="115" t="str">
        <f>VLOOKUP(A158,Product_Mapping!$B:$D,3,FALSE)</f>
        <v>Hardware</v>
      </c>
    </row>
    <row r="159" spans="1:13" x14ac:dyDescent="0.3">
      <c r="A159" s="116">
        <v>7613</v>
      </c>
      <c r="B159" s="114" t="s">
        <v>161</v>
      </c>
      <c r="C159" s="115">
        <v>0</v>
      </c>
      <c r="D159" s="115">
        <v>0</v>
      </c>
      <c r="E159" s="115">
        <v>0</v>
      </c>
      <c r="F159" s="115">
        <v>0</v>
      </c>
      <c r="G159" s="115">
        <v>0</v>
      </c>
      <c r="H159" s="115">
        <v>0</v>
      </c>
      <c r="I159" s="115">
        <v>0</v>
      </c>
      <c r="J159" s="115">
        <v>0</v>
      </c>
      <c r="K159" s="115">
        <v>0</v>
      </c>
      <c r="L159" s="115">
        <v>0</v>
      </c>
      <c r="M159" s="115" t="str">
        <f>VLOOKUP(A159,Product_Mapping!$B:$D,3,FALSE)</f>
        <v>Hardware</v>
      </c>
    </row>
    <row r="160" spans="1:13" x14ac:dyDescent="0.3">
      <c r="A160" s="116">
        <v>7611</v>
      </c>
      <c r="B160" s="114" t="s">
        <v>162</v>
      </c>
      <c r="C160" s="115">
        <v>0</v>
      </c>
      <c r="D160" s="115">
        <v>0</v>
      </c>
      <c r="E160" s="115">
        <v>0</v>
      </c>
      <c r="F160" s="115">
        <v>0</v>
      </c>
      <c r="G160" s="115">
        <v>0</v>
      </c>
      <c r="H160" s="115">
        <v>0</v>
      </c>
      <c r="I160" s="115">
        <v>0</v>
      </c>
      <c r="J160" s="115">
        <v>0</v>
      </c>
      <c r="K160" s="115">
        <v>0.01</v>
      </c>
      <c r="L160" s="115">
        <v>0</v>
      </c>
      <c r="M160" s="115" t="str">
        <f>VLOOKUP(A160,Product_Mapping!$B:$D,3,FALSE)</f>
        <v>Hardware</v>
      </c>
    </row>
    <row r="161" spans="1:13" x14ac:dyDescent="0.3">
      <c r="A161" s="116">
        <v>7614</v>
      </c>
      <c r="B161" s="114" t="s">
        <v>163</v>
      </c>
      <c r="C161" s="115">
        <v>1.4</v>
      </c>
      <c r="D161" s="115">
        <v>1.3</v>
      </c>
      <c r="E161" s="115">
        <v>0</v>
      </c>
      <c r="F161" s="115">
        <v>0</v>
      </c>
      <c r="G161" s="115">
        <v>0.09</v>
      </c>
      <c r="H161" s="115">
        <v>0.77</v>
      </c>
      <c r="I161" s="115">
        <v>0.82</v>
      </c>
      <c r="J161" s="115">
        <v>0.01</v>
      </c>
      <c r="K161" s="115">
        <v>0</v>
      </c>
      <c r="L161" s="115">
        <v>0</v>
      </c>
      <c r="M161" s="115" t="str">
        <f>VLOOKUP(A161,Product_Mapping!$B:$D,3,FALSE)</f>
        <v>Hardware</v>
      </c>
    </row>
    <row r="162" spans="1:13" x14ac:dyDescent="0.3">
      <c r="A162" s="116">
        <v>8311</v>
      </c>
      <c r="B162" s="114" t="s">
        <v>164</v>
      </c>
      <c r="C162" s="115">
        <v>7.92</v>
      </c>
      <c r="D162" s="115">
        <v>5.54</v>
      </c>
      <c r="E162" s="115">
        <v>7.37</v>
      </c>
      <c r="F162" s="115">
        <v>6.2</v>
      </c>
      <c r="G162" s="115">
        <v>5.92</v>
      </c>
      <c r="H162" s="115">
        <v>7.9</v>
      </c>
      <c r="I162" s="115">
        <v>7.82</v>
      </c>
      <c r="J162" s="115">
        <v>9.06</v>
      </c>
      <c r="K162" s="115">
        <v>8.9700000000000006</v>
      </c>
      <c r="L162" s="115">
        <v>10.47</v>
      </c>
      <c r="M162" s="115" t="str">
        <f>VLOOKUP(A162,Product_Mapping!$B:$D,3,FALSE)</f>
        <v>Hardware</v>
      </c>
    </row>
    <row r="163" spans="1:13" x14ac:dyDescent="0.3">
      <c r="A163" s="116">
        <v>8301</v>
      </c>
      <c r="B163" s="114" t="s">
        <v>165</v>
      </c>
      <c r="C163" s="115">
        <v>6.52</v>
      </c>
      <c r="D163" s="115">
        <v>9.98</v>
      </c>
      <c r="E163" s="115">
        <v>8</v>
      </c>
      <c r="F163" s="115">
        <v>7.23</v>
      </c>
      <c r="G163" s="115">
        <v>7.36</v>
      </c>
      <c r="H163" s="115">
        <v>10.71</v>
      </c>
      <c r="I163" s="115">
        <v>8.0299999999999994</v>
      </c>
      <c r="J163" s="115">
        <v>5.46</v>
      </c>
      <c r="K163" s="115">
        <v>6.07</v>
      </c>
      <c r="L163" s="115">
        <v>6.75</v>
      </c>
      <c r="M163" s="115" t="str">
        <f>VLOOKUP(A163,Product_Mapping!$B:$D,3,FALSE)</f>
        <v>Hardware</v>
      </c>
    </row>
    <row r="164" spans="1:13" x14ac:dyDescent="0.3">
      <c r="A164" s="116">
        <v>8302</v>
      </c>
      <c r="B164" s="114" t="s">
        <v>166</v>
      </c>
      <c r="C164" s="115">
        <v>3.96</v>
      </c>
      <c r="D164" s="115">
        <v>3.5</v>
      </c>
      <c r="E164" s="115">
        <v>4.05</v>
      </c>
      <c r="F164" s="115">
        <v>4.18</v>
      </c>
      <c r="G164" s="115">
        <v>4.21</v>
      </c>
      <c r="H164" s="115">
        <v>3.8</v>
      </c>
      <c r="I164" s="115">
        <v>3.96</v>
      </c>
      <c r="J164" s="115">
        <v>4.51</v>
      </c>
      <c r="K164" s="115">
        <v>5.37</v>
      </c>
      <c r="L164" s="115">
        <v>6.68</v>
      </c>
      <c r="M164" s="115" t="str">
        <f>VLOOKUP(A164,Product_Mapping!$B:$D,3,FALSE)</f>
        <v>Hardware</v>
      </c>
    </row>
    <row r="165" spans="1:13" x14ac:dyDescent="0.3">
      <c r="A165" s="116">
        <v>8307</v>
      </c>
      <c r="B165" s="114" t="s">
        <v>167</v>
      </c>
      <c r="C165" s="115">
        <v>1.79</v>
      </c>
      <c r="D165" s="115">
        <v>2.14</v>
      </c>
      <c r="E165" s="115">
        <v>0.78</v>
      </c>
      <c r="F165" s="115">
        <v>0.7</v>
      </c>
      <c r="G165" s="115">
        <v>1.27</v>
      </c>
      <c r="H165" s="115">
        <v>0.87</v>
      </c>
      <c r="I165" s="115">
        <v>0.88</v>
      </c>
      <c r="J165" s="115">
        <v>0.79</v>
      </c>
      <c r="K165" s="115">
        <v>1.31</v>
      </c>
      <c r="L165" s="115">
        <v>0.64</v>
      </c>
      <c r="M165" s="115" t="str">
        <f>VLOOKUP(A165,Product_Mapping!$B:$D,3,FALSE)</f>
        <v>Hardware</v>
      </c>
    </row>
    <row r="166" spans="1:13" x14ac:dyDescent="0.3">
      <c r="A166" s="116">
        <v>8310</v>
      </c>
      <c r="B166" s="114" t="s">
        <v>168</v>
      </c>
      <c r="C166" s="115">
        <v>0.42</v>
      </c>
      <c r="D166" s="115">
        <v>0.47</v>
      </c>
      <c r="E166" s="115">
        <v>0.55000000000000004</v>
      </c>
      <c r="F166" s="115">
        <v>0.44</v>
      </c>
      <c r="G166" s="115">
        <v>0.31</v>
      </c>
      <c r="H166" s="115">
        <v>0.41</v>
      </c>
      <c r="I166" s="115">
        <v>0.26</v>
      </c>
      <c r="J166" s="115">
        <v>0.42</v>
      </c>
      <c r="K166" s="115">
        <v>0.53</v>
      </c>
      <c r="L166" s="115">
        <v>0.57999999999999996</v>
      </c>
      <c r="M166" s="115" t="str">
        <f>VLOOKUP(A166,Product_Mapping!$B:$D,3,FALSE)</f>
        <v>Hardware</v>
      </c>
    </row>
    <row r="167" spans="1:13" x14ac:dyDescent="0.3">
      <c r="A167" s="116">
        <v>8309</v>
      </c>
      <c r="B167" s="114" t="s">
        <v>169</v>
      </c>
      <c r="C167" s="115">
        <v>4.3</v>
      </c>
      <c r="D167" s="115">
        <v>2.76</v>
      </c>
      <c r="E167" s="115">
        <v>2.13</v>
      </c>
      <c r="F167" s="115">
        <v>0.56000000000000005</v>
      </c>
      <c r="G167" s="115">
        <v>0.27</v>
      </c>
      <c r="H167" s="115">
        <v>0.51</v>
      </c>
      <c r="I167" s="115">
        <v>0.71</v>
      </c>
      <c r="J167" s="115">
        <v>0.65</v>
      </c>
      <c r="K167" s="115">
        <v>0.38</v>
      </c>
      <c r="L167" s="115">
        <v>0.32</v>
      </c>
      <c r="M167" s="115" t="str">
        <f>VLOOKUP(A167,Product_Mapping!$B:$D,3,FALSE)</f>
        <v>Hardware</v>
      </c>
    </row>
    <row r="168" spans="1:13" x14ac:dyDescent="0.3">
      <c r="A168" s="116">
        <v>8308</v>
      </c>
      <c r="B168" s="114" t="s">
        <v>170</v>
      </c>
      <c r="C168" s="115">
        <v>0.13</v>
      </c>
      <c r="D168" s="115">
        <v>0.32</v>
      </c>
      <c r="E168" s="115">
        <v>0.32</v>
      </c>
      <c r="F168" s="115">
        <v>0.23</v>
      </c>
      <c r="G168" s="115">
        <v>0.21</v>
      </c>
      <c r="H168" s="115">
        <v>0.22</v>
      </c>
      <c r="I168" s="115">
        <v>0.2</v>
      </c>
      <c r="J168" s="115">
        <v>0.22</v>
      </c>
      <c r="K168" s="115">
        <v>0.15</v>
      </c>
      <c r="L168" s="115">
        <v>0.18</v>
      </c>
      <c r="M168" s="115" t="str">
        <f>VLOOKUP(A168,Product_Mapping!$B:$D,3,FALSE)</f>
        <v>Hardware</v>
      </c>
    </row>
    <row r="169" spans="1:13" x14ac:dyDescent="0.3">
      <c r="A169" s="116">
        <v>8305</v>
      </c>
      <c r="B169" s="114" t="s">
        <v>171</v>
      </c>
      <c r="C169" s="115">
        <v>0.06</v>
      </c>
      <c r="D169" s="115">
        <v>7.0000000000000007E-2</v>
      </c>
      <c r="E169" s="115">
        <v>0.04</v>
      </c>
      <c r="F169" s="115">
        <v>0.04</v>
      </c>
      <c r="G169" s="115">
        <v>0.03</v>
      </c>
      <c r="H169" s="115">
        <v>0.05</v>
      </c>
      <c r="I169" s="115">
        <v>0.06</v>
      </c>
      <c r="J169" s="115">
        <v>0.05</v>
      </c>
      <c r="K169" s="115">
        <v>7.0000000000000007E-2</v>
      </c>
      <c r="L169" s="115">
        <v>0.1</v>
      </c>
      <c r="M169" s="115" t="str">
        <f>VLOOKUP(A169,Product_Mapping!$B:$D,3,FALSE)</f>
        <v>Hardware</v>
      </c>
    </row>
    <row r="170" spans="1:13" x14ac:dyDescent="0.3">
      <c r="A170" s="116">
        <v>8303</v>
      </c>
      <c r="B170" s="114" t="s">
        <v>172</v>
      </c>
      <c r="C170" s="115">
        <v>0</v>
      </c>
      <c r="D170" s="115">
        <v>0.2</v>
      </c>
      <c r="E170" s="115">
        <v>0.01</v>
      </c>
      <c r="F170" s="115">
        <v>0.01</v>
      </c>
      <c r="G170" s="115" t="s">
        <v>48</v>
      </c>
      <c r="H170" s="115">
        <v>0</v>
      </c>
      <c r="I170" s="115">
        <v>0</v>
      </c>
      <c r="J170" s="115">
        <v>0.01</v>
      </c>
      <c r="K170" s="115">
        <v>0.01</v>
      </c>
      <c r="L170" s="115">
        <v>0.1</v>
      </c>
      <c r="M170" s="115" t="str">
        <f>VLOOKUP(A170,Product_Mapping!$B:$D,3,FALSE)</f>
        <v>Hardware</v>
      </c>
    </row>
    <row r="171" spans="1:13" x14ac:dyDescent="0.3">
      <c r="A171" s="116">
        <v>8306</v>
      </c>
      <c r="B171" s="114" t="s">
        <v>173</v>
      </c>
      <c r="C171" s="115">
        <v>0.02</v>
      </c>
      <c r="D171" s="115">
        <v>0.06</v>
      </c>
      <c r="E171" s="115">
        <v>0.16</v>
      </c>
      <c r="F171" s="115">
        <v>0.09</v>
      </c>
      <c r="G171" s="115">
        <v>0.02</v>
      </c>
      <c r="H171" s="115">
        <v>0</v>
      </c>
      <c r="I171" s="115">
        <v>0.02</v>
      </c>
      <c r="J171" s="115">
        <v>0.01</v>
      </c>
      <c r="K171" s="115">
        <v>0.01</v>
      </c>
      <c r="L171" s="115">
        <v>0.03</v>
      </c>
      <c r="M171" s="115" t="str">
        <f>VLOOKUP(A171,Product_Mapping!$B:$D,3,FALSE)</f>
        <v>Hardware</v>
      </c>
    </row>
    <row r="172" spans="1:13" x14ac:dyDescent="0.3">
      <c r="A172" s="116">
        <v>8304</v>
      </c>
      <c r="B172" s="114" t="s">
        <v>174</v>
      </c>
      <c r="C172" s="115">
        <v>0</v>
      </c>
      <c r="D172" s="115">
        <v>0.04</v>
      </c>
      <c r="E172" s="115">
        <v>0</v>
      </c>
      <c r="F172" s="115">
        <v>0</v>
      </c>
      <c r="G172" s="115">
        <v>0</v>
      </c>
      <c r="H172" s="115">
        <v>0</v>
      </c>
      <c r="I172" s="115">
        <v>0</v>
      </c>
      <c r="J172" s="115">
        <v>0</v>
      </c>
      <c r="K172" s="115">
        <v>0</v>
      </c>
      <c r="L172" s="115">
        <v>0</v>
      </c>
      <c r="M172" s="115" t="str">
        <f>VLOOKUP(A172,Product_Mapping!$B:$D,3,FALSE)</f>
        <v>Hardware</v>
      </c>
    </row>
    <row r="173" spans="1:13" x14ac:dyDescent="0.3">
      <c r="A173" s="116">
        <v>8479</v>
      </c>
      <c r="B173" s="114" t="s">
        <v>175</v>
      </c>
      <c r="C173" s="115">
        <v>211.21</v>
      </c>
      <c r="D173" s="115">
        <v>159.94999999999999</v>
      </c>
      <c r="E173" s="115">
        <v>369.24</v>
      </c>
      <c r="F173" s="115">
        <v>371.83</v>
      </c>
      <c r="G173" s="115">
        <v>216.75</v>
      </c>
      <c r="H173" s="115">
        <v>201.62</v>
      </c>
      <c r="I173" s="115">
        <v>199.97</v>
      </c>
      <c r="J173" s="115">
        <v>302.55</v>
      </c>
      <c r="K173" s="115">
        <v>319.68</v>
      </c>
      <c r="L173" s="115">
        <v>392.91</v>
      </c>
      <c r="M173" s="115" t="str">
        <f>VLOOKUP(A173,Product_Mapping!$B:$D,3,FALSE)</f>
        <v>Kitchen Fittings</v>
      </c>
    </row>
    <row r="174" spans="1:13" x14ac:dyDescent="0.3">
      <c r="A174" s="116">
        <v>8457</v>
      </c>
      <c r="B174" s="114" t="s">
        <v>176</v>
      </c>
      <c r="C174" s="115">
        <v>99.32</v>
      </c>
      <c r="D174" s="115">
        <v>82.46</v>
      </c>
      <c r="E174" s="115">
        <v>221.09</v>
      </c>
      <c r="F174" s="115">
        <v>203.78</v>
      </c>
      <c r="G174" s="115">
        <v>120.76</v>
      </c>
      <c r="H174" s="115">
        <v>174.74</v>
      </c>
      <c r="I174" s="115">
        <v>127.61</v>
      </c>
      <c r="J174" s="115">
        <v>188.93</v>
      </c>
      <c r="K174" s="115">
        <v>175.4</v>
      </c>
      <c r="L174" s="115">
        <v>291.20999999999998</v>
      </c>
      <c r="M174" s="115" t="str">
        <f>VLOOKUP(A174,Product_Mapping!$B:$D,3,FALSE)</f>
        <v>Kitchen Fittings</v>
      </c>
    </row>
    <row r="175" spans="1:13" x14ac:dyDescent="0.3">
      <c r="A175" s="116">
        <v>8411</v>
      </c>
      <c r="B175" s="114" t="s">
        <v>177</v>
      </c>
      <c r="C175" s="115">
        <v>11.37</v>
      </c>
      <c r="D175" s="115">
        <v>13.72</v>
      </c>
      <c r="E175" s="115">
        <v>91.57</v>
      </c>
      <c r="F175" s="115">
        <v>41.3</v>
      </c>
      <c r="G175" s="115">
        <v>18.22</v>
      </c>
      <c r="H175" s="115">
        <v>64.98</v>
      </c>
      <c r="I175" s="115">
        <v>48</v>
      </c>
      <c r="J175" s="115">
        <v>95.57</v>
      </c>
      <c r="K175" s="115">
        <v>194.6</v>
      </c>
      <c r="L175" s="115">
        <v>204.3</v>
      </c>
      <c r="M175" s="115" t="str">
        <f>VLOOKUP(A175,Product_Mapping!$B:$D,3,FALSE)</f>
        <v>Kitchen Fittings</v>
      </c>
    </row>
    <row r="176" spans="1:13" x14ac:dyDescent="0.3">
      <c r="A176" s="116">
        <v>8443</v>
      </c>
      <c r="B176" s="114" t="s">
        <v>178</v>
      </c>
      <c r="C176" s="115">
        <v>208.99</v>
      </c>
      <c r="D176" s="115">
        <v>238.81</v>
      </c>
      <c r="E176" s="115">
        <v>151.46</v>
      </c>
      <c r="F176" s="115">
        <v>105.45</v>
      </c>
      <c r="G176" s="115">
        <v>91.71</v>
      </c>
      <c r="H176" s="115">
        <v>104.55</v>
      </c>
      <c r="I176" s="115">
        <v>153.94</v>
      </c>
      <c r="J176" s="115">
        <v>130.34</v>
      </c>
      <c r="K176" s="115">
        <v>162.18</v>
      </c>
      <c r="L176" s="115">
        <v>183.03</v>
      </c>
      <c r="M176" s="115" t="str">
        <f>VLOOKUP(A176,Product_Mapping!$B:$D,3,FALSE)</f>
        <v>Kitchen Fittings</v>
      </c>
    </row>
    <row r="177" spans="1:13" x14ac:dyDescent="0.3">
      <c r="A177" s="116">
        <v>8409</v>
      </c>
      <c r="B177" s="114" t="s">
        <v>179</v>
      </c>
      <c r="C177" s="115">
        <v>117.36</v>
      </c>
      <c r="D177" s="115">
        <v>130.36000000000001</v>
      </c>
      <c r="E177" s="115">
        <v>162.44999999999999</v>
      </c>
      <c r="F177" s="115">
        <v>127.39</v>
      </c>
      <c r="G177" s="115">
        <v>87.67</v>
      </c>
      <c r="H177" s="115">
        <v>122.22</v>
      </c>
      <c r="I177" s="115">
        <v>129.96</v>
      </c>
      <c r="J177" s="115">
        <v>136.18</v>
      </c>
      <c r="K177" s="115">
        <v>156.94</v>
      </c>
      <c r="L177" s="115">
        <v>182.72</v>
      </c>
      <c r="M177" s="115" t="str">
        <f>VLOOKUP(A177,Product_Mapping!$B:$D,3,FALSE)</f>
        <v>Kitchen Fittings</v>
      </c>
    </row>
    <row r="178" spans="1:13" x14ac:dyDescent="0.3">
      <c r="A178" s="116">
        <v>8481</v>
      </c>
      <c r="B178" s="114" t="s">
        <v>180</v>
      </c>
      <c r="C178" s="115">
        <v>102.01</v>
      </c>
      <c r="D178" s="115">
        <v>108.64</v>
      </c>
      <c r="E178" s="115">
        <v>131.94</v>
      </c>
      <c r="F178" s="115">
        <v>124.62</v>
      </c>
      <c r="G178" s="115">
        <v>98.45</v>
      </c>
      <c r="H178" s="115">
        <v>159.35</v>
      </c>
      <c r="I178" s="115">
        <v>145.51</v>
      </c>
      <c r="J178" s="115">
        <v>139.4</v>
      </c>
      <c r="K178" s="115">
        <v>138.44999999999999</v>
      </c>
      <c r="L178" s="115">
        <v>170.7</v>
      </c>
      <c r="M178" s="115" t="str">
        <f>VLOOKUP(A178,Product_Mapping!$B:$D,3,FALSE)</f>
        <v>Kitchen Fittings</v>
      </c>
    </row>
    <row r="179" spans="1:13" x14ac:dyDescent="0.3">
      <c r="A179" s="116">
        <v>8477</v>
      </c>
      <c r="B179" s="114" t="s">
        <v>181</v>
      </c>
      <c r="C179" s="115">
        <v>71.53</v>
      </c>
      <c r="D179" s="115">
        <v>94.01</v>
      </c>
      <c r="E179" s="115">
        <v>114.53</v>
      </c>
      <c r="F179" s="115">
        <v>180.07</v>
      </c>
      <c r="G179" s="115">
        <v>63.64</v>
      </c>
      <c r="H179" s="115">
        <v>98.57</v>
      </c>
      <c r="I179" s="115">
        <v>67.989999999999995</v>
      </c>
      <c r="J179" s="115">
        <v>98.37</v>
      </c>
      <c r="K179" s="115">
        <v>100.36</v>
      </c>
      <c r="L179" s="115">
        <v>166.53</v>
      </c>
      <c r="M179" s="115" t="str">
        <f>VLOOKUP(A179,Product_Mapping!$B:$D,3,FALSE)</f>
        <v>Kitchen Fittings</v>
      </c>
    </row>
    <row r="180" spans="1:13" x14ac:dyDescent="0.3">
      <c r="A180" s="116">
        <v>8414</v>
      </c>
      <c r="B180" s="114" t="s">
        <v>182</v>
      </c>
      <c r="C180" s="115">
        <v>133.44</v>
      </c>
      <c r="D180" s="115">
        <v>78.05</v>
      </c>
      <c r="E180" s="115">
        <v>70.72</v>
      </c>
      <c r="F180" s="115">
        <v>84.58</v>
      </c>
      <c r="G180" s="115">
        <v>102.02</v>
      </c>
      <c r="H180" s="115">
        <v>97.68</v>
      </c>
      <c r="I180" s="115">
        <v>75.41</v>
      </c>
      <c r="J180" s="115">
        <v>95.06</v>
      </c>
      <c r="K180" s="115">
        <v>89.26</v>
      </c>
      <c r="L180" s="115">
        <v>142.71</v>
      </c>
      <c r="M180" s="115" t="str">
        <f>VLOOKUP(A180,Product_Mapping!$B:$D,3,FALSE)</f>
        <v>Kitchen Fittings</v>
      </c>
    </row>
    <row r="181" spans="1:13" x14ac:dyDescent="0.3">
      <c r="A181" s="116">
        <v>8482</v>
      </c>
      <c r="B181" s="114" t="s">
        <v>183</v>
      </c>
      <c r="C181" s="115">
        <v>104.77</v>
      </c>
      <c r="D181" s="115">
        <v>118.63</v>
      </c>
      <c r="E181" s="115">
        <v>133.97</v>
      </c>
      <c r="F181" s="115">
        <v>130.41</v>
      </c>
      <c r="G181" s="115">
        <v>84.29</v>
      </c>
      <c r="H181" s="115">
        <v>141.63999999999999</v>
      </c>
      <c r="I181" s="115">
        <v>145.19999999999999</v>
      </c>
      <c r="J181" s="115">
        <v>145.44</v>
      </c>
      <c r="K181" s="115">
        <v>137.24</v>
      </c>
      <c r="L181" s="115">
        <v>139.51</v>
      </c>
      <c r="M181" s="115" t="str">
        <f>VLOOKUP(A181,Product_Mapping!$B:$D,3,FALSE)</f>
        <v>Kitchen Fittings</v>
      </c>
    </row>
    <row r="182" spans="1:13" x14ac:dyDescent="0.3">
      <c r="A182" s="116">
        <v>8431</v>
      </c>
      <c r="B182" s="114" t="s">
        <v>184</v>
      </c>
      <c r="C182" s="115">
        <v>75.3</v>
      </c>
      <c r="D182" s="115">
        <v>80.83</v>
      </c>
      <c r="E182" s="115">
        <v>82.91</v>
      </c>
      <c r="F182" s="115">
        <v>72.400000000000006</v>
      </c>
      <c r="G182" s="115">
        <v>54.27</v>
      </c>
      <c r="H182" s="115">
        <v>93.44</v>
      </c>
      <c r="I182" s="115">
        <v>82.93</v>
      </c>
      <c r="J182" s="115">
        <v>75.3</v>
      </c>
      <c r="K182" s="115">
        <v>86.54</v>
      </c>
      <c r="L182" s="115">
        <v>136.66</v>
      </c>
      <c r="M182" s="115" t="str">
        <f>VLOOKUP(A182,Product_Mapping!$B:$D,3,FALSE)</f>
        <v>Kitchen Fittings</v>
      </c>
    </row>
    <row r="183" spans="1:13" x14ac:dyDescent="0.3">
      <c r="A183" s="116">
        <v>8413</v>
      </c>
      <c r="B183" s="114" t="s">
        <v>185</v>
      </c>
      <c r="C183" s="115">
        <v>67.849999999999994</v>
      </c>
      <c r="D183" s="115">
        <v>81.58</v>
      </c>
      <c r="E183" s="115">
        <v>101.24</v>
      </c>
      <c r="F183" s="115">
        <v>83.9</v>
      </c>
      <c r="G183" s="115">
        <v>66.099999999999994</v>
      </c>
      <c r="H183" s="115">
        <v>126.99</v>
      </c>
      <c r="I183" s="115">
        <v>105.89</v>
      </c>
      <c r="J183" s="115">
        <v>105.06</v>
      </c>
      <c r="K183" s="115">
        <v>113.99</v>
      </c>
      <c r="L183" s="115">
        <v>136.06</v>
      </c>
      <c r="M183" s="115" t="str">
        <f>VLOOKUP(A183,Product_Mapping!$B:$D,3,FALSE)</f>
        <v>Kitchen Fittings</v>
      </c>
    </row>
    <row r="184" spans="1:13" x14ac:dyDescent="0.3">
      <c r="A184" s="116">
        <v>8462</v>
      </c>
      <c r="B184" s="114" t="s">
        <v>186</v>
      </c>
      <c r="C184" s="115">
        <v>80.73</v>
      </c>
      <c r="D184" s="115">
        <v>92.97</v>
      </c>
      <c r="E184" s="115">
        <v>97.9</v>
      </c>
      <c r="F184" s="115">
        <v>131.13</v>
      </c>
      <c r="G184" s="115">
        <v>31.74</v>
      </c>
      <c r="H184" s="115">
        <v>40.53</v>
      </c>
      <c r="I184" s="115">
        <v>46.51</v>
      </c>
      <c r="J184" s="115">
        <v>76.19</v>
      </c>
      <c r="K184" s="115">
        <v>107.69</v>
      </c>
      <c r="L184" s="115">
        <v>128.93</v>
      </c>
      <c r="M184" s="115" t="str">
        <f>VLOOKUP(A184,Product_Mapping!$B:$D,3,FALSE)</f>
        <v>Kitchen Fittings</v>
      </c>
    </row>
    <row r="185" spans="1:13" x14ac:dyDescent="0.3">
      <c r="A185" s="116">
        <v>8446</v>
      </c>
      <c r="B185" s="114" t="s">
        <v>187</v>
      </c>
      <c r="C185" s="115">
        <v>221.7</v>
      </c>
      <c r="D185" s="115">
        <v>144.66999999999999</v>
      </c>
      <c r="E185" s="115">
        <v>149.76</v>
      </c>
      <c r="F185" s="115">
        <v>74.069999999999993</v>
      </c>
      <c r="G185" s="115">
        <v>50.45</v>
      </c>
      <c r="H185" s="115">
        <v>52.18</v>
      </c>
      <c r="I185" s="115">
        <v>124.1</v>
      </c>
      <c r="J185" s="115">
        <v>186.89</v>
      </c>
      <c r="K185" s="115">
        <v>127.16</v>
      </c>
      <c r="L185" s="115">
        <v>115.62</v>
      </c>
      <c r="M185" s="115" t="str">
        <f>VLOOKUP(A185,Product_Mapping!$B:$D,3,FALSE)</f>
        <v>Kitchen Fittings</v>
      </c>
    </row>
    <row r="186" spans="1:13" x14ac:dyDescent="0.3">
      <c r="A186" s="116">
        <v>8421</v>
      </c>
      <c r="B186" s="114" t="s">
        <v>188</v>
      </c>
      <c r="C186" s="115">
        <v>44.76</v>
      </c>
      <c r="D186" s="115">
        <v>49.72</v>
      </c>
      <c r="E186" s="115">
        <v>57.98</v>
      </c>
      <c r="F186" s="115">
        <v>73.069999999999993</v>
      </c>
      <c r="G186" s="115">
        <v>83.33</v>
      </c>
      <c r="H186" s="115">
        <v>106.66</v>
      </c>
      <c r="I186" s="115">
        <v>127.64</v>
      </c>
      <c r="J186" s="115">
        <v>147.88</v>
      </c>
      <c r="K186" s="115">
        <v>155.68</v>
      </c>
      <c r="L186" s="115">
        <v>114.77</v>
      </c>
      <c r="M186" s="115" t="str">
        <f>VLOOKUP(A186,Product_Mapping!$B:$D,3,FALSE)</f>
        <v>Kitchen Fittings</v>
      </c>
    </row>
    <row r="187" spans="1:13" x14ac:dyDescent="0.3">
      <c r="A187" s="116">
        <v>8466</v>
      </c>
      <c r="B187" s="114" t="s">
        <v>189</v>
      </c>
      <c r="C187" s="115">
        <v>86.36</v>
      </c>
      <c r="D187" s="115">
        <v>73.489999999999995</v>
      </c>
      <c r="E187" s="115">
        <v>115.45</v>
      </c>
      <c r="F187" s="115">
        <v>136.82</v>
      </c>
      <c r="G187" s="115">
        <v>59.46</v>
      </c>
      <c r="H187" s="115">
        <v>83.71</v>
      </c>
      <c r="I187" s="115">
        <v>68.42</v>
      </c>
      <c r="J187" s="115">
        <v>90.35</v>
      </c>
      <c r="K187" s="115">
        <v>79.87</v>
      </c>
      <c r="L187" s="115">
        <v>110.36</v>
      </c>
      <c r="M187" s="115" t="str">
        <f>VLOOKUP(A187,Product_Mapping!$B:$D,3,FALSE)</f>
        <v>Kitchen Fittings</v>
      </c>
    </row>
    <row r="188" spans="1:13" x14ac:dyDescent="0.3">
      <c r="A188" s="116">
        <v>8483</v>
      </c>
      <c r="B188" s="114" t="s">
        <v>190</v>
      </c>
      <c r="C188" s="115">
        <v>88.37</v>
      </c>
      <c r="D188" s="115">
        <v>84.39</v>
      </c>
      <c r="E188" s="115">
        <v>104.17</v>
      </c>
      <c r="F188" s="115">
        <v>94.71</v>
      </c>
      <c r="G188" s="115">
        <v>68.709999999999994</v>
      </c>
      <c r="H188" s="115">
        <v>102.09</v>
      </c>
      <c r="I188" s="115">
        <v>96.27</v>
      </c>
      <c r="J188" s="115">
        <v>87.48</v>
      </c>
      <c r="K188" s="115">
        <v>79.84</v>
      </c>
      <c r="L188" s="115">
        <v>97.22</v>
      </c>
      <c r="M188" s="115" t="str">
        <f>VLOOKUP(A188,Product_Mapping!$B:$D,3,FALSE)</f>
        <v>Kitchen Fittings</v>
      </c>
    </row>
    <row r="189" spans="1:13" x14ac:dyDescent="0.3">
      <c r="A189" s="116">
        <v>8408</v>
      </c>
      <c r="B189" s="114" t="s">
        <v>191</v>
      </c>
      <c r="C189" s="115">
        <v>113.54</v>
      </c>
      <c r="D189" s="115">
        <v>115.83</v>
      </c>
      <c r="E189" s="115">
        <v>79.650000000000006</v>
      </c>
      <c r="F189" s="115">
        <v>67.97</v>
      </c>
      <c r="G189" s="115">
        <v>37.65</v>
      </c>
      <c r="H189" s="115">
        <v>85.91</v>
      </c>
      <c r="I189" s="115">
        <v>68.42</v>
      </c>
      <c r="J189" s="115">
        <v>64.680000000000007</v>
      </c>
      <c r="K189" s="115">
        <v>65.22</v>
      </c>
      <c r="L189" s="115">
        <v>80.88</v>
      </c>
      <c r="M189" s="115" t="str">
        <f>VLOOKUP(A189,Product_Mapping!$B:$D,3,FALSE)</f>
        <v>Kitchen Fittings</v>
      </c>
    </row>
    <row r="190" spans="1:13" x14ac:dyDescent="0.3">
      <c r="A190" s="116">
        <v>8429</v>
      </c>
      <c r="B190" s="114" t="s">
        <v>192</v>
      </c>
      <c r="C190" s="115">
        <v>76.19</v>
      </c>
      <c r="D190" s="115">
        <v>60.72</v>
      </c>
      <c r="E190" s="115">
        <v>53.33</v>
      </c>
      <c r="F190" s="115">
        <v>66.78</v>
      </c>
      <c r="G190" s="115">
        <v>73.900000000000006</v>
      </c>
      <c r="H190" s="115">
        <v>88.53</v>
      </c>
      <c r="I190" s="115">
        <v>93.67</v>
      </c>
      <c r="J190" s="115">
        <v>110.59</v>
      </c>
      <c r="K190" s="115">
        <v>82.07</v>
      </c>
      <c r="L190" s="115">
        <v>79.59</v>
      </c>
      <c r="M190" s="115" t="str">
        <f>VLOOKUP(A190,Product_Mapping!$B:$D,3,FALSE)</f>
        <v>Kitchen Fittings</v>
      </c>
    </row>
    <row r="191" spans="1:13" x14ac:dyDescent="0.3">
      <c r="A191" s="116">
        <v>8460</v>
      </c>
      <c r="B191" s="114" t="s">
        <v>193</v>
      </c>
      <c r="C191" s="115">
        <v>47.62</v>
      </c>
      <c r="D191" s="115">
        <v>28.24</v>
      </c>
      <c r="E191" s="115">
        <v>76.41</v>
      </c>
      <c r="F191" s="115">
        <v>89.86</v>
      </c>
      <c r="G191" s="115">
        <v>54.83</v>
      </c>
      <c r="H191" s="115">
        <v>25.48</v>
      </c>
      <c r="I191" s="115">
        <v>47.85</v>
      </c>
      <c r="J191" s="115">
        <v>32.94</v>
      </c>
      <c r="K191" s="115">
        <v>59.53</v>
      </c>
      <c r="L191" s="115">
        <v>60.36</v>
      </c>
      <c r="M191" s="115" t="str">
        <f>VLOOKUP(A191,Product_Mapping!$B:$D,3,FALSE)</f>
        <v>Kitchen Fittings</v>
      </c>
    </row>
    <row r="192" spans="1:13" x14ac:dyDescent="0.3">
      <c r="A192" s="116">
        <v>8458</v>
      </c>
      <c r="B192" s="114" t="s">
        <v>194</v>
      </c>
      <c r="C192" s="115">
        <v>40.869999999999997</v>
      </c>
      <c r="D192" s="115">
        <v>37.32</v>
      </c>
      <c r="E192" s="115">
        <v>57.42</v>
      </c>
      <c r="F192" s="115">
        <v>65.2</v>
      </c>
      <c r="G192" s="115">
        <v>42.7</v>
      </c>
      <c r="H192" s="115">
        <v>31.81</v>
      </c>
      <c r="I192" s="115">
        <v>42.03</v>
      </c>
      <c r="J192" s="115">
        <v>42.34</v>
      </c>
      <c r="K192" s="115">
        <v>50.31</v>
      </c>
      <c r="L192" s="115">
        <v>60.02</v>
      </c>
      <c r="M192" s="115" t="str">
        <f>VLOOKUP(A192,Product_Mapping!$B:$D,3,FALSE)</f>
        <v>Kitchen Fittings</v>
      </c>
    </row>
    <row r="193" spans="1:13" x14ac:dyDescent="0.3">
      <c r="A193" s="116">
        <v>8445</v>
      </c>
      <c r="B193" s="114" t="s">
        <v>195</v>
      </c>
      <c r="C193" s="115">
        <v>96.64</v>
      </c>
      <c r="D193" s="115">
        <v>89.66</v>
      </c>
      <c r="E193" s="115">
        <v>87.85</v>
      </c>
      <c r="F193" s="115">
        <v>74.349999999999994</v>
      </c>
      <c r="G193" s="115">
        <v>29.52</v>
      </c>
      <c r="H193" s="115">
        <v>126.8</v>
      </c>
      <c r="I193" s="115">
        <v>111.92</v>
      </c>
      <c r="J193" s="115">
        <v>170.33</v>
      </c>
      <c r="K193" s="115">
        <v>82.4</v>
      </c>
      <c r="L193" s="115">
        <v>56.65</v>
      </c>
      <c r="M193" s="115" t="str">
        <f>VLOOKUP(A193,Product_Mapping!$B:$D,3,FALSE)</f>
        <v>Kitchen Fittings</v>
      </c>
    </row>
    <row r="194" spans="1:13" x14ac:dyDescent="0.3">
      <c r="A194" s="116">
        <v>8412</v>
      </c>
      <c r="B194" s="114" t="s">
        <v>196</v>
      </c>
      <c r="C194" s="115">
        <v>51.2</v>
      </c>
      <c r="D194" s="115">
        <v>48.56</v>
      </c>
      <c r="E194" s="115">
        <v>56.46</v>
      </c>
      <c r="F194" s="115">
        <v>50.98</v>
      </c>
      <c r="G194" s="115">
        <v>29.61</v>
      </c>
      <c r="H194" s="115">
        <v>58.58</v>
      </c>
      <c r="I194" s="115">
        <v>45.62</v>
      </c>
      <c r="J194" s="115">
        <v>48.59</v>
      </c>
      <c r="K194" s="115">
        <v>49.78</v>
      </c>
      <c r="L194" s="115">
        <v>53.68</v>
      </c>
      <c r="M194" s="115" t="str">
        <f>VLOOKUP(A194,Product_Mapping!$B:$D,3,FALSE)</f>
        <v>Kitchen Fittings</v>
      </c>
    </row>
    <row r="195" spans="1:13" x14ac:dyDescent="0.3">
      <c r="A195" s="116">
        <v>8455</v>
      </c>
      <c r="B195" s="114" t="s">
        <v>197</v>
      </c>
      <c r="C195" s="115">
        <v>23.49</v>
      </c>
      <c r="D195" s="115">
        <v>18.75</v>
      </c>
      <c r="E195" s="115">
        <v>42.69</v>
      </c>
      <c r="F195" s="115">
        <v>118.65</v>
      </c>
      <c r="G195" s="115">
        <v>32.72</v>
      </c>
      <c r="H195" s="115">
        <v>25.2</v>
      </c>
      <c r="I195" s="115">
        <v>45.32</v>
      </c>
      <c r="J195" s="115">
        <v>55.44</v>
      </c>
      <c r="K195" s="115">
        <v>59.16</v>
      </c>
      <c r="L195" s="115">
        <v>53.18</v>
      </c>
      <c r="M195" s="115" t="str">
        <f>VLOOKUP(A195,Product_Mapping!$B:$D,3,FALSE)</f>
        <v>Kitchen Fittings</v>
      </c>
    </row>
    <row r="196" spans="1:13" x14ac:dyDescent="0.3">
      <c r="A196" s="116">
        <v>8428</v>
      </c>
      <c r="B196" s="114" t="s">
        <v>198</v>
      </c>
      <c r="C196" s="115">
        <v>27.19</v>
      </c>
      <c r="D196" s="115">
        <v>26.5</v>
      </c>
      <c r="E196" s="115">
        <v>53.74</v>
      </c>
      <c r="F196" s="115">
        <v>77.150000000000006</v>
      </c>
      <c r="G196" s="115">
        <v>33.380000000000003</v>
      </c>
      <c r="H196" s="115">
        <v>32.119999999999997</v>
      </c>
      <c r="I196" s="115">
        <v>20.99</v>
      </c>
      <c r="J196" s="115">
        <v>52.24</v>
      </c>
      <c r="K196" s="115">
        <v>56.88</v>
      </c>
      <c r="L196" s="115">
        <v>46</v>
      </c>
      <c r="M196" s="115" t="str">
        <f>VLOOKUP(A196,Product_Mapping!$B:$D,3,FALSE)</f>
        <v>Kitchen Fittings</v>
      </c>
    </row>
    <row r="197" spans="1:13" x14ac:dyDescent="0.3">
      <c r="A197" s="116">
        <v>8415</v>
      </c>
      <c r="B197" s="114" t="s">
        <v>199</v>
      </c>
      <c r="C197" s="115">
        <v>35.04</v>
      </c>
      <c r="D197" s="115">
        <v>39.4</v>
      </c>
      <c r="E197" s="115">
        <v>47.84</v>
      </c>
      <c r="F197" s="115">
        <v>47.98</v>
      </c>
      <c r="G197" s="115">
        <v>29.16</v>
      </c>
      <c r="H197" s="115">
        <v>32.54</v>
      </c>
      <c r="I197" s="115">
        <v>36.549999999999997</v>
      </c>
      <c r="J197" s="115">
        <v>31.91</v>
      </c>
      <c r="K197" s="115">
        <v>34.22</v>
      </c>
      <c r="L197" s="115">
        <v>41.83</v>
      </c>
      <c r="M197" s="115" t="str">
        <f>VLOOKUP(A197,Product_Mapping!$B:$D,3,FALSE)</f>
        <v>Kitchen Fittings</v>
      </c>
    </row>
    <row r="198" spans="1:13" x14ac:dyDescent="0.3">
      <c r="A198" s="116">
        <v>8433</v>
      </c>
      <c r="B198" s="114" t="s">
        <v>200</v>
      </c>
      <c r="C198" s="115">
        <v>4.37</v>
      </c>
      <c r="D198" s="115">
        <v>3.24</v>
      </c>
      <c r="E198" s="115">
        <v>12.81</v>
      </c>
      <c r="F198" s="115">
        <v>11.46</v>
      </c>
      <c r="G198" s="115">
        <v>12.87</v>
      </c>
      <c r="H198" s="115">
        <v>20.56</v>
      </c>
      <c r="I198" s="115">
        <v>34.94</v>
      </c>
      <c r="J198" s="115">
        <v>22.68</v>
      </c>
      <c r="K198" s="115">
        <v>38.06</v>
      </c>
      <c r="L198" s="115">
        <v>40.49</v>
      </c>
      <c r="M198" s="115" t="str">
        <f>VLOOKUP(A198,Product_Mapping!$B:$D,3,FALSE)</f>
        <v>Kitchen Fittings</v>
      </c>
    </row>
    <row r="199" spans="1:13" x14ac:dyDescent="0.3">
      <c r="A199" s="116">
        <v>8454</v>
      </c>
      <c r="B199" s="114" t="s">
        <v>201</v>
      </c>
      <c r="C199" s="115">
        <v>21.78</v>
      </c>
      <c r="D199" s="115">
        <v>17.32</v>
      </c>
      <c r="E199" s="115">
        <v>35.880000000000003</v>
      </c>
      <c r="F199" s="115">
        <v>42.41</v>
      </c>
      <c r="G199" s="115">
        <v>23.02</v>
      </c>
      <c r="H199" s="115">
        <v>21.76</v>
      </c>
      <c r="I199" s="115">
        <v>12.65</v>
      </c>
      <c r="J199" s="115">
        <v>22.16</v>
      </c>
      <c r="K199" s="115">
        <v>50.14</v>
      </c>
      <c r="L199" s="115">
        <v>39.21</v>
      </c>
      <c r="M199" s="115" t="str">
        <f>VLOOKUP(A199,Product_Mapping!$B:$D,3,FALSE)</f>
        <v>Kitchen Fittings</v>
      </c>
    </row>
    <row r="200" spans="1:13" x14ac:dyDescent="0.3">
      <c r="A200" s="116">
        <v>8473</v>
      </c>
      <c r="B200" s="114" t="s">
        <v>202</v>
      </c>
      <c r="C200" s="115">
        <v>6.06</v>
      </c>
      <c r="D200" s="115">
        <v>5.61</v>
      </c>
      <c r="E200" s="115">
        <v>10.62</v>
      </c>
      <c r="F200" s="115">
        <v>6.8</v>
      </c>
      <c r="G200" s="115">
        <v>7.98</v>
      </c>
      <c r="H200" s="115">
        <v>12.55</v>
      </c>
      <c r="I200" s="115">
        <v>15.07</v>
      </c>
      <c r="J200" s="115">
        <v>14.83</v>
      </c>
      <c r="K200" s="115">
        <v>18.78</v>
      </c>
      <c r="L200" s="115">
        <v>38.979999999999997</v>
      </c>
      <c r="M200" s="115" t="str">
        <f>VLOOKUP(A200,Product_Mapping!$B:$D,3,FALSE)</f>
        <v>Kitchen Fittings</v>
      </c>
    </row>
    <row r="201" spans="1:13" x14ac:dyDescent="0.3">
      <c r="A201" s="116">
        <v>8422</v>
      </c>
      <c r="B201" s="114" t="s">
        <v>203</v>
      </c>
      <c r="C201" s="115">
        <v>24.52</v>
      </c>
      <c r="D201" s="115">
        <v>17.829999999999998</v>
      </c>
      <c r="E201" s="115">
        <v>23.74</v>
      </c>
      <c r="F201" s="115">
        <v>12.62</v>
      </c>
      <c r="G201" s="115">
        <v>22.77</v>
      </c>
      <c r="H201" s="115">
        <v>31.36</v>
      </c>
      <c r="I201" s="115">
        <v>16.32</v>
      </c>
      <c r="J201" s="115">
        <v>24.02</v>
      </c>
      <c r="K201" s="115">
        <v>16.07</v>
      </c>
      <c r="L201" s="115">
        <v>37.15</v>
      </c>
      <c r="M201" s="115" t="str">
        <f>VLOOKUP(A201,Product_Mapping!$B:$D,3,FALSE)</f>
        <v>Kitchen Fittings</v>
      </c>
    </row>
    <row r="202" spans="1:13" x14ac:dyDescent="0.3">
      <c r="A202" s="116">
        <v>8424</v>
      </c>
      <c r="B202" s="114" t="s">
        <v>204</v>
      </c>
      <c r="C202" s="115">
        <v>17.54</v>
      </c>
      <c r="D202" s="115">
        <v>8.3000000000000007</v>
      </c>
      <c r="E202" s="115">
        <v>22.03</v>
      </c>
      <c r="F202" s="115">
        <v>36.770000000000003</v>
      </c>
      <c r="G202" s="115">
        <v>13.38</v>
      </c>
      <c r="H202" s="115">
        <v>19.02</v>
      </c>
      <c r="I202" s="115">
        <v>14.11</v>
      </c>
      <c r="J202" s="115">
        <v>19.28</v>
      </c>
      <c r="K202" s="115">
        <v>26.08</v>
      </c>
      <c r="L202" s="115">
        <v>35.799999999999997</v>
      </c>
      <c r="M202" s="115" t="str">
        <f>VLOOKUP(A202,Product_Mapping!$B:$D,3,FALSE)</f>
        <v>Kitchen Fittings</v>
      </c>
    </row>
    <row r="203" spans="1:13" x14ac:dyDescent="0.3">
      <c r="A203" s="116">
        <v>8461</v>
      </c>
      <c r="B203" s="114" t="s">
        <v>205</v>
      </c>
      <c r="C203" s="115">
        <v>29.41</v>
      </c>
      <c r="D203" s="115">
        <v>11.54</v>
      </c>
      <c r="E203" s="115">
        <v>23.77</v>
      </c>
      <c r="F203" s="115">
        <v>58.57</v>
      </c>
      <c r="G203" s="115">
        <v>32.25</v>
      </c>
      <c r="H203" s="115">
        <v>13.63</v>
      </c>
      <c r="I203" s="115">
        <v>27.57</v>
      </c>
      <c r="J203" s="115">
        <v>19.73</v>
      </c>
      <c r="K203" s="115">
        <v>30.95</v>
      </c>
      <c r="L203" s="115">
        <v>32.229999999999997</v>
      </c>
      <c r="M203" s="115" t="str">
        <f>VLOOKUP(A203,Product_Mapping!$B:$D,3,FALSE)</f>
        <v>Kitchen Fittings</v>
      </c>
    </row>
    <row r="204" spans="1:13" x14ac:dyDescent="0.3">
      <c r="A204" s="116">
        <v>8419</v>
      </c>
      <c r="B204" s="114" t="s">
        <v>206</v>
      </c>
      <c r="C204" s="115">
        <v>41.07</v>
      </c>
      <c r="D204" s="115">
        <v>23.61</v>
      </c>
      <c r="E204" s="115">
        <v>25.18</v>
      </c>
      <c r="F204" s="115">
        <v>31.51</v>
      </c>
      <c r="G204" s="115">
        <v>30.44</v>
      </c>
      <c r="H204" s="115">
        <v>23.17</v>
      </c>
      <c r="I204" s="115">
        <v>15.09</v>
      </c>
      <c r="J204" s="115">
        <v>29.61</v>
      </c>
      <c r="K204" s="115">
        <v>21.68</v>
      </c>
      <c r="L204" s="115">
        <v>28.56</v>
      </c>
      <c r="M204" s="115" t="str">
        <f>VLOOKUP(A204,Product_Mapping!$B:$D,3,FALSE)</f>
        <v>Kitchen Fittings</v>
      </c>
    </row>
    <row r="205" spans="1:13" x14ac:dyDescent="0.3">
      <c r="A205" s="116">
        <v>8456</v>
      </c>
      <c r="B205" s="114" t="s">
        <v>207</v>
      </c>
      <c r="C205" s="115">
        <v>22.8</v>
      </c>
      <c r="D205" s="115">
        <v>27.27</v>
      </c>
      <c r="E205" s="115">
        <v>33.32</v>
      </c>
      <c r="F205" s="115">
        <v>20.72</v>
      </c>
      <c r="G205" s="115">
        <v>10.98</v>
      </c>
      <c r="H205" s="115">
        <v>29.37</v>
      </c>
      <c r="I205" s="115">
        <v>21.3</v>
      </c>
      <c r="J205" s="115">
        <v>25.11</v>
      </c>
      <c r="K205" s="115">
        <v>23.13</v>
      </c>
      <c r="L205" s="115">
        <v>27.93</v>
      </c>
      <c r="M205" s="115" t="str">
        <f>VLOOKUP(A205,Product_Mapping!$B:$D,3,FALSE)</f>
        <v>Kitchen Fittings</v>
      </c>
    </row>
    <row r="206" spans="1:13" x14ac:dyDescent="0.3">
      <c r="A206" s="116">
        <v>8471</v>
      </c>
      <c r="B206" s="114" t="s">
        <v>208</v>
      </c>
      <c r="C206" s="115">
        <v>21.93</v>
      </c>
      <c r="D206" s="115">
        <v>22.28</v>
      </c>
      <c r="E206" s="115">
        <v>16.25</v>
      </c>
      <c r="F206" s="115">
        <v>12.76</v>
      </c>
      <c r="G206" s="115">
        <v>15.57</v>
      </c>
      <c r="H206" s="115">
        <v>14.39</v>
      </c>
      <c r="I206" s="115">
        <v>16.29</v>
      </c>
      <c r="J206" s="115">
        <v>19.57</v>
      </c>
      <c r="K206" s="115">
        <v>25.23</v>
      </c>
      <c r="L206" s="115">
        <v>25.29</v>
      </c>
      <c r="M206" s="115" t="str">
        <f>VLOOKUP(A206,Product_Mapping!$B:$D,3,FALSE)</f>
        <v>Kitchen Fittings</v>
      </c>
    </row>
    <row r="207" spans="1:13" x14ac:dyDescent="0.3">
      <c r="A207" s="116">
        <v>8447</v>
      </c>
      <c r="B207" s="114" t="s">
        <v>209</v>
      </c>
      <c r="C207" s="115">
        <v>21.46</v>
      </c>
      <c r="D207" s="115">
        <v>25.9</v>
      </c>
      <c r="E207" s="115">
        <v>19.510000000000002</v>
      </c>
      <c r="F207" s="115">
        <v>15.3</v>
      </c>
      <c r="G207" s="115">
        <v>8.7799999999999994</v>
      </c>
      <c r="H207" s="115">
        <v>14.31</v>
      </c>
      <c r="I207" s="115">
        <v>12.03</v>
      </c>
      <c r="J207" s="115">
        <v>26.1</v>
      </c>
      <c r="K207" s="115">
        <v>20.27</v>
      </c>
      <c r="L207" s="115">
        <v>24.97</v>
      </c>
      <c r="M207" s="115" t="str">
        <f>VLOOKUP(A207,Product_Mapping!$B:$D,3,FALSE)</f>
        <v>Kitchen Fittings</v>
      </c>
    </row>
    <row r="208" spans="1:13" x14ac:dyDescent="0.3">
      <c r="A208" s="116">
        <v>8406</v>
      </c>
      <c r="B208" s="114" t="s">
        <v>210</v>
      </c>
      <c r="C208" s="115">
        <v>42.93</v>
      </c>
      <c r="D208" s="115">
        <v>52.88</v>
      </c>
      <c r="E208" s="115">
        <v>37.78</v>
      </c>
      <c r="F208" s="115">
        <v>41.63</v>
      </c>
      <c r="G208" s="115">
        <v>39.229999999999997</v>
      </c>
      <c r="H208" s="115">
        <v>32.18</v>
      </c>
      <c r="I208" s="115">
        <v>12.4</v>
      </c>
      <c r="J208" s="115">
        <v>14.16</v>
      </c>
      <c r="K208" s="115">
        <v>14.92</v>
      </c>
      <c r="L208" s="115">
        <v>22.55</v>
      </c>
      <c r="M208" s="115" t="str">
        <f>VLOOKUP(A208,Product_Mapping!$B:$D,3,FALSE)</f>
        <v>Kitchen Fittings</v>
      </c>
    </row>
    <row r="209" spans="1:13" x14ac:dyDescent="0.3">
      <c r="A209" s="116">
        <v>8448</v>
      </c>
      <c r="B209" s="114" t="s">
        <v>211</v>
      </c>
      <c r="C209" s="115">
        <v>30.31</v>
      </c>
      <c r="D209" s="115">
        <v>50.35</v>
      </c>
      <c r="E209" s="115">
        <v>38.5</v>
      </c>
      <c r="F209" s="115">
        <v>32.200000000000003</v>
      </c>
      <c r="G209" s="115">
        <v>22.87</v>
      </c>
      <c r="H209" s="115">
        <v>29.69</v>
      </c>
      <c r="I209" s="115">
        <v>40.479999999999997</v>
      </c>
      <c r="J209" s="115">
        <v>31.89</v>
      </c>
      <c r="K209" s="115">
        <v>30.45</v>
      </c>
      <c r="L209" s="115">
        <v>21.29</v>
      </c>
      <c r="M209" s="115" t="str">
        <f>VLOOKUP(A209,Product_Mapping!$B:$D,3,FALSE)</f>
        <v>Kitchen Fittings</v>
      </c>
    </row>
    <row r="210" spans="1:13" x14ac:dyDescent="0.3">
      <c r="A210" s="116">
        <v>8459</v>
      </c>
      <c r="B210" s="114" t="s">
        <v>212</v>
      </c>
      <c r="C210" s="115">
        <v>27.9</v>
      </c>
      <c r="D210" s="115">
        <v>16.190000000000001</v>
      </c>
      <c r="E210" s="115">
        <v>26.22</v>
      </c>
      <c r="F210" s="115">
        <v>41.33</v>
      </c>
      <c r="G210" s="115">
        <v>16.98</v>
      </c>
      <c r="H210" s="115">
        <v>8.44</v>
      </c>
      <c r="I210" s="115">
        <v>5.15</v>
      </c>
      <c r="J210" s="115">
        <v>1.86</v>
      </c>
      <c r="K210" s="115">
        <v>10.31</v>
      </c>
      <c r="L210" s="115">
        <v>20.95</v>
      </c>
      <c r="M210" s="115" t="str">
        <f>VLOOKUP(A210,Product_Mapping!$B:$D,3,FALSE)</f>
        <v>Kitchen Fittings</v>
      </c>
    </row>
    <row r="211" spans="1:13" x14ac:dyDescent="0.3">
      <c r="A211" s="116">
        <v>8427</v>
      </c>
      <c r="B211" s="114" t="s">
        <v>213</v>
      </c>
      <c r="C211" s="115">
        <v>9.0399999999999991</v>
      </c>
      <c r="D211" s="115">
        <v>8.6999999999999993</v>
      </c>
      <c r="E211" s="115">
        <v>16.73</v>
      </c>
      <c r="F211" s="115">
        <v>16.77</v>
      </c>
      <c r="G211" s="115">
        <v>6.48</v>
      </c>
      <c r="H211" s="115">
        <v>13.11</v>
      </c>
      <c r="I211" s="115">
        <v>19.48</v>
      </c>
      <c r="J211" s="115">
        <v>26.81</v>
      </c>
      <c r="K211" s="115">
        <v>14.37</v>
      </c>
      <c r="L211" s="115">
        <v>20.34</v>
      </c>
      <c r="M211" s="115" t="str">
        <f>VLOOKUP(A211,Product_Mapping!$B:$D,3,FALSE)</f>
        <v>Kitchen Fittings</v>
      </c>
    </row>
    <row r="212" spans="1:13" x14ac:dyDescent="0.3">
      <c r="A212" s="116">
        <v>8423</v>
      </c>
      <c r="B212" s="114" t="s">
        <v>214</v>
      </c>
      <c r="C212" s="115">
        <v>9.85</v>
      </c>
      <c r="D212" s="115">
        <v>8.0299999999999994</v>
      </c>
      <c r="E212" s="115">
        <v>15.17</v>
      </c>
      <c r="F212" s="115">
        <v>15.51</v>
      </c>
      <c r="G212" s="115">
        <v>8.59</v>
      </c>
      <c r="H212" s="115">
        <v>16.309999999999999</v>
      </c>
      <c r="I212" s="115">
        <v>8.14</v>
      </c>
      <c r="J212" s="115">
        <v>11.96</v>
      </c>
      <c r="K212" s="115">
        <v>10.09</v>
      </c>
      <c r="L212" s="115">
        <v>19.489999999999998</v>
      </c>
      <c r="M212" s="115" t="str">
        <f>VLOOKUP(A212,Product_Mapping!$B:$D,3,FALSE)</f>
        <v>Kitchen Fittings</v>
      </c>
    </row>
    <row r="213" spans="1:13" x14ac:dyDescent="0.3">
      <c r="A213" s="116">
        <v>8417</v>
      </c>
      <c r="B213" s="114" t="s">
        <v>215</v>
      </c>
      <c r="C213" s="115">
        <v>11.48</v>
      </c>
      <c r="D213" s="115">
        <v>4.1399999999999997</v>
      </c>
      <c r="E213" s="115">
        <v>10.49</v>
      </c>
      <c r="F213" s="115">
        <v>12.11</v>
      </c>
      <c r="G213" s="115">
        <v>10.29</v>
      </c>
      <c r="H213" s="115">
        <v>4.96</v>
      </c>
      <c r="I213" s="115">
        <v>8.67</v>
      </c>
      <c r="J213" s="115">
        <v>12.35</v>
      </c>
      <c r="K213" s="115">
        <v>11.36</v>
      </c>
      <c r="L213" s="115">
        <v>18.11</v>
      </c>
      <c r="M213" s="115" t="str">
        <f>VLOOKUP(A213,Product_Mapping!$B:$D,3,FALSE)</f>
        <v>Kitchen Fittings</v>
      </c>
    </row>
    <row r="214" spans="1:13" x14ac:dyDescent="0.3">
      <c r="A214" s="116">
        <v>8486</v>
      </c>
      <c r="B214" s="114" t="s">
        <v>216</v>
      </c>
      <c r="C214" s="115">
        <v>2.72</v>
      </c>
      <c r="D214" s="115">
        <v>1.03</v>
      </c>
      <c r="E214" s="115">
        <v>2</v>
      </c>
      <c r="F214" s="115">
        <v>2.9</v>
      </c>
      <c r="G214" s="115">
        <v>3.9</v>
      </c>
      <c r="H214" s="115">
        <v>3.29</v>
      </c>
      <c r="I214" s="115">
        <v>3.73</v>
      </c>
      <c r="J214" s="115">
        <v>28.27</v>
      </c>
      <c r="K214" s="115">
        <v>9.98</v>
      </c>
      <c r="L214" s="115">
        <v>17.579999999999998</v>
      </c>
      <c r="M214" s="115" t="str">
        <f>VLOOKUP(A214,Product_Mapping!$B:$D,3,FALSE)</f>
        <v>Kitchen Fittings</v>
      </c>
    </row>
    <row r="215" spans="1:13" x14ac:dyDescent="0.3">
      <c r="A215" s="116">
        <v>8480</v>
      </c>
      <c r="B215" s="114" t="s">
        <v>217</v>
      </c>
      <c r="C215" s="115">
        <v>36.049999999999997</v>
      </c>
      <c r="D215" s="115">
        <v>37.93</v>
      </c>
      <c r="E215" s="115">
        <v>29.27</v>
      </c>
      <c r="F215" s="115">
        <v>38.43</v>
      </c>
      <c r="G215" s="115">
        <v>28.96</v>
      </c>
      <c r="H215" s="115">
        <v>34.020000000000003</v>
      </c>
      <c r="I215" s="115">
        <v>23.55</v>
      </c>
      <c r="J215" s="115">
        <v>17</v>
      </c>
      <c r="K215" s="115">
        <v>17.829999999999998</v>
      </c>
      <c r="L215" s="115">
        <v>16.66</v>
      </c>
      <c r="M215" s="115" t="str">
        <f>VLOOKUP(A215,Product_Mapping!$B:$D,3,FALSE)</f>
        <v>Kitchen Fittings</v>
      </c>
    </row>
    <row r="216" spans="1:13" x14ac:dyDescent="0.3">
      <c r="A216" s="116">
        <v>8407</v>
      </c>
      <c r="B216" s="114" t="s">
        <v>218</v>
      </c>
      <c r="C216" s="115">
        <v>28.3</v>
      </c>
      <c r="D216" s="115">
        <v>18.23</v>
      </c>
      <c r="E216" s="115">
        <v>15.91</v>
      </c>
      <c r="F216" s="115">
        <v>10.09</v>
      </c>
      <c r="G216" s="115">
        <v>9.2200000000000006</v>
      </c>
      <c r="H216" s="115">
        <v>10.6</v>
      </c>
      <c r="I216" s="115">
        <v>13.13</v>
      </c>
      <c r="J216" s="115">
        <v>13.54</v>
      </c>
      <c r="K216" s="115">
        <v>9.35</v>
      </c>
      <c r="L216" s="115">
        <v>15.48</v>
      </c>
      <c r="M216" s="115" t="str">
        <f>VLOOKUP(A216,Product_Mapping!$B:$D,3,FALSE)</f>
        <v>Kitchen Fittings</v>
      </c>
    </row>
    <row r="217" spans="1:13" x14ac:dyDescent="0.3">
      <c r="A217" s="116">
        <v>8484</v>
      </c>
      <c r="B217" s="114" t="s">
        <v>219</v>
      </c>
      <c r="C217" s="115">
        <v>10.18</v>
      </c>
      <c r="D217" s="115">
        <v>13.24</v>
      </c>
      <c r="E217" s="115">
        <v>15.13</v>
      </c>
      <c r="F217" s="115">
        <v>10.48</v>
      </c>
      <c r="G217" s="115">
        <v>8.98</v>
      </c>
      <c r="H217" s="115">
        <v>12.23</v>
      </c>
      <c r="I217" s="115">
        <v>12.26</v>
      </c>
      <c r="J217" s="115">
        <v>13.77</v>
      </c>
      <c r="K217" s="115">
        <v>13.46</v>
      </c>
      <c r="L217" s="115">
        <v>15.13</v>
      </c>
      <c r="M217" s="115" t="str">
        <f>VLOOKUP(A217,Product_Mapping!$B:$D,3,FALSE)</f>
        <v>Kitchen Fittings</v>
      </c>
    </row>
    <row r="218" spans="1:13" x14ac:dyDescent="0.3">
      <c r="A218" s="116">
        <v>8467</v>
      </c>
      <c r="B218" s="114" t="s">
        <v>220</v>
      </c>
      <c r="C218" s="115">
        <v>9.32</v>
      </c>
      <c r="D218" s="115">
        <v>8.61</v>
      </c>
      <c r="E218" s="115">
        <v>15.02</v>
      </c>
      <c r="F218" s="115">
        <v>20.22</v>
      </c>
      <c r="G218" s="115">
        <v>11.26</v>
      </c>
      <c r="H218" s="115">
        <v>11.19</v>
      </c>
      <c r="I218" s="115">
        <v>10.36</v>
      </c>
      <c r="J218" s="115">
        <v>9.49</v>
      </c>
      <c r="K218" s="115">
        <v>12.09</v>
      </c>
      <c r="L218" s="115">
        <v>14.05</v>
      </c>
      <c r="M218" s="115" t="str">
        <f>VLOOKUP(A218,Product_Mapping!$B:$D,3,FALSE)</f>
        <v>Kitchen Fittings</v>
      </c>
    </row>
    <row r="219" spans="1:13" x14ac:dyDescent="0.3">
      <c r="A219" s="116">
        <v>8441</v>
      </c>
      <c r="B219" s="114" t="s">
        <v>221</v>
      </c>
      <c r="C219" s="115">
        <v>5.31</v>
      </c>
      <c r="D219" s="115">
        <v>6</v>
      </c>
      <c r="E219" s="115">
        <v>12.61</v>
      </c>
      <c r="F219" s="115">
        <v>6.69</v>
      </c>
      <c r="G219" s="115">
        <v>14.84</v>
      </c>
      <c r="H219" s="115">
        <v>18.47</v>
      </c>
      <c r="I219" s="115">
        <v>19.04</v>
      </c>
      <c r="J219" s="115">
        <v>21.29</v>
      </c>
      <c r="K219" s="115">
        <v>17.309999999999999</v>
      </c>
      <c r="L219" s="115">
        <v>11.68</v>
      </c>
      <c r="M219" s="115" t="str">
        <f>VLOOKUP(A219,Product_Mapping!$B:$D,3,FALSE)</f>
        <v>Kitchen Fittings</v>
      </c>
    </row>
    <row r="220" spans="1:13" x14ac:dyDescent="0.3">
      <c r="A220" s="116">
        <v>8426</v>
      </c>
      <c r="B220" s="114" t="s">
        <v>222</v>
      </c>
      <c r="C220" s="115">
        <v>5.52</v>
      </c>
      <c r="D220" s="115">
        <v>1.87</v>
      </c>
      <c r="E220" s="115">
        <v>38.85</v>
      </c>
      <c r="F220" s="115">
        <v>20.83</v>
      </c>
      <c r="G220" s="115">
        <v>20.74</v>
      </c>
      <c r="H220" s="115">
        <v>0.56999999999999995</v>
      </c>
      <c r="I220" s="115">
        <v>15.3</v>
      </c>
      <c r="J220" s="115">
        <v>9.65</v>
      </c>
      <c r="K220" s="115">
        <v>12.79</v>
      </c>
      <c r="L220" s="115">
        <v>11.07</v>
      </c>
      <c r="M220" s="115" t="str">
        <f>VLOOKUP(A220,Product_Mapping!$B:$D,3,FALSE)</f>
        <v>Kitchen Fittings</v>
      </c>
    </row>
    <row r="221" spans="1:13" x14ac:dyDescent="0.3">
      <c r="A221" s="116">
        <v>8452</v>
      </c>
      <c r="B221" s="114" t="s">
        <v>223</v>
      </c>
      <c r="C221" s="115">
        <v>22.4</v>
      </c>
      <c r="D221" s="115">
        <v>19.95</v>
      </c>
      <c r="E221" s="115">
        <v>16.53</v>
      </c>
      <c r="F221" s="115">
        <v>9.49</v>
      </c>
      <c r="G221" s="115">
        <v>5.91</v>
      </c>
      <c r="H221" s="115">
        <v>9.41</v>
      </c>
      <c r="I221" s="115">
        <v>10.210000000000001</v>
      </c>
      <c r="J221" s="115">
        <v>10.81</v>
      </c>
      <c r="K221" s="115">
        <v>14.54</v>
      </c>
      <c r="L221" s="115">
        <v>10.92</v>
      </c>
      <c r="M221" s="115" t="str">
        <f>VLOOKUP(A221,Product_Mapping!$B:$D,3,FALSE)</f>
        <v>Kitchen Fittings</v>
      </c>
    </row>
    <row r="222" spans="1:13" x14ac:dyDescent="0.3">
      <c r="A222" s="116">
        <v>8474</v>
      </c>
      <c r="B222" s="114" t="s">
        <v>224</v>
      </c>
      <c r="C222" s="115">
        <v>8.43</v>
      </c>
      <c r="D222" s="115">
        <v>8.58</v>
      </c>
      <c r="E222" s="115">
        <v>16.649999999999999</v>
      </c>
      <c r="F222" s="115">
        <v>11.41</v>
      </c>
      <c r="G222" s="115">
        <v>11.1</v>
      </c>
      <c r="H222" s="115">
        <v>5.53</v>
      </c>
      <c r="I222" s="115">
        <v>7.99</v>
      </c>
      <c r="J222" s="115">
        <v>7.34</v>
      </c>
      <c r="K222" s="115">
        <v>10.199999999999999</v>
      </c>
      <c r="L222" s="115">
        <v>8.15</v>
      </c>
      <c r="M222" s="115" t="str">
        <f>VLOOKUP(A222,Product_Mapping!$B:$D,3,FALSE)</f>
        <v>Kitchen Fittings</v>
      </c>
    </row>
    <row r="223" spans="1:13" x14ac:dyDescent="0.3">
      <c r="A223" s="116">
        <v>8487</v>
      </c>
      <c r="B223" s="114" t="s">
        <v>225</v>
      </c>
      <c r="C223" s="115">
        <v>4.53</v>
      </c>
      <c r="D223" s="115">
        <v>6.27</v>
      </c>
      <c r="E223" s="115">
        <v>8.27</v>
      </c>
      <c r="F223" s="115">
        <v>5.67</v>
      </c>
      <c r="G223" s="115">
        <v>3.85</v>
      </c>
      <c r="H223" s="115">
        <v>5.97</v>
      </c>
      <c r="I223" s="115">
        <v>18.84</v>
      </c>
      <c r="J223" s="115">
        <v>4.82</v>
      </c>
      <c r="K223" s="115">
        <v>5.17</v>
      </c>
      <c r="L223" s="115">
        <v>5.81</v>
      </c>
      <c r="M223" s="115" t="str">
        <f>VLOOKUP(A223,Product_Mapping!$B:$D,3,FALSE)</f>
        <v>Kitchen Fittings</v>
      </c>
    </row>
    <row r="224" spans="1:13" x14ac:dyDescent="0.3">
      <c r="A224" s="116">
        <v>8438</v>
      </c>
      <c r="B224" s="114" t="s">
        <v>226</v>
      </c>
      <c r="C224" s="115">
        <v>10.02</v>
      </c>
      <c r="D224" s="115">
        <v>6.03</v>
      </c>
      <c r="E224" s="115">
        <v>7.94</v>
      </c>
      <c r="F224" s="115">
        <v>7.98</v>
      </c>
      <c r="G224" s="115">
        <v>2.57</v>
      </c>
      <c r="H224" s="115">
        <v>2.12</v>
      </c>
      <c r="I224" s="115">
        <v>4.63</v>
      </c>
      <c r="J224" s="115">
        <v>4.24</v>
      </c>
      <c r="K224" s="115">
        <v>5.61</v>
      </c>
      <c r="L224" s="115">
        <v>5.6</v>
      </c>
      <c r="M224" s="115" t="str">
        <f>VLOOKUP(A224,Product_Mapping!$B:$D,3,FALSE)</f>
        <v>Kitchen Fittings</v>
      </c>
    </row>
    <row r="225" spans="1:13" x14ac:dyDescent="0.3">
      <c r="A225" s="116">
        <v>8425</v>
      </c>
      <c r="B225" s="114" t="s">
        <v>227</v>
      </c>
      <c r="C225" s="115">
        <v>1.21</v>
      </c>
      <c r="D225" s="115">
        <v>1.47</v>
      </c>
      <c r="E225" s="115">
        <v>2.36</v>
      </c>
      <c r="F225" s="115">
        <v>2.2400000000000002</v>
      </c>
      <c r="G225" s="115">
        <v>1.55</v>
      </c>
      <c r="H225" s="115">
        <v>2.12</v>
      </c>
      <c r="I225" s="115">
        <v>2.72</v>
      </c>
      <c r="J225" s="115">
        <v>3.11</v>
      </c>
      <c r="K225" s="115">
        <v>2.81</v>
      </c>
      <c r="L225" s="115">
        <v>5.37</v>
      </c>
      <c r="M225" s="115" t="str">
        <f>VLOOKUP(A225,Product_Mapping!$B:$D,3,FALSE)</f>
        <v>Kitchen Fittings</v>
      </c>
    </row>
    <row r="226" spans="1:13" x14ac:dyDescent="0.3">
      <c r="A226" s="116">
        <v>8464</v>
      </c>
      <c r="B226" s="114" t="s">
        <v>228</v>
      </c>
      <c r="C226" s="115">
        <v>1.1200000000000001</v>
      </c>
      <c r="D226" s="115">
        <v>1.45</v>
      </c>
      <c r="E226" s="115">
        <v>1.1599999999999999</v>
      </c>
      <c r="F226" s="115">
        <v>0.74</v>
      </c>
      <c r="G226" s="115">
        <v>1.79</v>
      </c>
      <c r="H226" s="115">
        <v>0.63</v>
      </c>
      <c r="I226" s="115">
        <v>1.83</v>
      </c>
      <c r="J226" s="115">
        <v>8.5500000000000007</v>
      </c>
      <c r="K226" s="115">
        <v>0.11</v>
      </c>
      <c r="L226" s="115">
        <v>3.93</v>
      </c>
      <c r="M226" s="115" t="str">
        <f>VLOOKUP(A226,Product_Mapping!$B:$D,3,FALSE)</f>
        <v>Kitchen Fittings</v>
      </c>
    </row>
    <row r="227" spans="1:13" x14ac:dyDescent="0.3">
      <c r="A227" s="116">
        <v>8463</v>
      </c>
      <c r="B227" s="114" t="s">
        <v>229</v>
      </c>
      <c r="C227" s="115">
        <v>4.25</v>
      </c>
      <c r="D227" s="115">
        <v>2.88</v>
      </c>
      <c r="E227" s="115">
        <v>4</v>
      </c>
      <c r="F227" s="115">
        <v>6</v>
      </c>
      <c r="G227" s="115">
        <v>2.82</v>
      </c>
      <c r="H227" s="115">
        <v>4.41</v>
      </c>
      <c r="I227" s="115">
        <v>2.4</v>
      </c>
      <c r="J227" s="115">
        <v>3.66</v>
      </c>
      <c r="K227" s="115">
        <v>6.84</v>
      </c>
      <c r="L227" s="115">
        <v>3.85</v>
      </c>
      <c r="M227" s="115" t="str">
        <f>VLOOKUP(A227,Product_Mapping!$B:$D,3,FALSE)</f>
        <v>Kitchen Fittings</v>
      </c>
    </row>
    <row r="228" spans="1:13" x14ac:dyDescent="0.3">
      <c r="A228" s="116">
        <v>8444</v>
      </c>
      <c r="B228" s="114" t="s">
        <v>230</v>
      </c>
      <c r="C228" s="115">
        <v>1.96</v>
      </c>
      <c r="D228" s="115">
        <v>1.1299999999999999</v>
      </c>
      <c r="E228" s="115">
        <v>0.99</v>
      </c>
      <c r="F228" s="115">
        <v>2.2799999999999998</v>
      </c>
      <c r="G228" s="115">
        <v>0.35</v>
      </c>
      <c r="H228" s="115">
        <v>0.16</v>
      </c>
      <c r="I228" s="115">
        <v>5.13</v>
      </c>
      <c r="J228" s="115">
        <v>6.4</v>
      </c>
      <c r="K228" s="115">
        <v>9.2100000000000009</v>
      </c>
      <c r="L228" s="115">
        <v>3.58</v>
      </c>
      <c r="M228" s="115" t="str">
        <f>VLOOKUP(A228,Product_Mapping!$B:$D,3,FALSE)</f>
        <v>Kitchen Fittings</v>
      </c>
    </row>
    <row r="229" spans="1:13" x14ac:dyDescent="0.3">
      <c r="A229" s="116">
        <v>8416</v>
      </c>
      <c r="B229" s="114" t="s">
        <v>231</v>
      </c>
      <c r="C229" s="115">
        <v>0.35</v>
      </c>
      <c r="D229" s="115">
        <v>1.38</v>
      </c>
      <c r="E229" s="115">
        <v>0.67</v>
      </c>
      <c r="F229" s="115">
        <v>4.3099999999999996</v>
      </c>
      <c r="G229" s="115">
        <v>0.86</v>
      </c>
      <c r="H229" s="115">
        <v>0.62</v>
      </c>
      <c r="I229" s="115">
        <v>0.61</v>
      </c>
      <c r="J229" s="115">
        <v>0.71</v>
      </c>
      <c r="K229" s="115">
        <v>0.25</v>
      </c>
      <c r="L229" s="115">
        <v>3.49</v>
      </c>
      <c r="M229" s="115" t="str">
        <f>VLOOKUP(A229,Product_Mapping!$B:$D,3,FALSE)</f>
        <v>Kitchen Fittings</v>
      </c>
    </row>
    <row r="230" spans="1:13" x14ac:dyDescent="0.3">
      <c r="A230" s="116">
        <v>8418</v>
      </c>
      <c r="B230" s="114" t="s">
        <v>232</v>
      </c>
      <c r="C230" s="115">
        <v>3.24</v>
      </c>
      <c r="D230" s="115">
        <v>1.85</v>
      </c>
      <c r="E230" s="115">
        <v>2.79</v>
      </c>
      <c r="F230" s="115">
        <v>2.02</v>
      </c>
      <c r="G230" s="115">
        <v>1.73</v>
      </c>
      <c r="H230" s="115">
        <v>2.23</v>
      </c>
      <c r="I230" s="115">
        <v>2.09</v>
      </c>
      <c r="J230" s="115">
        <v>2.69</v>
      </c>
      <c r="K230" s="115">
        <v>2.5099999999999998</v>
      </c>
      <c r="L230" s="115">
        <v>3.4</v>
      </c>
      <c r="M230" s="115" t="str">
        <f>VLOOKUP(A230,Product_Mapping!$B:$D,3,FALSE)</f>
        <v>Kitchen Fittings</v>
      </c>
    </row>
    <row r="231" spans="1:13" x14ac:dyDescent="0.3">
      <c r="A231" s="116">
        <v>8468</v>
      </c>
      <c r="B231" s="114" t="s">
        <v>233</v>
      </c>
      <c r="C231" s="115">
        <v>6.81</v>
      </c>
      <c r="D231" s="115">
        <v>5.3</v>
      </c>
      <c r="E231" s="115">
        <v>7.99</v>
      </c>
      <c r="F231" s="115">
        <v>5.77</v>
      </c>
      <c r="G231" s="115">
        <v>2.6</v>
      </c>
      <c r="H231" s="115">
        <v>4.72</v>
      </c>
      <c r="I231" s="115">
        <v>3.5</v>
      </c>
      <c r="J231" s="115">
        <v>3.54</v>
      </c>
      <c r="K231" s="115">
        <v>5.82</v>
      </c>
      <c r="L231" s="115">
        <v>2.97</v>
      </c>
      <c r="M231" s="115" t="str">
        <f>VLOOKUP(A231,Product_Mapping!$B:$D,3,FALSE)</f>
        <v>Kitchen Fittings</v>
      </c>
    </row>
    <row r="232" spans="1:13" x14ac:dyDescent="0.3">
      <c r="A232" s="116">
        <v>8451</v>
      </c>
      <c r="B232" s="114" t="s">
        <v>234</v>
      </c>
      <c r="C232" s="115">
        <v>7.42</v>
      </c>
      <c r="D232" s="115">
        <v>4.74</v>
      </c>
      <c r="E232" s="115">
        <v>4.12</v>
      </c>
      <c r="F232" s="115">
        <v>4.5199999999999996</v>
      </c>
      <c r="G232" s="115">
        <v>1.86</v>
      </c>
      <c r="H232" s="115">
        <v>1.67</v>
      </c>
      <c r="I232" s="115">
        <v>1.26</v>
      </c>
      <c r="J232" s="115">
        <v>1.7</v>
      </c>
      <c r="K232" s="115">
        <v>2.2400000000000002</v>
      </c>
      <c r="L232" s="115">
        <v>1.61</v>
      </c>
      <c r="M232" s="115" t="str">
        <f>VLOOKUP(A232,Product_Mapping!$B:$D,3,FALSE)</f>
        <v>Kitchen Fittings</v>
      </c>
    </row>
    <row r="233" spans="1:13" x14ac:dyDescent="0.3">
      <c r="A233" s="116">
        <v>8430</v>
      </c>
      <c r="B233" s="114" t="s">
        <v>235</v>
      </c>
      <c r="C233" s="115">
        <v>4.25</v>
      </c>
      <c r="D233" s="115">
        <v>3.26</v>
      </c>
      <c r="E233" s="115">
        <v>6.46</v>
      </c>
      <c r="F233" s="115">
        <v>3.16</v>
      </c>
      <c r="G233" s="115">
        <v>2.14</v>
      </c>
      <c r="H233" s="115">
        <v>2.34</v>
      </c>
      <c r="I233" s="115">
        <v>2.15</v>
      </c>
      <c r="J233" s="115">
        <v>0.7</v>
      </c>
      <c r="K233" s="115">
        <v>1.66</v>
      </c>
      <c r="L233" s="115">
        <v>1.5</v>
      </c>
      <c r="M233" s="115" t="str">
        <f>VLOOKUP(A233,Product_Mapping!$B:$D,3,FALSE)</f>
        <v>Kitchen Fittings</v>
      </c>
    </row>
    <row r="234" spans="1:13" x14ac:dyDescent="0.3">
      <c r="A234" s="116">
        <v>8476</v>
      </c>
      <c r="B234" s="114" t="s">
        <v>236</v>
      </c>
      <c r="C234" s="115">
        <v>0</v>
      </c>
      <c r="D234" s="115">
        <v>0</v>
      </c>
      <c r="E234" s="115">
        <v>0</v>
      </c>
      <c r="F234" s="115">
        <v>0</v>
      </c>
      <c r="G234" s="115">
        <v>0.01</v>
      </c>
      <c r="H234" s="115">
        <v>0</v>
      </c>
      <c r="I234" s="115">
        <v>0</v>
      </c>
      <c r="J234" s="115">
        <v>0.03</v>
      </c>
      <c r="K234" s="115">
        <v>0.14000000000000001</v>
      </c>
      <c r="L234" s="115">
        <v>1.23</v>
      </c>
      <c r="M234" s="115" t="str">
        <f>VLOOKUP(A234,Product_Mapping!$B:$D,3,FALSE)</f>
        <v>Kitchen Fittings</v>
      </c>
    </row>
    <row r="235" spans="1:13" x14ac:dyDescent="0.3">
      <c r="A235" s="116">
        <v>8453</v>
      </c>
      <c r="B235" s="114" t="s">
        <v>237</v>
      </c>
      <c r="C235" s="115">
        <v>0.21</v>
      </c>
      <c r="D235" s="115">
        <v>0.46</v>
      </c>
      <c r="E235" s="115">
        <v>0.05</v>
      </c>
      <c r="F235" s="115">
        <v>0.02</v>
      </c>
      <c r="G235" s="115">
        <v>0.14000000000000001</v>
      </c>
      <c r="H235" s="115">
        <v>0.54</v>
      </c>
      <c r="I235" s="115">
        <v>0.36</v>
      </c>
      <c r="J235" s="115">
        <v>0.09</v>
      </c>
      <c r="K235" s="115">
        <v>0.02</v>
      </c>
      <c r="L235" s="115">
        <v>1.2</v>
      </c>
      <c r="M235" s="115" t="str">
        <f>VLOOKUP(A235,Product_Mapping!$B:$D,3,FALSE)</f>
        <v>Kitchen Fittings</v>
      </c>
    </row>
    <row r="236" spans="1:13" x14ac:dyDescent="0.3">
      <c r="A236" s="116">
        <v>8439</v>
      </c>
      <c r="B236" s="114" t="s">
        <v>238</v>
      </c>
      <c r="C236" s="115">
        <v>0.65</v>
      </c>
      <c r="D236" s="115">
        <v>0.47</v>
      </c>
      <c r="E236" s="115">
        <v>0.61</v>
      </c>
      <c r="F236" s="115">
        <v>1.61</v>
      </c>
      <c r="G236" s="115">
        <v>1.1200000000000001</v>
      </c>
      <c r="H236" s="115">
        <v>0.64</v>
      </c>
      <c r="I236" s="115">
        <v>0.37</v>
      </c>
      <c r="J236" s="115">
        <v>0.59</v>
      </c>
      <c r="K236" s="115">
        <v>0.8</v>
      </c>
      <c r="L236" s="115">
        <v>1.19</v>
      </c>
      <c r="M236" s="115" t="str">
        <f>VLOOKUP(A236,Product_Mapping!$B:$D,3,FALSE)</f>
        <v>Kitchen Fittings</v>
      </c>
    </row>
    <row r="237" spans="1:13" x14ac:dyDescent="0.3">
      <c r="A237" s="116">
        <v>8440</v>
      </c>
      <c r="B237" s="114" t="s">
        <v>239</v>
      </c>
      <c r="C237" s="115">
        <v>0.56000000000000005</v>
      </c>
      <c r="D237" s="115">
        <v>1.1299999999999999</v>
      </c>
      <c r="E237" s="115">
        <v>0.71</v>
      </c>
      <c r="F237" s="115">
        <v>1.26</v>
      </c>
      <c r="G237" s="115">
        <v>0.3</v>
      </c>
      <c r="H237" s="115">
        <v>0.3</v>
      </c>
      <c r="I237" s="115">
        <v>0.36</v>
      </c>
      <c r="J237" s="115">
        <v>0.81</v>
      </c>
      <c r="K237" s="115">
        <v>5.21</v>
      </c>
      <c r="L237" s="115">
        <v>1.1399999999999999</v>
      </c>
      <c r="M237" s="115" t="str">
        <f>VLOOKUP(A237,Product_Mapping!$B:$D,3,FALSE)</f>
        <v>Kitchen Fittings</v>
      </c>
    </row>
    <row r="238" spans="1:13" x14ac:dyDescent="0.3">
      <c r="A238" s="116">
        <v>8465</v>
      </c>
      <c r="B238" s="114" t="s">
        <v>240</v>
      </c>
      <c r="C238" s="115">
        <v>3.84</v>
      </c>
      <c r="D238" s="115">
        <v>2.48</v>
      </c>
      <c r="E238" s="115">
        <v>3.14</v>
      </c>
      <c r="F238" s="115">
        <v>6.77</v>
      </c>
      <c r="G238" s="115">
        <v>0.74</v>
      </c>
      <c r="H238" s="115">
        <v>1.94</v>
      </c>
      <c r="I238" s="115">
        <v>0.28999999999999998</v>
      </c>
      <c r="J238" s="115">
        <v>2</v>
      </c>
      <c r="K238" s="115">
        <v>0.95</v>
      </c>
      <c r="L238" s="115">
        <v>1.07</v>
      </c>
      <c r="M238" s="115" t="str">
        <f>VLOOKUP(A238,Product_Mapping!$B:$D,3,FALSE)</f>
        <v>Kitchen Fittings</v>
      </c>
    </row>
    <row r="239" spans="1:13" x14ac:dyDescent="0.3">
      <c r="A239" s="116">
        <v>8472</v>
      </c>
      <c r="B239" s="114" t="s">
        <v>241</v>
      </c>
      <c r="C239" s="115">
        <v>5.07</v>
      </c>
      <c r="D239" s="115">
        <v>1.69</v>
      </c>
      <c r="E239" s="115">
        <v>2.7</v>
      </c>
      <c r="F239" s="115">
        <v>6.76</v>
      </c>
      <c r="G239" s="115">
        <v>0.73</v>
      </c>
      <c r="H239" s="115">
        <v>0.49</v>
      </c>
      <c r="I239" s="115">
        <v>0.91</v>
      </c>
      <c r="J239" s="115">
        <v>0.38</v>
      </c>
      <c r="K239" s="115">
        <v>0.35</v>
      </c>
      <c r="L239" s="115">
        <v>0.66</v>
      </c>
      <c r="M239" s="115" t="str">
        <f>VLOOKUP(A239,Product_Mapping!$B:$D,3,FALSE)</f>
        <v>Kitchen Fittings</v>
      </c>
    </row>
    <row r="240" spans="1:13" x14ac:dyDescent="0.3">
      <c r="A240" s="116">
        <v>8432</v>
      </c>
      <c r="B240" s="114" t="s">
        <v>242</v>
      </c>
      <c r="C240" s="115">
        <v>2.06</v>
      </c>
      <c r="D240" s="115">
        <v>1.43</v>
      </c>
      <c r="E240" s="115">
        <v>2.0499999999999998</v>
      </c>
      <c r="F240" s="115">
        <v>2.34</v>
      </c>
      <c r="G240" s="115">
        <v>1.29</v>
      </c>
      <c r="H240" s="115">
        <v>2.2999999999999998</v>
      </c>
      <c r="I240" s="115">
        <v>2.58</v>
      </c>
      <c r="J240" s="115">
        <v>1.84</v>
      </c>
      <c r="K240" s="115">
        <v>0.97</v>
      </c>
      <c r="L240" s="115">
        <v>0.51</v>
      </c>
      <c r="M240" s="115" t="str">
        <f>VLOOKUP(A240,Product_Mapping!$B:$D,3,FALSE)</f>
        <v>Kitchen Fittings</v>
      </c>
    </row>
    <row r="241" spans="1:13" x14ac:dyDescent="0.3">
      <c r="A241" s="116">
        <v>8475</v>
      </c>
      <c r="B241" s="114" t="s">
        <v>243</v>
      </c>
      <c r="C241" s="115">
        <v>2.08</v>
      </c>
      <c r="D241" s="115">
        <v>1.72</v>
      </c>
      <c r="E241" s="115">
        <v>0.22</v>
      </c>
      <c r="F241" s="115">
        <v>0.21</v>
      </c>
      <c r="G241" s="115">
        <v>0.21</v>
      </c>
      <c r="H241" s="115">
        <v>1.48</v>
      </c>
      <c r="I241" s="115">
        <v>1.71</v>
      </c>
      <c r="J241" s="115">
        <v>0.46</v>
      </c>
      <c r="K241" s="115">
        <v>0.19</v>
      </c>
      <c r="L241" s="115">
        <v>0.4</v>
      </c>
      <c r="M241" s="115" t="str">
        <f>VLOOKUP(A241,Product_Mapping!$B:$D,3,FALSE)</f>
        <v>Kitchen Fittings</v>
      </c>
    </row>
    <row r="242" spans="1:13" x14ac:dyDescent="0.3">
      <c r="A242" s="116">
        <v>8420</v>
      </c>
      <c r="B242" s="114" t="s">
        <v>244</v>
      </c>
      <c r="C242" s="115">
        <v>1.6</v>
      </c>
      <c r="D242" s="115">
        <v>1.06</v>
      </c>
      <c r="E242" s="115">
        <v>0.59</v>
      </c>
      <c r="F242" s="115">
        <v>0.52</v>
      </c>
      <c r="G242" s="115">
        <v>1.24</v>
      </c>
      <c r="H242" s="115">
        <v>0.47</v>
      </c>
      <c r="I242" s="115">
        <v>0.2</v>
      </c>
      <c r="J242" s="115">
        <v>0.33</v>
      </c>
      <c r="K242" s="115">
        <v>0.37</v>
      </c>
      <c r="L242" s="115">
        <v>0.4</v>
      </c>
      <c r="M242" s="115" t="str">
        <f>VLOOKUP(A242,Product_Mapping!$B:$D,3,FALSE)</f>
        <v>Kitchen Fittings</v>
      </c>
    </row>
    <row r="243" spans="1:13" x14ac:dyDescent="0.3">
      <c r="A243" s="116">
        <v>8442</v>
      </c>
      <c r="B243" s="114" t="s">
        <v>245</v>
      </c>
      <c r="C243" s="115">
        <v>9.0500000000000007</v>
      </c>
      <c r="D243" s="115">
        <v>8.2100000000000009</v>
      </c>
      <c r="E243" s="115">
        <v>6.98</v>
      </c>
      <c r="F243" s="115">
        <v>6.5</v>
      </c>
      <c r="G243" s="115">
        <v>2.67</v>
      </c>
      <c r="H243" s="115">
        <v>3.15</v>
      </c>
      <c r="I243" s="115">
        <v>0.34</v>
      </c>
      <c r="J243" s="115">
        <v>0.64</v>
      </c>
      <c r="K243" s="115">
        <v>0.37</v>
      </c>
      <c r="L243" s="115">
        <v>0.37</v>
      </c>
      <c r="M243" s="115" t="str">
        <f>VLOOKUP(A243,Product_Mapping!$B:$D,3,FALSE)</f>
        <v>Kitchen Fittings</v>
      </c>
    </row>
    <row r="244" spans="1:13" x14ac:dyDescent="0.3">
      <c r="A244" s="116">
        <v>8485</v>
      </c>
      <c r="B244" s="114" t="s">
        <v>246</v>
      </c>
      <c r="C244" s="115">
        <v>0</v>
      </c>
      <c r="D244" s="115">
        <v>0</v>
      </c>
      <c r="E244" s="115">
        <v>0</v>
      </c>
      <c r="F244" s="115">
        <v>0</v>
      </c>
      <c r="G244" s="115">
        <v>0</v>
      </c>
      <c r="H244" s="115">
        <v>0</v>
      </c>
      <c r="I244" s="115">
        <v>0</v>
      </c>
      <c r="J244" s="115">
        <v>0.02</v>
      </c>
      <c r="K244" s="115">
        <v>0.04</v>
      </c>
      <c r="L244" s="115">
        <v>0.33</v>
      </c>
      <c r="M244" s="115" t="str">
        <f>VLOOKUP(A244,Product_Mapping!$B:$D,3,FALSE)</f>
        <v>Kitchen Fittings</v>
      </c>
    </row>
    <row r="245" spans="1:13" x14ac:dyDescent="0.3">
      <c r="A245" s="116">
        <v>8437</v>
      </c>
      <c r="B245" s="114" t="s">
        <v>247</v>
      </c>
      <c r="C245" s="115">
        <v>0.43</v>
      </c>
      <c r="D245" s="115">
        <v>0.99</v>
      </c>
      <c r="E245" s="115">
        <v>1.6</v>
      </c>
      <c r="F245" s="115">
        <v>1.54</v>
      </c>
      <c r="G245" s="115">
        <v>2.11</v>
      </c>
      <c r="H245" s="115">
        <v>0.54</v>
      </c>
      <c r="I245" s="115">
        <v>0.11</v>
      </c>
      <c r="J245" s="115">
        <v>0.19</v>
      </c>
      <c r="K245" s="115">
        <v>0.22</v>
      </c>
      <c r="L245" s="115">
        <v>0.12</v>
      </c>
      <c r="M245" s="115" t="str">
        <f>VLOOKUP(A245,Product_Mapping!$B:$D,3,FALSE)</f>
        <v>Kitchen Fittings</v>
      </c>
    </row>
    <row r="246" spans="1:13" x14ac:dyDescent="0.3">
      <c r="A246" s="116">
        <v>8404</v>
      </c>
      <c r="B246" s="114" t="s">
        <v>248</v>
      </c>
      <c r="C246" s="115">
        <v>0.03</v>
      </c>
      <c r="D246" s="115">
        <v>1.97</v>
      </c>
      <c r="E246" s="115">
        <v>2.13</v>
      </c>
      <c r="F246" s="115">
        <v>0.01</v>
      </c>
      <c r="G246" s="115">
        <v>0.02</v>
      </c>
      <c r="H246" s="115">
        <v>7.0000000000000007E-2</v>
      </c>
      <c r="I246" s="115">
        <v>0.09</v>
      </c>
      <c r="J246" s="115">
        <v>0.17</v>
      </c>
      <c r="K246" s="115">
        <v>0.13</v>
      </c>
      <c r="L246" s="115">
        <v>7.0000000000000007E-2</v>
      </c>
      <c r="M246" s="115" t="str">
        <f>VLOOKUP(A246,Product_Mapping!$B:$D,3,FALSE)</f>
        <v>Kitchen Fittings</v>
      </c>
    </row>
    <row r="247" spans="1:13" x14ac:dyDescent="0.3">
      <c r="A247" s="116">
        <v>8405</v>
      </c>
      <c r="B247" s="114" t="s">
        <v>249</v>
      </c>
      <c r="C247" s="115">
        <v>0.63</v>
      </c>
      <c r="D247" s="115">
        <v>0.76</v>
      </c>
      <c r="E247" s="115">
        <v>0.09</v>
      </c>
      <c r="F247" s="115">
        <v>0.09</v>
      </c>
      <c r="G247" s="115">
        <v>0.12</v>
      </c>
      <c r="H247" s="115">
        <v>0.75</v>
      </c>
      <c r="I247" s="115">
        <v>0.17</v>
      </c>
      <c r="J247" s="115">
        <v>0.21</v>
      </c>
      <c r="K247" s="115">
        <v>0.21</v>
      </c>
      <c r="L247" s="115">
        <v>0.04</v>
      </c>
      <c r="M247" s="115" t="str">
        <f>VLOOKUP(A247,Product_Mapping!$B:$D,3,FALSE)</f>
        <v>Kitchen Fittings</v>
      </c>
    </row>
    <row r="248" spans="1:13" x14ac:dyDescent="0.3">
      <c r="A248" s="116">
        <v>8450</v>
      </c>
      <c r="B248" s="114" t="s">
        <v>250</v>
      </c>
      <c r="C248" s="115">
        <v>0.03</v>
      </c>
      <c r="D248" s="115">
        <v>0.01</v>
      </c>
      <c r="E248" s="115">
        <v>0.16</v>
      </c>
      <c r="F248" s="115">
        <v>0.69</v>
      </c>
      <c r="G248" s="115">
        <v>0.05</v>
      </c>
      <c r="H248" s="115">
        <v>0.5</v>
      </c>
      <c r="I248" s="115">
        <v>0.04</v>
      </c>
      <c r="J248" s="115">
        <v>0.4</v>
      </c>
      <c r="K248" s="115">
        <v>0</v>
      </c>
      <c r="L248" s="115">
        <v>0.02</v>
      </c>
      <c r="M248" s="115" t="str">
        <f>VLOOKUP(A248,Product_Mapping!$B:$D,3,FALSE)</f>
        <v>Kitchen Fittings</v>
      </c>
    </row>
    <row r="249" spans="1:13" x14ac:dyDescent="0.3">
      <c r="A249" s="116">
        <v>8402</v>
      </c>
      <c r="B249" s="114" t="s">
        <v>251</v>
      </c>
      <c r="C249" s="115">
        <v>0.4</v>
      </c>
      <c r="D249" s="115">
        <v>0.02</v>
      </c>
      <c r="E249" s="115">
        <v>6.3</v>
      </c>
      <c r="F249" s="115">
        <v>0</v>
      </c>
      <c r="G249" s="115">
        <v>0.57999999999999996</v>
      </c>
      <c r="H249" s="115">
        <v>8.98</v>
      </c>
      <c r="I249" s="115">
        <v>0.2</v>
      </c>
      <c r="J249" s="115">
        <v>0.02</v>
      </c>
      <c r="K249" s="115">
        <v>0.01</v>
      </c>
      <c r="L249" s="115">
        <v>0.02</v>
      </c>
      <c r="M249" s="115" t="str">
        <f>VLOOKUP(A249,Product_Mapping!$B:$D,3,FALSE)</f>
        <v>Kitchen Fittings</v>
      </c>
    </row>
    <row r="250" spans="1:13" x14ac:dyDescent="0.3">
      <c r="A250" s="116">
        <v>8410</v>
      </c>
      <c r="B250" s="114" t="s">
        <v>252</v>
      </c>
      <c r="C250" s="115">
        <v>0</v>
      </c>
      <c r="D250" s="115">
        <v>0.12</v>
      </c>
      <c r="E250" s="115">
        <v>0.01</v>
      </c>
      <c r="F250" s="115">
        <v>0.02</v>
      </c>
      <c r="G250" s="115">
        <v>0.01</v>
      </c>
      <c r="H250" s="115">
        <v>0.56999999999999995</v>
      </c>
      <c r="I250" s="115">
        <v>0.01</v>
      </c>
      <c r="J250" s="115">
        <v>0.01</v>
      </c>
      <c r="K250" s="115">
        <v>0.08</v>
      </c>
      <c r="L250" s="115">
        <v>0.01</v>
      </c>
      <c r="M250" s="115" t="str">
        <f>VLOOKUP(A250,Product_Mapping!$B:$D,3,FALSE)</f>
        <v>Kitchen Fittings</v>
      </c>
    </row>
    <row r="251" spans="1:13" x14ac:dyDescent="0.3">
      <c r="A251" s="116">
        <v>8436</v>
      </c>
      <c r="B251" s="114" t="s">
        <v>253</v>
      </c>
      <c r="C251" s="115">
        <v>0.04</v>
      </c>
      <c r="D251" s="115">
        <v>0.01</v>
      </c>
      <c r="E251" s="115">
        <v>0</v>
      </c>
      <c r="F251" s="115">
        <v>0</v>
      </c>
      <c r="G251" s="115">
        <v>0.05</v>
      </c>
      <c r="H251" s="115">
        <v>0.03</v>
      </c>
      <c r="I251" s="115">
        <v>0</v>
      </c>
      <c r="J251" s="115">
        <v>0.17</v>
      </c>
      <c r="K251" s="115">
        <v>0.43</v>
      </c>
      <c r="L251" s="115">
        <v>0.01</v>
      </c>
      <c r="M251" s="115" t="str">
        <f>VLOOKUP(A251,Product_Mapping!$B:$D,3,FALSE)</f>
        <v>Kitchen Fittings</v>
      </c>
    </row>
    <row r="252" spans="1:13" x14ac:dyDescent="0.3">
      <c r="A252" s="116">
        <v>8449</v>
      </c>
      <c r="B252" s="114" t="s">
        <v>254</v>
      </c>
      <c r="C252" s="115">
        <v>0.03</v>
      </c>
      <c r="D252" s="115">
        <v>0.02</v>
      </c>
      <c r="E252" s="115">
        <v>0.02</v>
      </c>
      <c r="F252" s="115">
        <v>0</v>
      </c>
      <c r="G252" s="115">
        <v>0.02</v>
      </c>
      <c r="H252" s="115">
        <v>0.98</v>
      </c>
      <c r="I252" s="115">
        <v>2.0299999999999998</v>
      </c>
      <c r="J252" s="115">
        <v>0.4</v>
      </c>
      <c r="K252" s="115">
        <v>0</v>
      </c>
      <c r="L252" s="115">
        <v>0.01</v>
      </c>
      <c r="M252" s="115" t="str">
        <f>VLOOKUP(A252,Product_Mapping!$B:$D,3,FALSE)</f>
        <v>Kitchen Fittings</v>
      </c>
    </row>
    <row r="253" spans="1:13" x14ac:dyDescent="0.3">
      <c r="A253" s="116">
        <v>8478</v>
      </c>
      <c r="B253" s="114" t="s">
        <v>255</v>
      </c>
      <c r="C253" s="115">
        <v>0.01</v>
      </c>
      <c r="D253" s="115">
        <v>0.01</v>
      </c>
      <c r="E253" s="115">
        <v>0</v>
      </c>
      <c r="F253" s="115">
        <v>0</v>
      </c>
      <c r="G253" s="115">
        <v>0.01</v>
      </c>
      <c r="H253" s="115">
        <v>0.05</v>
      </c>
      <c r="I253" s="115">
        <v>0</v>
      </c>
      <c r="J253" s="115">
        <v>0</v>
      </c>
      <c r="K253" s="115">
        <v>0</v>
      </c>
      <c r="L253" s="115">
        <v>0</v>
      </c>
      <c r="M253" s="115" t="str">
        <f>VLOOKUP(A253,Product_Mapping!$B:$D,3,FALSE)</f>
        <v>Kitchen Fittings</v>
      </c>
    </row>
    <row r="254" spans="1:13" x14ac:dyDescent="0.3">
      <c r="A254" s="116">
        <v>8401</v>
      </c>
      <c r="B254" s="114" t="s">
        <v>256</v>
      </c>
      <c r="C254" s="115">
        <v>0</v>
      </c>
      <c r="D254" s="115">
        <v>0.01</v>
      </c>
      <c r="E254" s="115">
        <v>0</v>
      </c>
      <c r="F254" s="115">
        <v>0</v>
      </c>
      <c r="G254" s="115">
        <v>0</v>
      </c>
      <c r="H254" s="115">
        <v>0</v>
      </c>
      <c r="I254" s="115">
        <v>0</v>
      </c>
      <c r="J254" s="115">
        <v>0</v>
      </c>
      <c r="K254" s="115">
        <v>0</v>
      </c>
      <c r="L254" s="115">
        <v>0</v>
      </c>
      <c r="M254" s="115" t="str">
        <f>VLOOKUP(A254,Product_Mapping!$B:$D,3,FALSE)</f>
        <v>Kitchen Fittings</v>
      </c>
    </row>
    <row r="255" spans="1:13" x14ac:dyDescent="0.3">
      <c r="A255" s="116">
        <v>8403</v>
      </c>
      <c r="B255" s="114" t="s">
        <v>257</v>
      </c>
      <c r="C255" s="115">
        <v>0</v>
      </c>
      <c r="D255" s="115">
        <v>0</v>
      </c>
      <c r="E255" s="115">
        <v>0</v>
      </c>
      <c r="F255" s="115">
        <v>0</v>
      </c>
      <c r="G255" s="115">
        <v>0.01</v>
      </c>
      <c r="H255" s="115">
        <v>0</v>
      </c>
      <c r="I255" s="115">
        <v>0</v>
      </c>
      <c r="J255" s="115">
        <v>0</v>
      </c>
      <c r="K255" s="115">
        <v>0</v>
      </c>
      <c r="L255" s="115">
        <v>0</v>
      </c>
      <c r="M255" s="115" t="str">
        <f>VLOOKUP(A255,Product_Mapping!$B:$D,3,FALSE)</f>
        <v>Kitchen Fittings</v>
      </c>
    </row>
    <row r="256" spans="1:13" x14ac:dyDescent="0.3">
      <c r="A256" s="116">
        <v>8434</v>
      </c>
      <c r="B256" s="114" t="s">
        <v>258</v>
      </c>
      <c r="C256" s="115">
        <v>0.06</v>
      </c>
      <c r="D256" s="115">
        <v>0</v>
      </c>
      <c r="E256" s="115">
        <v>0</v>
      </c>
      <c r="F256" s="115">
        <v>0</v>
      </c>
      <c r="G256" s="115">
        <v>0</v>
      </c>
      <c r="H256" s="115">
        <v>0</v>
      </c>
      <c r="I256" s="115">
        <v>0</v>
      </c>
      <c r="J256" s="115">
        <v>0</v>
      </c>
      <c r="K256" s="115" t="s">
        <v>48</v>
      </c>
      <c r="L256" s="115">
        <v>0</v>
      </c>
      <c r="M256" s="115" t="str">
        <f>VLOOKUP(A256,Product_Mapping!$B:$D,3,FALSE)</f>
        <v>Kitchen Fittings</v>
      </c>
    </row>
    <row r="257" spans="1:13" x14ac:dyDescent="0.3">
      <c r="A257" s="116">
        <v>8435</v>
      </c>
      <c r="B257" s="114" t="s">
        <v>259</v>
      </c>
      <c r="C257" s="115">
        <v>0.03</v>
      </c>
      <c r="D257" s="115">
        <v>0.01</v>
      </c>
      <c r="E257" s="115">
        <v>0</v>
      </c>
      <c r="F257" s="115">
        <v>0</v>
      </c>
      <c r="G257" s="115">
        <v>0</v>
      </c>
      <c r="H257" s="115">
        <v>0.06</v>
      </c>
      <c r="I257" s="115">
        <v>0.13</v>
      </c>
      <c r="J257" s="115">
        <v>0</v>
      </c>
      <c r="K257" s="115">
        <v>0</v>
      </c>
      <c r="L257" s="115">
        <v>0</v>
      </c>
      <c r="M257" s="115" t="str">
        <f>VLOOKUP(A257,Product_Mapping!$B:$D,3,FALSE)</f>
        <v>Kitchen Fittings</v>
      </c>
    </row>
    <row r="258" spans="1:13" x14ac:dyDescent="0.3">
      <c r="A258" s="116">
        <v>8469</v>
      </c>
      <c r="B258" s="114" t="s">
        <v>260</v>
      </c>
      <c r="C258" s="115">
        <v>0.15</v>
      </c>
      <c r="D258" s="115">
        <v>0</v>
      </c>
      <c r="E258" s="115">
        <v>0</v>
      </c>
      <c r="F258" s="115">
        <v>0</v>
      </c>
      <c r="G258" s="115">
        <v>0</v>
      </c>
      <c r="H258" s="115">
        <v>0</v>
      </c>
      <c r="I258" s="115">
        <v>0</v>
      </c>
      <c r="J258" s="115">
        <v>0</v>
      </c>
      <c r="K258" s="115">
        <v>0</v>
      </c>
      <c r="L258" s="115">
        <v>0</v>
      </c>
      <c r="M258" s="115" t="str">
        <f>VLOOKUP(A258,Product_Mapping!$B:$D,3,FALSE)</f>
        <v>Kitchen Fittings</v>
      </c>
    </row>
    <row r="259" spans="1:13" x14ac:dyDescent="0.3">
      <c r="A259" s="116">
        <v>8470</v>
      </c>
      <c r="B259" s="114" t="s">
        <v>261</v>
      </c>
      <c r="C259" s="115">
        <v>2.29</v>
      </c>
      <c r="D259" s="115">
        <v>0.01</v>
      </c>
      <c r="E259" s="115">
        <v>0.62</v>
      </c>
      <c r="F259" s="115">
        <v>0.4</v>
      </c>
      <c r="G259" s="115">
        <v>0.36</v>
      </c>
      <c r="H259" s="115">
        <v>7.0000000000000007E-2</v>
      </c>
      <c r="I259" s="115">
        <v>0.02</v>
      </c>
      <c r="J259" s="115">
        <v>0.01</v>
      </c>
      <c r="K259" s="115">
        <v>0</v>
      </c>
      <c r="L259" s="115">
        <v>0</v>
      </c>
      <c r="M259" s="115" t="str">
        <f>VLOOKUP(A259,Product_Mapping!$B:$D,3,FALSE)</f>
        <v>Kitchen Fittings</v>
      </c>
    </row>
  </sheetData>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4"/>
  <sheetViews>
    <sheetView workbookViewId="0">
      <selection activeCell="M12" sqref="M12"/>
    </sheetView>
  </sheetViews>
  <sheetFormatPr defaultRowHeight="14.4" x14ac:dyDescent="0.3"/>
  <cols>
    <col min="1" max="1" width="12.44140625" style="2" customWidth="1"/>
    <col min="2" max="2" width="22.109375" style="56" customWidth="1"/>
    <col min="3" max="12" width="8.88671875" style="3"/>
    <col min="13" max="13" width="16.5546875" customWidth="1"/>
  </cols>
  <sheetData>
    <row r="1" spans="1:16" ht="27.6" x14ac:dyDescent="0.3">
      <c r="A1" s="117" t="s">
        <v>273</v>
      </c>
      <c r="B1" s="118" t="s">
        <v>272</v>
      </c>
      <c r="C1" s="119" t="s">
        <v>262</v>
      </c>
      <c r="D1" s="119" t="s">
        <v>263</v>
      </c>
      <c r="E1" s="119" t="s">
        <v>264</v>
      </c>
      <c r="F1" s="119" t="s">
        <v>265</v>
      </c>
      <c r="G1" s="119" t="s">
        <v>266</v>
      </c>
      <c r="H1" s="119" t="s">
        <v>267</v>
      </c>
      <c r="I1" s="119" t="s">
        <v>268</v>
      </c>
      <c r="J1" s="119" t="s">
        <v>269</v>
      </c>
      <c r="K1" s="119" t="s">
        <v>270</v>
      </c>
      <c r="L1" s="119" t="s">
        <v>271</v>
      </c>
      <c r="M1" s="120" t="s">
        <v>683</v>
      </c>
    </row>
    <row r="2" spans="1:16" x14ac:dyDescent="0.3">
      <c r="A2" s="116">
        <v>8517</v>
      </c>
      <c r="B2" s="114" t="s">
        <v>14</v>
      </c>
      <c r="C2" s="115">
        <v>5.33</v>
      </c>
      <c r="D2" s="115">
        <v>3.79</v>
      </c>
      <c r="E2" s="115">
        <v>1.71</v>
      </c>
      <c r="F2" s="115">
        <v>1.75</v>
      </c>
      <c r="G2" s="115">
        <v>1.76</v>
      </c>
      <c r="H2" s="115">
        <v>202.18</v>
      </c>
      <c r="I2" s="115">
        <v>275.29000000000002</v>
      </c>
      <c r="J2" s="115">
        <v>96.42</v>
      </c>
      <c r="K2" s="115">
        <v>299.04000000000002</v>
      </c>
      <c r="L2" s="115">
        <v>305.64999999999998</v>
      </c>
      <c r="M2" s="115" t="str">
        <f>VLOOKUP(A2,Product_Mapping!$B:$D,3,FALSE)</f>
        <v>Electrical</v>
      </c>
    </row>
    <row r="3" spans="1:16" x14ac:dyDescent="0.3">
      <c r="A3" s="116">
        <v>8544</v>
      </c>
      <c r="B3" s="114" t="s">
        <v>12</v>
      </c>
      <c r="C3" s="115">
        <v>24.49</v>
      </c>
      <c r="D3" s="115">
        <v>13.66</v>
      </c>
      <c r="E3" s="115">
        <v>11.23</v>
      </c>
      <c r="F3" s="115">
        <v>17.309999999999999</v>
      </c>
      <c r="G3" s="115">
        <v>20.43</v>
      </c>
      <c r="H3" s="115">
        <v>32.26</v>
      </c>
      <c r="I3" s="115">
        <v>41.14</v>
      </c>
      <c r="J3" s="115">
        <v>44.59</v>
      </c>
      <c r="K3" s="115">
        <v>41.82</v>
      </c>
      <c r="L3" s="115">
        <v>46.2</v>
      </c>
      <c r="M3" s="115" t="str">
        <f>VLOOKUP(A3,Product_Mapping!$B:$D,3,FALSE)</f>
        <v>Electrical</v>
      </c>
      <c r="O3" s="147"/>
      <c r="P3" s="147"/>
    </row>
    <row r="4" spans="1:16" x14ac:dyDescent="0.3">
      <c r="A4" s="116">
        <v>8511</v>
      </c>
      <c r="B4" s="114" t="s">
        <v>7</v>
      </c>
      <c r="C4" s="115">
        <v>4.38</v>
      </c>
      <c r="D4" s="115">
        <v>6</v>
      </c>
      <c r="E4" s="115">
        <v>6.05</v>
      </c>
      <c r="F4" s="115">
        <v>6.32</v>
      </c>
      <c r="G4" s="115">
        <v>7.33</v>
      </c>
      <c r="H4" s="115">
        <v>11.21</v>
      </c>
      <c r="I4" s="115">
        <v>18.73</v>
      </c>
      <c r="J4" s="115">
        <v>25.59</v>
      </c>
      <c r="K4" s="115">
        <v>30.18</v>
      </c>
      <c r="L4" s="115">
        <v>34.89</v>
      </c>
      <c r="M4" s="115" t="str">
        <f>VLOOKUP(A4,Product_Mapping!$B:$D,3,FALSE)</f>
        <v>Electrical</v>
      </c>
      <c r="O4" s="147"/>
      <c r="P4" s="147"/>
    </row>
    <row r="5" spans="1:16" x14ac:dyDescent="0.3">
      <c r="A5" s="116">
        <v>8504</v>
      </c>
      <c r="B5" s="114" t="s">
        <v>3</v>
      </c>
      <c r="C5" s="115">
        <v>7.37</v>
      </c>
      <c r="D5" s="115">
        <v>9.42</v>
      </c>
      <c r="E5" s="115">
        <v>12.95</v>
      </c>
      <c r="F5" s="115">
        <v>18.899999999999999</v>
      </c>
      <c r="G5" s="115">
        <v>11.68</v>
      </c>
      <c r="H5" s="115">
        <v>10.94</v>
      </c>
      <c r="I5" s="115">
        <v>13.36</v>
      </c>
      <c r="J5" s="115">
        <v>22.94</v>
      </c>
      <c r="K5" s="115">
        <v>22.63</v>
      </c>
      <c r="L5" s="115">
        <v>34.869999999999997</v>
      </c>
      <c r="M5" s="115" t="str">
        <f>VLOOKUP(A5,Product_Mapping!$B:$D,3,FALSE)</f>
        <v>Electrical</v>
      </c>
      <c r="O5" s="147"/>
      <c r="P5" s="147"/>
    </row>
    <row r="6" spans="1:16" x14ac:dyDescent="0.3">
      <c r="A6" s="116">
        <v>8507</v>
      </c>
      <c r="B6" s="114" t="s">
        <v>8</v>
      </c>
      <c r="C6" s="115">
        <v>0.98</v>
      </c>
      <c r="D6" s="115">
        <v>1.35</v>
      </c>
      <c r="E6" s="115">
        <v>1.18</v>
      </c>
      <c r="F6" s="115">
        <v>0.33</v>
      </c>
      <c r="G6" s="115">
        <v>0.28999999999999998</v>
      </c>
      <c r="H6" s="115">
        <v>5.26</v>
      </c>
      <c r="I6" s="115">
        <v>12.6</v>
      </c>
      <c r="J6" s="115">
        <v>35.4</v>
      </c>
      <c r="K6" s="115">
        <v>15</v>
      </c>
      <c r="L6" s="115">
        <v>26.19</v>
      </c>
      <c r="M6" s="115" t="str">
        <f>VLOOKUP(A6,Product_Mapping!$B:$D,3,FALSE)</f>
        <v>Electrical</v>
      </c>
      <c r="O6" s="147"/>
      <c r="P6" s="147"/>
    </row>
    <row r="7" spans="1:16" x14ac:dyDescent="0.3">
      <c r="A7" s="116">
        <v>8527</v>
      </c>
      <c r="B7" s="114" t="s">
        <v>36</v>
      </c>
      <c r="C7" s="115">
        <v>0.03</v>
      </c>
      <c r="D7" s="115">
        <v>0.06</v>
      </c>
      <c r="E7" s="115">
        <v>0.08</v>
      </c>
      <c r="F7" s="115">
        <v>0.12</v>
      </c>
      <c r="G7" s="115">
        <v>0.05</v>
      </c>
      <c r="H7" s="115">
        <v>0.04</v>
      </c>
      <c r="I7" s="115">
        <v>2.15</v>
      </c>
      <c r="J7" s="115">
        <v>7.41</v>
      </c>
      <c r="K7" s="115">
        <v>16.18</v>
      </c>
      <c r="L7" s="115">
        <v>21.74</v>
      </c>
      <c r="M7" s="115" t="str">
        <f>VLOOKUP(A7,Product_Mapping!$B:$D,3,FALSE)</f>
        <v>Electrical</v>
      </c>
      <c r="O7" s="147"/>
      <c r="P7" s="147"/>
    </row>
    <row r="8" spans="1:16" x14ac:dyDescent="0.3">
      <c r="A8" s="116">
        <v>8525</v>
      </c>
      <c r="B8" s="114" t="s">
        <v>10</v>
      </c>
      <c r="C8" s="115">
        <v>0.42</v>
      </c>
      <c r="D8" s="115">
        <v>0.31</v>
      </c>
      <c r="E8" s="115">
        <v>0.24</v>
      </c>
      <c r="F8" s="115">
        <v>0.99</v>
      </c>
      <c r="G8" s="115">
        <v>2.1800000000000002</v>
      </c>
      <c r="H8" s="115">
        <v>0.39</v>
      </c>
      <c r="I8" s="115">
        <v>1.1000000000000001</v>
      </c>
      <c r="J8" s="115">
        <v>3.1</v>
      </c>
      <c r="K8" s="115">
        <v>3.6</v>
      </c>
      <c r="L8" s="115">
        <v>20.38</v>
      </c>
      <c r="M8" s="115" t="str">
        <f>VLOOKUP(A8,Product_Mapping!$B:$D,3,FALSE)</f>
        <v>Electrical</v>
      </c>
      <c r="O8" s="147"/>
      <c r="P8" s="147"/>
    </row>
    <row r="9" spans="1:16" x14ac:dyDescent="0.3">
      <c r="A9" s="116">
        <v>8545</v>
      </c>
      <c r="B9" s="114" t="s">
        <v>28</v>
      </c>
      <c r="C9" s="115">
        <v>1.6</v>
      </c>
      <c r="D9" s="115">
        <v>2.77</v>
      </c>
      <c r="E9" s="115">
        <v>4.34</v>
      </c>
      <c r="F9" s="115">
        <v>3.12</v>
      </c>
      <c r="G9" s="115">
        <v>2.99</v>
      </c>
      <c r="H9" s="115">
        <v>5.61</v>
      </c>
      <c r="I9" s="115">
        <v>4.92</v>
      </c>
      <c r="J9" s="115">
        <v>5.7</v>
      </c>
      <c r="K9" s="115">
        <v>8.15</v>
      </c>
      <c r="L9" s="115">
        <v>18.850000000000001</v>
      </c>
      <c r="M9" s="115" t="str">
        <f>VLOOKUP(A9,Product_Mapping!$B:$D,3,FALSE)</f>
        <v>Electrical</v>
      </c>
      <c r="O9" s="147"/>
      <c r="P9" s="147"/>
    </row>
    <row r="10" spans="1:16" x14ac:dyDescent="0.3">
      <c r="A10" s="116">
        <v>8537</v>
      </c>
      <c r="B10" s="114" t="s">
        <v>4</v>
      </c>
      <c r="C10" s="115">
        <v>33.79</v>
      </c>
      <c r="D10" s="115">
        <v>36.01</v>
      </c>
      <c r="E10" s="115">
        <v>39.65</v>
      </c>
      <c r="F10" s="115">
        <v>28.45</v>
      </c>
      <c r="G10" s="115">
        <v>18.43</v>
      </c>
      <c r="H10" s="115">
        <v>20.93</v>
      </c>
      <c r="I10" s="115">
        <v>23.66</v>
      </c>
      <c r="J10" s="115">
        <v>16.45</v>
      </c>
      <c r="K10" s="115">
        <v>15.14</v>
      </c>
      <c r="L10" s="115">
        <v>15.1</v>
      </c>
      <c r="M10" s="115" t="str">
        <f>VLOOKUP(A10,Product_Mapping!$B:$D,3,FALSE)</f>
        <v>Electrical</v>
      </c>
      <c r="O10" s="147"/>
      <c r="P10" s="147"/>
    </row>
    <row r="11" spans="1:16" x14ac:dyDescent="0.3">
      <c r="A11" s="116">
        <v>8536</v>
      </c>
      <c r="B11" s="114" t="s">
        <v>1</v>
      </c>
      <c r="C11" s="115">
        <v>5.51</v>
      </c>
      <c r="D11" s="115">
        <v>5.54</v>
      </c>
      <c r="E11" s="115">
        <v>6.94</v>
      </c>
      <c r="F11" s="115">
        <v>6.94</v>
      </c>
      <c r="G11" s="115">
        <v>7.21</v>
      </c>
      <c r="H11" s="115">
        <v>9.5299999999999994</v>
      </c>
      <c r="I11" s="115">
        <v>11.59</v>
      </c>
      <c r="J11" s="115">
        <v>9.4499999999999993</v>
      </c>
      <c r="K11" s="115">
        <v>8.34</v>
      </c>
      <c r="L11" s="115">
        <v>9.92</v>
      </c>
      <c r="M11" s="115" t="str">
        <f>VLOOKUP(A11,Product_Mapping!$B:$D,3,FALSE)</f>
        <v>Electrical</v>
      </c>
      <c r="O11" s="147"/>
      <c r="P11" s="147"/>
    </row>
    <row r="12" spans="1:16" x14ac:dyDescent="0.3">
      <c r="A12" s="116">
        <v>8501</v>
      </c>
      <c r="B12" s="114" t="s">
        <v>9</v>
      </c>
      <c r="C12" s="115">
        <v>7.13</v>
      </c>
      <c r="D12" s="115">
        <v>4.7699999999999996</v>
      </c>
      <c r="E12" s="115">
        <v>4.0599999999999996</v>
      </c>
      <c r="F12" s="115">
        <v>5.62</v>
      </c>
      <c r="G12" s="115">
        <v>3.42</v>
      </c>
      <c r="H12" s="115">
        <v>7.57</v>
      </c>
      <c r="I12" s="115">
        <v>5.76</v>
      </c>
      <c r="J12" s="115">
        <v>5.44</v>
      </c>
      <c r="K12" s="115">
        <v>8.18</v>
      </c>
      <c r="L12" s="115">
        <v>7.9</v>
      </c>
      <c r="M12" s="115" t="str">
        <f>VLOOKUP(A12,Product_Mapping!$B:$D,3,FALSE)</f>
        <v>Electrical</v>
      </c>
      <c r="O12" s="147"/>
      <c r="P12" s="147"/>
    </row>
    <row r="13" spans="1:16" x14ac:dyDescent="0.3">
      <c r="A13" s="116">
        <v>8512</v>
      </c>
      <c r="B13" s="114" t="s">
        <v>18</v>
      </c>
      <c r="C13" s="115">
        <v>4.6399999999999997</v>
      </c>
      <c r="D13" s="115">
        <v>4.5999999999999996</v>
      </c>
      <c r="E13" s="115">
        <v>17.25</v>
      </c>
      <c r="F13" s="115">
        <v>4.46</v>
      </c>
      <c r="G13" s="115">
        <v>3.57</v>
      </c>
      <c r="H13" s="115">
        <v>6.62</v>
      </c>
      <c r="I13" s="115">
        <v>12.9</v>
      </c>
      <c r="J13" s="115">
        <v>10.050000000000001</v>
      </c>
      <c r="K13" s="115">
        <v>7.56</v>
      </c>
      <c r="L13" s="115">
        <v>7.02</v>
      </c>
      <c r="M13" s="115" t="str">
        <f>VLOOKUP(A13,Product_Mapping!$B:$D,3,FALSE)</f>
        <v>Electrical</v>
      </c>
      <c r="O13" s="147"/>
      <c r="P13" s="147"/>
    </row>
    <row r="14" spans="1:16" x14ac:dyDescent="0.3">
      <c r="A14" s="116">
        <v>8549</v>
      </c>
      <c r="B14" s="114" t="s">
        <v>46</v>
      </c>
      <c r="C14" s="115">
        <v>0</v>
      </c>
      <c r="D14" s="115">
        <v>0</v>
      </c>
      <c r="E14" s="115">
        <v>0</v>
      </c>
      <c r="F14" s="115">
        <v>0</v>
      </c>
      <c r="G14" s="115">
        <v>0</v>
      </c>
      <c r="H14" s="115">
        <v>0</v>
      </c>
      <c r="I14" s="115">
        <v>0.17</v>
      </c>
      <c r="J14" s="115">
        <v>3.57</v>
      </c>
      <c r="K14" s="115">
        <v>2.0099999999999998</v>
      </c>
      <c r="L14" s="115">
        <v>5.91</v>
      </c>
      <c r="M14" s="115" t="str">
        <f>VLOOKUP(A14,Product_Mapping!$B:$D,3,FALSE)</f>
        <v>Electrical</v>
      </c>
      <c r="O14" s="147"/>
      <c r="P14" s="147"/>
    </row>
    <row r="15" spans="1:16" x14ac:dyDescent="0.3">
      <c r="A15" s="116">
        <v>8503</v>
      </c>
      <c r="B15" s="114" t="s">
        <v>20</v>
      </c>
      <c r="C15" s="115">
        <v>0.56000000000000005</v>
      </c>
      <c r="D15" s="115">
        <v>0.64</v>
      </c>
      <c r="E15" s="115">
        <v>1.3</v>
      </c>
      <c r="F15" s="115">
        <v>2.92</v>
      </c>
      <c r="G15" s="115">
        <v>4.07</v>
      </c>
      <c r="H15" s="115">
        <v>4.84</v>
      </c>
      <c r="I15" s="115">
        <v>4.97</v>
      </c>
      <c r="J15" s="115">
        <v>5.25</v>
      </c>
      <c r="K15" s="115">
        <v>6.03</v>
      </c>
      <c r="L15" s="115">
        <v>4.4400000000000004</v>
      </c>
      <c r="M15" s="115" t="str">
        <f>VLOOKUP(A15,Product_Mapping!$B:$D,3,FALSE)</f>
        <v>Electrical</v>
      </c>
      <c r="O15" s="147"/>
      <c r="P15" s="147"/>
    </row>
    <row r="16" spans="1:16" x14ac:dyDescent="0.3">
      <c r="A16" s="116">
        <v>8538</v>
      </c>
      <c r="B16" s="114" t="s">
        <v>11</v>
      </c>
      <c r="C16" s="115">
        <v>1.64</v>
      </c>
      <c r="D16" s="115">
        <v>2.2400000000000002</v>
      </c>
      <c r="E16" s="115">
        <v>2.4300000000000002</v>
      </c>
      <c r="F16" s="115">
        <v>2.4500000000000002</v>
      </c>
      <c r="G16" s="115">
        <v>5.85</v>
      </c>
      <c r="H16" s="115">
        <v>4.3499999999999996</v>
      </c>
      <c r="I16" s="115">
        <v>7.51</v>
      </c>
      <c r="J16" s="115">
        <v>5.03</v>
      </c>
      <c r="K16" s="115">
        <v>4.08</v>
      </c>
      <c r="L16" s="115">
        <v>3.74</v>
      </c>
      <c r="M16" s="115" t="str">
        <f>VLOOKUP(A16,Product_Mapping!$B:$D,3,FALSE)</f>
        <v>Electrical</v>
      </c>
      <c r="O16" s="147"/>
      <c r="P16" s="147"/>
    </row>
    <row r="17" spans="1:16" x14ac:dyDescent="0.3">
      <c r="A17" s="116">
        <v>8502</v>
      </c>
      <c r="B17" s="114" t="s">
        <v>39</v>
      </c>
      <c r="C17" s="115">
        <v>1.54</v>
      </c>
      <c r="D17" s="115">
        <v>1.01</v>
      </c>
      <c r="E17" s="115">
        <v>1.99</v>
      </c>
      <c r="F17" s="115">
        <v>1.97</v>
      </c>
      <c r="G17" s="115">
        <v>2.4700000000000002</v>
      </c>
      <c r="H17" s="115">
        <v>1.34</v>
      </c>
      <c r="I17" s="115">
        <v>0.94</v>
      </c>
      <c r="J17" s="115">
        <v>0.82</v>
      </c>
      <c r="K17" s="115">
        <v>0.86</v>
      </c>
      <c r="L17" s="115">
        <v>2.48</v>
      </c>
      <c r="M17" s="115" t="str">
        <f>VLOOKUP(A17,Product_Mapping!$B:$D,3,FALSE)</f>
        <v>Electrical</v>
      </c>
      <c r="O17" s="147"/>
      <c r="P17" s="147"/>
    </row>
    <row r="18" spans="1:16" x14ac:dyDescent="0.3">
      <c r="A18" s="116">
        <v>8546</v>
      </c>
      <c r="B18" s="114" t="s">
        <v>34</v>
      </c>
      <c r="C18" s="115">
        <v>0.64</v>
      </c>
      <c r="D18" s="115">
        <v>0.53</v>
      </c>
      <c r="E18" s="115">
        <v>0.93</v>
      </c>
      <c r="F18" s="115">
        <v>1.05</v>
      </c>
      <c r="G18" s="115">
        <v>1.41</v>
      </c>
      <c r="H18" s="115">
        <v>1.37</v>
      </c>
      <c r="I18" s="115">
        <v>1.88</v>
      </c>
      <c r="J18" s="115">
        <v>2.2400000000000002</v>
      </c>
      <c r="K18" s="115">
        <v>1.1399999999999999</v>
      </c>
      <c r="L18" s="115">
        <v>1.74</v>
      </c>
      <c r="M18" s="115" t="str">
        <f>VLOOKUP(A18,Product_Mapping!$B:$D,3,FALSE)</f>
        <v>Electrical</v>
      </c>
      <c r="O18" s="147"/>
      <c r="P18" s="147"/>
    </row>
    <row r="19" spans="1:16" x14ac:dyDescent="0.3">
      <c r="A19" s="116">
        <v>8542</v>
      </c>
      <c r="B19" s="114" t="s">
        <v>0</v>
      </c>
      <c r="C19" s="115">
        <v>0.43</v>
      </c>
      <c r="D19" s="115">
        <v>0.5</v>
      </c>
      <c r="E19" s="115">
        <v>0.38</v>
      </c>
      <c r="F19" s="115">
        <v>0.41</v>
      </c>
      <c r="G19" s="115">
        <v>0.44</v>
      </c>
      <c r="H19" s="115">
        <v>0.57999999999999996</v>
      </c>
      <c r="I19" s="115">
        <v>2.38</v>
      </c>
      <c r="J19" s="115">
        <v>8.9499999999999993</v>
      </c>
      <c r="K19" s="115">
        <v>1.1100000000000001</v>
      </c>
      <c r="L19" s="115">
        <v>1.69</v>
      </c>
      <c r="M19" s="115" t="str">
        <f>VLOOKUP(A19,Product_Mapping!$B:$D,3,FALSE)</f>
        <v>Electrical</v>
      </c>
      <c r="O19" s="147"/>
      <c r="P19" s="147"/>
    </row>
    <row r="20" spans="1:16" x14ac:dyDescent="0.3">
      <c r="A20" s="116">
        <v>8529</v>
      </c>
      <c r="B20" s="114" t="s">
        <v>25</v>
      </c>
      <c r="C20" s="115">
        <v>0.25</v>
      </c>
      <c r="D20" s="115">
        <v>0.15</v>
      </c>
      <c r="E20" s="115">
        <v>0.32</v>
      </c>
      <c r="F20" s="115">
        <v>0.6</v>
      </c>
      <c r="G20" s="115">
        <v>0.83</v>
      </c>
      <c r="H20" s="115">
        <v>1.59</v>
      </c>
      <c r="I20" s="115">
        <v>1.89</v>
      </c>
      <c r="J20" s="115">
        <v>1.82</v>
      </c>
      <c r="K20" s="115">
        <v>2.2200000000000002</v>
      </c>
      <c r="L20" s="115">
        <v>1.62</v>
      </c>
      <c r="M20" s="115" t="str">
        <f>VLOOKUP(A20,Product_Mapping!$B:$D,3,FALSE)</f>
        <v>Electrical</v>
      </c>
      <c r="O20" s="147"/>
      <c r="P20" s="147"/>
    </row>
    <row r="21" spans="1:16" x14ac:dyDescent="0.3">
      <c r="A21" s="116">
        <v>8541</v>
      </c>
      <c r="B21" s="114" t="s">
        <v>2</v>
      </c>
      <c r="C21" s="115">
        <v>2.93</v>
      </c>
      <c r="D21" s="115">
        <v>2.08</v>
      </c>
      <c r="E21" s="115">
        <v>1.96</v>
      </c>
      <c r="F21" s="115">
        <v>0.2</v>
      </c>
      <c r="G21" s="115">
        <v>0.42</v>
      </c>
      <c r="H21" s="115">
        <v>0.19</v>
      </c>
      <c r="I21" s="115">
        <v>0.92</v>
      </c>
      <c r="J21" s="115">
        <v>0.73</v>
      </c>
      <c r="K21" s="115">
        <v>0.68</v>
      </c>
      <c r="L21" s="115">
        <v>1.1100000000000001</v>
      </c>
      <c r="M21" s="115" t="str">
        <f>VLOOKUP(A21,Product_Mapping!$B:$D,3,FALSE)</f>
        <v>Electrical</v>
      </c>
      <c r="O21" s="147"/>
      <c r="P21" s="147"/>
    </row>
    <row r="22" spans="1:16" x14ac:dyDescent="0.3">
      <c r="A22" s="116">
        <v>8523</v>
      </c>
      <c r="B22" s="114" t="s">
        <v>19</v>
      </c>
      <c r="C22" s="115">
        <v>0.92</v>
      </c>
      <c r="D22" s="115">
        <v>0.5</v>
      </c>
      <c r="E22" s="115">
        <v>0.34</v>
      </c>
      <c r="F22" s="115">
        <v>0.35</v>
      </c>
      <c r="G22" s="115">
        <v>2.0699999999999998</v>
      </c>
      <c r="H22" s="115">
        <v>0.42</v>
      </c>
      <c r="I22" s="115">
        <v>0.42</v>
      </c>
      <c r="J22" s="115">
        <v>0.48</v>
      </c>
      <c r="K22" s="115">
        <v>0.94</v>
      </c>
      <c r="L22" s="115">
        <v>0.95</v>
      </c>
      <c r="M22" s="115" t="str">
        <f>VLOOKUP(A22,Product_Mapping!$B:$D,3,FALSE)</f>
        <v>Electrical</v>
      </c>
      <c r="O22" s="147"/>
      <c r="P22" s="147"/>
    </row>
    <row r="23" spans="1:16" x14ac:dyDescent="0.3">
      <c r="A23" s="116">
        <v>8543</v>
      </c>
      <c r="B23" s="114" t="s">
        <v>16</v>
      </c>
      <c r="C23" s="115">
        <v>0.63</v>
      </c>
      <c r="D23" s="115">
        <v>0.67</v>
      </c>
      <c r="E23" s="115">
        <v>0.24</v>
      </c>
      <c r="F23" s="115">
        <v>0.4</v>
      </c>
      <c r="G23" s="115">
        <v>0.18</v>
      </c>
      <c r="H23" s="115">
        <v>0.38</v>
      </c>
      <c r="I23" s="115">
        <v>1.18</v>
      </c>
      <c r="J23" s="115">
        <v>0.56000000000000005</v>
      </c>
      <c r="K23" s="115">
        <v>0.49</v>
      </c>
      <c r="L23" s="115">
        <v>0.72</v>
      </c>
      <c r="M23" s="115" t="str">
        <f>VLOOKUP(A23,Product_Mapping!$B:$D,3,FALSE)</f>
        <v>Electrical</v>
      </c>
      <c r="O23" s="147"/>
      <c r="P23" s="147"/>
    </row>
    <row r="24" spans="1:16" x14ac:dyDescent="0.3">
      <c r="A24" s="116">
        <v>8533</v>
      </c>
      <c r="B24" s="114" t="s">
        <v>17</v>
      </c>
      <c r="C24" s="115">
        <v>0.02</v>
      </c>
      <c r="D24" s="115">
        <v>0.19</v>
      </c>
      <c r="E24" s="115">
        <v>0.21</v>
      </c>
      <c r="F24" s="115">
        <v>0.16</v>
      </c>
      <c r="G24" s="115">
        <v>0.35</v>
      </c>
      <c r="H24" s="115">
        <v>0.47</v>
      </c>
      <c r="I24" s="115">
        <v>0.52</v>
      </c>
      <c r="J24" s="115">
        <v>0.65</v>
      </c>
      <c r="K24" s="115">
        <v>0.71</v>
      </c>
      <c r="L24" s="115">
        <v>0.7</v>
      </c>
      <c r="M24" s="115" t="str">
        <f>VLOOKUP(A24,Product_Mapping!$B:$D,3,FALSE)</f>
        <v>Electrical</v>
      </c>
      <c r="O24" s="147"/>
      <c r="P24" s="147"/>
    </row>
    <row r="25" spans="1:16" x14ac:dyDescent="0.3">
      <c r="A25" s="116">
        <v>8505</v>
      </c>
      <c r="B25" s="114" t="s">
        <v>21</v>
      </c>
      <c r="C25" s="115">
        <v>0.19</v>
      </c>
      <c r="D25" s="115">
        <v>0.22</v>
      </c>
      <c r="E25" s="115">
        <v>0.22</v>
      </c>
      <c r="F25" s="115">
        <v>0.31</v>
      </c>
      <c r="G25" s="115">
        <v>0.27</v>
      </c>
      <c r="H25" s="115">
        <v>0.48</v>
      </c>
      <c r="I25" s="115">
        <v>0.6</v>
      </c>
      <c r="J25" s="115">
        <v>0.7</v>
      </c>
      <c r="K25" s="115">
        <v>1.1499999999999999</v>
      </c>
      <c r="L25" s="115">
        <v>0.62</v>
      </c>
      <c r="M25" s="115" t="str">
        <f>VLOOKUP(A25,Product_Mapping!$B:$D,3,FALSE)</f>
        <v>Electrical</v>
      </c>
      <c r="O25" s="147"/>
      <c r="P25" s="147"/>
    </row>
    <row r="26" spans="1:16" x14ac:dyDescent="0.3">
      <c r="A26" s="116">
        <v>8518</v>
      </c>
      <c r="B26" s="114" t="s">
        <v>31</v>
      </c>
      <c r="C26" s="115">
        <v>0.09</v>
      </c>
      <c r="D26" s="115">
        <v>0.03</v>
      </c>
      <c r="E26" s="115">
        <v>0.05</v>
      </c>
      <c r="F26" s="115">
        <v>0.27</v>
      </c>
      <c r="G26" s="115">
        <v>0.09</v>
      </c>
      <c r="H26" s="115">
        <v>0.54</v>
      </c>
      <c r="I26" s="115">
        <v>0.6</v>
      </c>
      <c r="J26" s="115">
        <v>0.49</v>
      </c>
      <c r="K26" s="115">
        <v>0.98</v>
      </c>
      <c r="L26" s="115">
        <v>0.48</v>
      </c>
      <c r="M26" s="115" t="str">
        <f>VLOOKUP(A26,Product_Mapping!$B:$D,3,FALSE)</f>
        <v>Electrical</v>
      </c>
      <c r="O26" s="147"/>
      <c r="P26" s="147"/>
    </row>
    <row r="27" spans="1:16" x14ac:dyDescent="0.3">
      <c r="A27" s="116">
        <v>8528</v>
      </c>
      <c r="B27" s="114" t="s">
        <v>29</v>
      </c>
      <c r="C27" s="115">
        <v>0.19</v>
      </c>
      <c r="D27" s="115">
        <v>0.21</v>
      </c>
      <c r="E27" s="115">
        <v>0.09</v>
      </c>
      <c r="F27" s="115">
        <v>0.17</v>
      </c>
      <c r="G27" s="115">
        <v>7.0000000000000007E-2</v>
      </c>
      <c r="H27" s="115">
        <v>0.11</v>
      </c>
      <c r="I27" s="115">
        <v>0.13</v>
      </c>
      <c r="J27" s="115">
        <v>0.1</v>
      </c>
      <c r="K27" s="115">
        <v>0.28999999999999998</v>
      </c>
      <c r="L27" s="115">
        <v>0.42</v>
      </c>
      <c r="M27" s="115" t="str">
        <f>VLOOKUP(A27,Product_Mapping!$B:$D,3,FALSE)</f>
        <v>Electrical</v>
      </c>
      <c r="O27" s="147"/>
      <c r="P27" s="147"/>
    </row>
    <row r="28" spans="1:16" x14ac:dyDescent="0.3">
      <c r="A28" s="116">
        <v>8516</v>
      </c>
      <c r="B28" s="114" t="s">
        <v>27</v>
      </c>
      <c r="C28" s="115">
        <v>0.04</v>
      </c>
      <c r="D28" s="115">
        <v>0.21</v>
      </c>
      <c r="E28" s="115">
        <v>1.43</v>
      </c>
      <c r="F28" s="115">
        <v>1.1599999999999999</v>
      </c>
      <c r="G28" s="115">
        <v>1.7</v>
      </c>
      <c r="H28" s="115">
        <v>1.92</v>
      </c>
      <c r="I28" s="115">
        <v>1.39</v>
      </c>
      <c r="J28" s="115">
        <v>1.18</v>
      </c>
      <c r="K28" s="115">
        <v>0.49</v>
      </c>
      <c r="L28" s="115">
        <v>0.3</v>
      </c>
      <c r="M28" s="115" t="str">
        <f>VLOOKUP(A28,Product_Mapping!$B:$D,3,FALSE)</f>
        <v>Electrical</v>
      </c>
      <c r="O28" s="147"/>
      <c r="P28" s="147"/>
    </row>
    <row r="29" spans="1:16" x14ac:dyDescent="0.3">
      <c r="A29" s="116">
        <v>8514</v>
      </c>
      <c r="B29" s="114" t="s">
        <v>24</v>
      </c>
      <c r="C29" s="115">
        <v>0.23</v>
      </c>
      <c r="D29" s="115">
        <v>0.45</v>
      </c>
      <c r="E29" s="115">
        <v>0.52</v>
      </c>
      <c r="F29" s="115">
        <v>0.47</v>
      </c>
      <c r="G29" s="115">
        <v>0.2</v>
      </c>
      <c r="H29" s="115">
        <v>0.21</v>
      </c>
      <c r="I29" s="115">
        <v>0.45</v>
      </c>
      <c r="J29" s="115">
        <v>0.1</v>
      </c>
      <c r="K29" s="115">
        <v>0.27</v>
      </c>
      <c r="L29" s="115">
        <v>0.3</v>
      </c>
      <c r="M29" s="115" t="str">
        <f>VLOOKUP(A29,Product_Mapping!$B:$D,3,FALSE)</f>
        <v>Electrical</v>
      </c>
      <c r="O29" s="147"/>
      <c r="P29" s="147"/>
    </row>
    <row r="30" spans="1:16" x14ac:dyDescent="0.3">
      <c r="A30" s="116">
        <v>8534</v>
      </c>
      <c r="B30" s="114" t="s">
        <v>23</v>
      </c>
      <c r="C30" s="115">
        <v>0.23</v>
      </c>
      <c r="D30" s="115">
        <v>0.38</v>
      </c>
      <c r="E30" s="115">
        <v>0.47</v>
      </c>
      <c r="F30" s="115">
        <v>0.12</v>
      </c>
      <c r="G30" s="115">
        <v>0.13</v>
      </c>
      <c r="H30" s="115">
        <v>0.26</v>
      </c>
      <c r="I30" s="115">
        <v>0.17</v>
      </c>
      <c r="J30" s="115">
        <v>0.26</v>
      </c>
      <c r="K30" s="115">
        <v>0.38</v>
      </c>
      <c r="L30" s="115">
        <v>0.27</v>
      </c>
      <c r="M30" s="115" t="str">
        <f>VLOOKUP(A30,Product_Mapping!$B:$D,3,FALSE)</f>
        <v>Electrical</v>
      </c>
      <c r="O30" s="147"/>
      <c r="P30" s="147"/>
    </row>
    <row r="31" spans="1:16" x14ac:dyDescent="0.3">
      <c r="A31" s="116">
        <v>8532</v>
      </c>
      <c r="B31" s="114" t="s">
        <v>6</v>
      </c>
      <c r="C31" s="115">
        <v>0.14000000000000001</v>
      </c>
      <c r="D31" s="115">
        <v>0.15</v>
      </c>
      <c r="E31" s="115">
        <v>0.16</v>
      </c>
      <c r="F31" s="115">
        <v>0.42</v>
      </c>
      <c r="G31" s="115">
        <v>0.3</v>
      </c>
      <c r="H31" s="115">
        <v>0.33</v>
      </c>
      <c r="I31" s="115">
        <v>0.44</v>
      </c>
      <c r="J31" s="115">
        <v>0.66</v>
      </c>
      <c r="K31" s="115">
        <v>0.46</v>
      </c>
      <c r="L31" s="115">
        <v>0.22</v>
      </c>
      <c r="M31" s="115" t="str">
        <f>VLOOKUP(A31,Product_Mapping!$B:$D,3,FALSE)</f>
        <v>Electrical</v>
      </c>
      <c r="O31" s="147"/>
      <c r="P31" s="147"/>
    </row>
    <row r="32" spans="1:16" x14ac:dyDescent="0.3">
      <c r="A32" s="116">
        <v>8540</v>
      </c>
      <c r="B32" s="114" t="s">
        <v>26</v>
      </c>
      <c r="C32" s="115">
        <v>0.01</v>
      </c>
      <c r="D32" s="115">
        <v>0.04</v>
      </c>
      <c r="E32" s="115">
        <v>0.01</v>
      </c>
      <c r="F32" s="115">
        <v>0.03</v>
      </c>
      <c r="G32" s="115">
        <v>0.09</v>
      </c>
      <c r="H32" s="115">
        <v>0.04</v>
      </c>
      <c r="I32" s="115">
        <v>0.2</v>
      </c>
      <c r="J32" s="115">
        <v>0.1</v>
      </c>
      <c r="K32" s="115">
        <v>7.0000000000000007E-2</v>
      </c>
      <c r="L32" s="115">
        <v>0.2</v>
      </c>
      <c r="M32" s="115" t="str">
        <f>VLOOKUP(A32,Product_Mapping!$B:$D,3,FALSE)</f>
        <v>Electrical</v>
      </c>
      <c r="O32" s="147"/>
      <c r="P32" s="147"/>
    </row>
    <row r="33" spans="1:16" x14ac:dyDescent="0.3">
      <c r="A33" s="116">
        <v>8531</v>
      </c>
      <c r="B33" s="114" t="s">
        <v>33</v>
      </c>
      <c r="C33" s="115">
        <v>0.01</v>
      </c>
      <c r="D33" s="115">
        <v>0.04</v>
      </c>
      <c r="E33" s="115">
        <v>0.15</v>
      </c>
      <c r="F33" s="115">
        <v>0.04</v>
      </c>
      <c r="G33" s="115">
        <v>0.01</v>
      </c>
      <c r="H33" s="115">
        <v>0.01</v>
      </c>
      <c r="I33" s="115">
        <v>0.01</v>
      </c>
      <c r="J33" s="115">
        <v>0.05</v>
      </c>
      <c r="K33" s="115">
        <v>0.02</v>
      </c>
      <c r="L33" s="115">
        <v>0.18</v>
      </c>
      <c r="M33" s="115" t="str">
        <f>VLOOKUP(A33,Product_Mapping!$B:$D,3,FALSE)</f>
        <v>Electrical</v>
      </c>
      <c r="O33" s="147"/>
      <c r="P33" s="147"/>
    </row>
    <row r="34" spans="1:16" x14ac:dyDescent="0.3">
      <c r="A34" s="116">
        <v>8515</v>
      </c>
      <c r="B34" s="114" t="s">
        <v>5</v>
      </c>
      <c r="C34" s="115">
        <v>0.11</v>
      </c>
      <c r="D34" s="115">
        <v>0.15</v>
      </c>
      <c r="E34" s="115">
        <v>0.34</v>
      </c>
      <c r="F34" s="115">
        <v>0.4</v>
      </c>
      <c r="G34" s="115">
        <v>0.33</v>
      </c>
      <c r="H34" s="115">
        <v>0.7</v>
      </c>
      <c r="I34" s="115">
        <v>0.35</v>
      </c>
      <c r="J34" s="115">
        <v>0.24</v>
      </c>
      <c r="K34" s="115">
        <v>0.41</v>
      </c>
      <c r="L34" s="115">
        <v>0.18</v>
      </c>
      <c r="M34" s="115" t="str">
        <f>VLOOKUP(A34,Product_Mapping!$B:$D,3,FALSE)</f>
        <v>Electrical</v>
      </c>
      <c r="O34" s="147"/>
      <c r="P34" s="147"/>
    </row>
    <row r="35" spans="1:16" x14ac:dyDescent="0.3">
      <c r="A35" s="116">
        <v>8530</v>
      </c>
      <c r="B35" s="114" t="s">
        <v>30</v>
      </c>
      <c r="C35" s="115">
        <v>0.11</v>
      </c>
      <c r="D35" s="115">
        <v>0.1</v>
      </c>
      <c r="E35" s="115">
        <v>0.17</v>
      </c>
      <c r="F35" s="115">
        <v>0.34</v>
      </c>
      <c r="G35" s="115">
        <v>0.18</v>
      </c>
      <c r="H35" s="115">
        <v>0.47</v>
      </c>
      <c r="I35" s="115">
        <v>0.39</v>
      </c>
      <c r="J35" s="115">
        <v>0.49</v>
      </c>
      <c r="K35" s="115">
        <v>0.03</v>
      </c>
      <c r="L35" s="115">
        <v>0.14000000000000001</v>
      </c>
      <c r="M35" s="115" t="str">
        <f>VLOOKUP(A35,Product_Mapping!$B:$D,3,FALSE)</f>
        <v>Electrical</v>
      </c>
      <c r="O35" s="147"/>
      <c r="P35" s="147"/>
    </row>
    <row r="36" spans="1:16" x14ac:dyDescent="0.3">
      <c r="A36" s="116">
        <v>8535</v>
      </c>
      <c r="B36" s="114" t="s">
        <v>35</v>
      </c>
      <c r="C36" s="115">
        <v>0.34</v>
      </c>
      <c r="D36" s="115">
        <v>0.39</v>
      </c>
      <c r="E36" s="115">
        <v>0.56999999999999995</v>
      </c>
      <c r="F36" s="115">
        <v>3.64</v>
      </c>
      <c r="G36" s="115">
        <v>0.48</v>
      </c>
      <c r="H36" s="115">
        <v>3.52</v>
      </c>
      <c r="I36" s="115">
        <v>1.51</v>
      </c>
      <c r="J36" s="115">
        <v>0.04</v>
      </c>
      <c r="K36" s="115">
        <v>0.02</v>
      </c>
      <c r="L36" s="115">
        <v>0.05</v>
      </c>
      <c r="M36" s="115" t="str">
        <f>VLOOKUP(A36,Product_Mapping!$B:$D,3,FALSE)</f>
        <v>Electrical</v>
      </c>
      <c r="O36" s="147"/>
      <c r="P36" s="147"/>
    </row>
    <row r="37" spans="1:16" x14ac:dyDescent="0.3">
      <c r="A37" s="116">
        <v>8526</v>
      </c>
      <c r="B37" s="114" t="s">
        <v>37</v>
      </c>
      <c r="C37" s="115">
        <v>0.01</v>
      </c>
      <c r="D37" s="115">
        <v>0</v>
      </c>
      <c r="E37" s="115">
        <v>0.01</v>
      </c>
      <c r="F37" s="115">
        <v>0.11</v>
      </c>
      <c r="G37" s="115">
        <v>0.01</v>
      </c>
      <c r="H37" s="115">
        <v>7.0000000000000007E-2</v>
      </c>
      <c r="I37" s="115">
        <v>0.08</v>
      </c>
      <c r="J37" s="115">
        <v>0.01</v>
      </c>
      <c r="K37" s="115">
        <v>0.03</v>
      </c>
      <c r="L37" s="115">
        <v>0.04</v>
      </c>
      <c r="M37" s="115" t="str">
        <f>VLOOKUP(A37,Product_Mapping!$B:$D,3,FALSE)</f>
        <v>Electrical</v>
      </c>
      <c r="O37" s="147"/>
      <c r="P37" s="147"/>
    </row>
    <row r="38" spans="1:16" x14ac:dyDescent="0.3">
      <c r="A38" s="116">
        <v>8539</v>
      </c>
      <c r="B38" s="114" t="s">
        <v>22</v>
      </c>
      <c r="C38" s="115">
        <v>0.05</v>
      </c>
      <c r="D38" s="115">
        <v>0.06</v>
      </c>
      <c r="E38" s="115">
        <v>0.12</v>
      </c>
      <c r="F38" s="115">
        <v>0.14000000000000001</v>
      </c>
      <c r="G38" s="115">
        <v>0.11</v>
      </c>
      <c r="H38" s="115">
        <v>0.06</v>
      </c>
      <c r="I38" s="115">
        <v>0.1</v>
      </c>
      <c r="J38" s="115">
        <v>0.14000000000000001</v>
      </c>
      <c r="K38" s="115">
        <v>0.03</v>
      </c>
      <c r="L38" s="115">
        <v>0.04</v>
      </c>
      <c r="M38" s="115" t="str">
        <f>VLOOKUP(A38,Product_Mapping!$B:$D,3,FALSE)</f>
        <v>Electrical</v>
      </c>
      <c r="O38" s="147"/>
      <c r="P38" s="147"/>
    </row>
    <row r="39" spans="1:16" x14ac:dyDescent="0.3">
      <c r="A39" s="116">
        <v>8547</v>
      </c>
      <c r="B39" s="114" t="s">
        <v>15</v>
      </c>
      <c r="C39" s="115">
        <v>0.04</v>
      </c>
      <c r="D39" s="115">
        <v>0.13</v>
      </c>
      <c r="E39" s="115">
        <v>0.04</v>
      </c>
      <c r="F39" s="115">
        <v>0.09</v>
      </c>
      <c r="G39" s="115">
        <v>0.02</v>
      </c>
      <c r="H39" s="115">
        <v>0.02</v>
      </c>
      <c r="I39" s="115">
        <v>0.03</v>
      </c>
      <c r="J39" s="115">
        <v>0.04</v>
      </c>
      <c r="K39" s="115">
        <v>0.02</v>
      </c>
      <c r="L39" s="115">
        <v>0.04</v>
      </c>
      <c r="M39" s="115" t="str">
        <f>VLOOKUP(A39,Product_Mapping!$B:$D,3,FALSE)</f>
        <v>Electrical</v>
      </c>
      <c r="O39" s="147"/>
      <c r="P39" s="147"/>
    </row>
    <row r="40" spans="1:16" x14ac:dyDescent="0.3">
      <c r="A40" s="116">
        <v>8521</v>
      </c>
      <c r="B40" s="114" t="s">
        <v>38</v>
      </c>
      <c r="C40" s="115">
        <v>0.01</v>
      </c>
      <c r="D40" s="115">
        <v>0.02</v>
      </c>
      <c r="E40" s="115">
        <v>0.02</v>
      </c>
      <c r="F40" s="115">
        <v>0</v>
      </c>
      <c r="G40" s="115">
        <v>0.02</v>
      </c>
      <c r="H40" s="115">
        <v>0.02</v>
      </c>
      <c r="I40" s="115">
        <v>0.02</v>
      </c>
      <c r="J40" s="115">
        <v>0</v>
      </c>
      <c r="K40" s="115" t="s">
        <v>48</v>
      </c>
      <c r="L40" s="115">
        <v>0.02</v>
      </c>
      <c r="M40" s="115" t="str">
        <f>VLOOKUP(A40,Product_Mapping!$B:$D,3,FALSE)</f>
        <v>Electrical</v>
      </c>
      <c r="O40" s="147"/>
      <c r="P40" s="147"/>
    </row>
    <row r="41" spans="1:16" x14ac:dyDescent="0.3">
      <c r="A41" s="116">
        <v>8524</v>
      </c>
      <c r="B41" s="114" t="s">
        <v>13</v>
      </c>
      <c r="C41" s="115">
        <v>0</v>
      </c>
      <c r="D41" s="115">
        <v>0</v>
      </c>
      <c r="E41" s="115">
        <v>0</v>
      </c>
      <c r="F41" s="115">
        <v>0</v>
      </c>
      <c r="G41" s="115">
        <v>0</v>
      </c>
      <c r="H41" s="115">
        <v>0</v>
      </c>
      <c r="I41" s="115">
        <v>0.01</v>
      </c>
      <c r="J41" s="115">
        <v>0.04</v>
      </c>
      <c r="K41" s="115">
        <v>0.04</v>
      </c>
      <c r="L41" s="115">
        <v>0.02</v>
      </c>
      <c r="M41" s="115" t="str">
        <f>VLOOKUP(A41,Product_Mapping!$B:$D,3,FALSE)</f>
        <v>Electrical</v>
      </c>
      <c r="O41" s="147"/>
      <c r="P41" s="147"/>
    </row>
    <row r="42" spans="1:16" x14ac:dyDescent="0.3">
      <c r="A42" s="116">
        <v>8508</v>
      </c>
      <c r="B42" s="114" t="s">
        <v>41</v>
      </c>
      <c r="C42" s="115">
        <v>0.09</v>
      </c>
      <c r="D42" s="115">
        <v>0.08</v>
      </c>
      <c r="E42" s="115">
        <v>0.06</v>
      </c>
      <c r="F42" s="115">
        <v>7.0000000000000007E-2</v>
      </c>
      <c r="G42" s="115">
        <v>7.0000000000000007E-2</v>
      </c>
      <c r="H42" s="115">
        <v>0.05</v>
      </c>
      <c r="I42" s="115">
        <v>7.0000000000000007E-2</v>
      </c>
      <c r="J42" s="115">
        <v>0.12</v>
      </c>
      <c r="K42" s="115">
        <v>0.03</v>
      </c>
      <c r="L42" s="115">
        <v>0.02</v>
      </c>
      <c r="M42" s="115" t="str">
        <f>VLOOKUP(A42,Product_Mapping!$B:$D,3,FALSE)</f>
        <v>Electrical</v>
      </c>
      <c r="O42" s="147"/>
      <c r="P42" s="147"/>
    </row>
    <row r="43" spans="1:16" x14ac:dyDescent="0.3">
      <c r="A43" s="116">
        <v>8548</v>
      </c>
      <c r="B43" s="114" t="s">
        <v>45</v>
      </c>
      <c r="C43" s="115" t="s">
        <v>48</v>
      </c>
      <c r="D43" s="115">
        <v>0</v>
      </c>
      <c r="E43" s="115">
        <v>0</v>
      </c>
      <c r="F43" s="115">
        <v>0.15</v>
      </c>
      <c r="G43" s="115">
        <v>0.06</v>
      </c>
      <c r="H43" s="115">
        <v>0.02</v>
      </c>
      <c r="I43" s="115">
        <v>0.02</v>
      </c>
      <c r="J43" s="115">
        <v>0.02</v>
      </c>
      <c r="K43" s="115">
        <v>0.01</v>
      </c>
      <c r="L43" s="115">
        <v>0.01</v>
      </c>
      <c r="M43" s="115" t="str">
        <f>VLOOKUP(A43,Product_Mapping!$B:$D,3,FALSE)</f>
        <v>Electrical</v>
      </c>
      <c r="O43" s="147"/>
      <c r="P43" s="147"/>
    </row>
    <row r="44" spans="1:16" x14ac:dyDescent="0.3">
      <c r="A44" s="116">
        <v>8509</v>
      </c>
      <c r="B44" s="114" t="s">
        <v>44</v>
      </c>
      <c r="C44" s="115">
        <v>0</v>
      </c>
      <c r="D44" s="115">
        <v>0.01</v>
      </c>
      <c r="E44" s="115">
        <v>0</v>
      </c>
      <c r="F44" s="115">
        <v>0</v>
      </c>
      <c r="G44" s="115">
        <v>0</v>
      </c>
      <c r="H44" s="115">
        <v>0</v>
      </c>
      <c r="I44" s="115">
        <v>0.02</v>
      </c>
      <c r="J44" s="115">
        <v>0</v>
      </c>
      <c r="K44" s="115">
        <v>0</v>
      </c>
      <c r="L44" s="115">
        <v>0.01</v>
      </c>
      <c r="M44" s="115" t="str">
        <f>VLOOKUP(A44,Product_Mapping!$B:$D,3,FALSE)</f>
        <v>Electrical</v>
      </c>
      <c r="O44" s="147"/>
      <c r="P44" s="147"/>
    </row>
    <row r="45" spans="1:16" x14ac:dyDescent="0.3">
      <c r="A45" s="116">
        <v>8522</v>
      </c>
      <c r="B45" s="114" t="s">
        <v>40</v>
      </c>
      <c r="C45" s="115">
        <v>0.01</v>
      </c>
      <c r="D45" s="115">
        <v>0.03</v>
      </c>
      <c r="E45" s="115">
        <v>0.01</v>
      </c>
      <c r="F45" s="115">
        <v>0.01</v>
      </c>
      <c r="G45" s="115">
        <v>0</v>
      </c>
      <c r="H45" s="115">
        <v>0</v>
      </c>
      <c r="I45" s="115">
        <v>0</v>
      </c>
      <c r="J45" s="115">
        <v>0</v>
      </c>
      <c r="K45" s="115">
        <v>0.02</v>
      </c>
      <c r="L45" s="115">
        <v>0</v>
      </c>
      <c r="M45" s="115" t="str">
        <f>VLOOKUP(A45,Product_Mapping!$B:$D,3,FALSE)</f>
        <v>Electrical</v>
      </c>
      <c r="O45" s="147"/>
      <c r="P45" s="147"/>
    </row>
    <row r="46" spans="1:16" x14ac:dyDescent="0.3">
      <c r="A46" s="116">
        <v>8510</v>
      </c>
      <c r="B46" s="114" t="s">
        <v>47</v>
      </c>
      <c r="C46" s="115">
        <v>0</v>
      </c>
      <c r="D46" s="115">
        <v>0</v>
      </c>
      <c r="E46" s="115">
        <v>0</v>
      </c>
      <c r="F46" s="115">
        <v>0</v>
      </c>
      <c r="G46" s="115">
        <v>0</v>
      </c>
      <c r="H46" s="115">
        <v>0</v>
      </c>
      <c r="I46" s="115" t="s">
        <v>48</v>
      </c>
      <c r="J46" s="115">
        <v>0</v>
      </c>
      <c r="K46" s="115">
        <v>0</v>
      </c>
      <c r="L46" s="115">
        <v>0</v>
      </c>
      <c r="M46" s="115" t="str">
        <f>VLOOKUP(A46,Product_Mapping!$B:$D,3,FALSE)</f>
        <v>Electrical</v>
      </c>
      <c r="O46" s="147"/>
      <c r="P46" s="147"/>
    </row>
    <row r="47" spans="1:16" x14ac:dyDescent="0.3">
      <c r="A47" s="116">
        <v>8519</v>
      </c>
      <c r="B47" s="114" t="s">
        <v>43</v>
      </c>
      <c r="C47" s="115">
        <v>0.03</v>
      </c>
      <c r="D47" s="115">
        <v>0.03</v>
      </c>
      <c r="E47" s="115">
        <v>0.03</v>
      </c>
      <c r="F47" s="115">
        <v>0.01</v>
      </c>
      <c r="G47" s="115">
        <v>0.08</v>
      </c>
      <c r="H47" s="115">
        <v>0.01</v>
      </c>
      <c r="I47" s="115">
        <v>0.02</v>
      </c>
      <c r="J47" s="115">
        <v>0</v>
      </c>
      <c r="K47" s="115">
        <v>0.05</v>
      </c>
      <c r="L47" s="115">
        <v>0</v>
      </c>
      <c r="M47" s="115" t="str">
        <f>VLOOKUP(A47,Product_Mapping!$B:$D,3,FALSE)</f>
        <v>Electrical</v>
      </c>
      <c r="O47" s="147"/>
      <c r="P47" s="147"/>
    </row>
    <row r="48" spans="1:16" x14ac:dyDescent="0.3">
      <c r="A48" s="116">
        <v>8506</v>
      </c>
      <c r="B48" s="114" t="s">
        <v>32</v>
      </c>
      <c r="C48" s="115">
        <v>0.02</v>
      </c>
      <c r="D48" s="115">
        <v>0.02</v>
      </c>
      <c r="E48" s="115">
        <v>0.04</v>
      </c>
      <c r="F48" s="115">
        <v>0.01</v>
      </c>
      <c r="G48" s="115">
        <v>0</v>
      </c>
      <c r="H48" s="115">
        <v>0.01</v>
      </c>
      <c r="I48" s="115">
        <v>0</v>
      </c>
      <c r="J48" s="115">
        <v>0.01</v>
      </c>
      <c r="K48" s="115">
        <v>0.01</v>
      </c>
      <c r="L48" s="115">
        <v>0</v>
      </c>
      <c r="M48" s="115" t="str">
        <f>VLOOKUP(A48,Product_Mapping!$B:$D,3,FALSE)</f>
        <v>Electrical</v>
      </c>
      <c r="O48" s="147"/>
      <c r="P48" s="147"/>
    </row>
    <row r="49" spans="1:16" x14ac:dyDescent="0.3">
      <c r="A49" s="116">
        <v>8513</v>
      </c>
      <c r="B49" s="114" t="s">
        <v>42</v>
      </c>
      <c r="C49" s="115">
        <v>0</v>
      </c>
      <c r="D49" s="115" t="s">
        <v>48</v>
      </c>
      <c r="E49" s="115" t="s">
        <v>48</v>
      </c>
      <c r="F49" s="115">
        <v>0.01</v>
      </c>
      <c r="G49" s="115">
        <v>0</v>
      </c>
      <c r="H49" s="115" t="s">
        <v>48</v>
      </c>
      <c r="I49" s="115" t="s">
        <v>48</v>
      </c>
      <c r="J49" s="115">
        <v>0.01</v>
      </c>
      <c r="K49" s="115">
        <v>0</v>
      </c>
      <c r="L49" s="115">
        <v>0</v>
      </c>
      <c r="M49" s="115" t="str">
        <f>VLOOKUP(A49,Product_Mapping!$B:$D,3,FALSE)</f>
        <v>Electrical</v>
      </c>
      <c r="O49" s="147"/>
      <c r="P49" s="147"/>
    </row>
    <row r="50" spans="1:16" x14ac:dyDescent="0.3">
      <c r="A50" s="116">
        <v>3926</v>
      </c>
      <c r="B50" s="114" t="s">
        <v>53</v>
      </c>
      <c r="C50" s="115">
        <v>11.63</v>
      </c>
      <c r="D50" s="115">
        <v>10.99</v>
      </c>
      <c r="E50" s="115">
        <v>13.05</v>
      </c>
      <c r="F50" s="115">
        <v>12.29</v>
      </c>
      <c r="G50" s="115">
        <v>6.59</v>
      </c>
      <c r="H50" s="115">
        <v>7.51</v>
      </c>
      <c r="I50" s="115">
        <v>9.7100000000000009</v>
      </c>
      <c r="J50" s="115">
        <v>19.29</v>
      </c>
      <c r="K50" s="115">
        <v>20.39</v>
      </c>
      <c r="L50" s="115">
        <v>22.26</v>
      </c>
      <c r="M50" s="115" t="str">
        <f>VLOOKUP(A50,Product_Mapping!$B:$D,3,FALSE)</f>
        <v>Plastics</v>
      </c>
      <c r="O50" s="147"/>
      <c r="P50" s="147"/>
    </row>
    <row r="51" spans="1:16" x14ac:dyDescent="0.3">
      <c r="A51" s="116">
        <v>3904</v>
      </c>
      <c r="B51" s="114" t="s">
        <v>51</v>
      </c>
      <c r="C51" s="115">
        <v>0.51</v>
      </c>
      <c r="D51" s="115">
        <v>1.1399999999999999</v>
      </c>
      <c r="E51" s="115">
        <v>3.73</v>
      </c>
      <c r="F51" s="115">
        <v>5.26</v>
      </c>
      <c r="G51" s="115">
        <v>3.37</v>
      </c>
      <c r="H51" s="115">
        <v>6.74</v>
      </c>
      <c r="I51" s="115">
        <v>17.350000000000001</v>
      </c>
      <c r="J51" s="115">
        <v>16.09</v>
      </c>
      <c r="K51" s="115">
        <v>23.37</v>
      </c>
      <c r="L51" s="115">
        <v>16.809999999999999</v>
      </c>
      <c r="M51" s="115" t="str">
        <f>VLOOKUP(A51,Product_Mapping!$B:$D,3,FALSE)</f>
        <v>Plastics</v>
      </c>
      <c r="O51" s="147"/>
      <c r="P51" s="147"/>
    </row>
    <row r="52" spans="1:16" x14ac:dyDescent="0.3">
      <c r="A52" s="116">
        <v>3911</v>
      </c>
      <c r="B52" s="114" t="s">
        <v>62</v>
      </c>
      <c r="C52" s="115">
        <v>1.27</v>
      </c>
      <c r="D52" s="115">
        <v>1.84</v>
      </c>
      <c r="E52" s="115">
        <v>6.28</v>
      </c>
      <c r="F52" s="115">
        <v>8.68</v>
      </c>
      <c r="G52" s="115">
        <v>11.47</v>
      </c>
      <c r="H52" s="115">
        <v>7.17</v>
      </c>
      <c r="I52" s="115">
        <v>3.44</v>
      </c>
      <c r="J52" s="115">
        <v>10.64</v>
      </c>
      <c r="K52" s="115">
        <v>14.17</v>
      </c>
      <c r="L52" s="115">
        <v>13.11</v>
      </c>
      <c r="M52" s="115" t="str">
        <f>VLOOKUP(A52,Product_Mapping!$B:$D,3,FALSE)</f>
        <v>Plastics</v>
      </c>
      <c r="O52" s="147"/>
      <c r="P52" s="147"/>
    </row>
    <row r="53" spans="1:16" x14ac:dyDescent="0.3">
      <c r="A53" s="116">
        <v>3920</v>
      </c>
      <c r="B53" s="114" t="s">
        <v>60</v>
      </c>
      <c r="C53" s="115">
        <v>1.39</v>
      </c>
      <c r="D53" s="115">
        <v>1.38</v>
      </c>
      <c r="E53" s="115">
        <v>2.06</v>
      </c>
      <c r="F53" s="115">
        <v>2.11</v>
      </c>
      <c r="G53" s="115">
        <v>2.4</v>
      </c>
      <c r="H53" s="115">
        <v>4.95</v>
      </c>
      <c r="I53" s="115">
        <v>4.4800000000000004</v>
      </c>
      <c r="J53" s="115">
        <v>5.75</v>
      </c>
      <c r="K53" s="115">
        <v>9.81</v>
      </c>
      <c r="L53" s="115">
        <v>10.93</v>
      </c>
      <c r="M53" s="115" t="str">
        <f>VLOOKUP(A53,Product_Mapping!$B:$D,3,FALSE)</f>
        <v>Plastics</v>
      </c>
      <c r="O53" s="147"/>
      <c r="P53" s="147"/>
    </row>
    <row r="54" spans="1:16" x14ac:dyDescent="0.3">
      <c r="A54" s="116">
        <v>3923</v>
      </c>
      <c r="B54" s="114" t="s">
        <v>65</v>
      </c>
      <c r="C54" s="115">
        <v>4.76</v>
      </c>
      <c r="D54" s="115">
        <v>3.38</v>
      </c>
      <c r="E54" s="115">
        <v>5.13</v>
      </c>
      <c r="F54" s="115">
        <v>7.62</v>
      </c>
      <c r="G54" s="115">
        <v>4.5199999999999996</v>
      </c>
      <c r="H54" s="115">
        <v>7.17</v>
      </c>
      <c r="I54" s="115">
        <v>6.61</v>
      </c>
      <c r="J54" s="115">
        <v>6.09</v>
      </c>
      <c r="K54" s="115">
        <v>7.49</v>
      </c>
      <c r="L54" s="115">
        <v>10.08</v>
      </c>
      <c r="M54" s="115" t="str">
        <f>VLOOKUP(A54,Product_Mapping!$B:$D,3,FALSE)</f>
        <v>Plastics</v>
      </c>
      <c r="O54" s="147"/>
      <c r="P54" s="147"/>
    </row>
    <row r="55" spans="1:16" x14ac:dyDescent="0.3">
      <c r="A55" s="116">
        <v>3907</v>
      </c>
      <c r="B55" s="114" t="s">
        <v>57</v>
      </c>
      <c r="C55" s="115">
        <v>2.06</v>
      </c>
      <c r="D55" s="115">
        <v>17.05</v>
      </c>
      <c r="E55" s="115">
        <v>82.22</v>
      </c>
      <c r="F55" s="115">
        <v>59.8</v>
      </c>
      <c r="G55" s="115">
        <v>32.380000000000003</v>
      </c>
      <c r="H55" s="115">
        <v>10.35</v>
      </c>
      <c r="I55" s="115">
        <v>19.25</v>
      </c>
      <c r="J55" s="115">
        <v>23.59</v>
      </c>
      <c r="K55" s="115">
        <v>16.100000000000001</v>
      </c>
      <c r="L55" s="115">
        <v>9.58</v>
      </c>
      <c r="M55" s="115" t="str">
        <f>VLOOKUP(A55,Product_Mapping!$B:$D,3,FALSE)</f>
        <v>Plastics</v>
      </c>
      <c r="O55" s="147"/>
      <c r="P55" s="147"/>
    </row>
    <row r="56" spans="1:16" x14ac:dyDescent="0.3">
      <c r="A56" s="116">
        <v>3917</v>
      </c>
      <c r="B56" s="114" t="s">
        <v>67</v>
      </c>
      <c r="C56" s="115">
        <v>0.03</v>
      </c>
      <c r="D56" s="115">
        <v>0.13</v>
      </c>
      <c r="E56" s="115">
        <v>0.28000000000000003</v>
      </c>
      <c r="F56" s="115">
        <v>0.22</v>
      </c>
      <c r="G56" s="115">
        <v>0.23</v>
      </c>
      <c r="H56" s="115">
        <v>0.33</v>
      </c>
      <c r="I56" s="115">
        <v>0.71</v>
      </c>
      <c r="J56" s="115">
        <v>2.37</v>
      </c>
      <c r="K56" s="115">
        <v>4.34</v>
      </c>
      <c r="L56" s="115">
        <v>5.45</v>
      </c>
      <c r="M56" s="115" t="str">
        <f>VLOOKUP(A56,Product_Mapping!$B:$D,3,FALSE)</f>
        <v>Plastics</v>
      </c>
      <c r="O56" s="147"/>
      <c r="P56" s="147"/>
    </row>
    <row r="57" spans="1:16" x14ac:dyDescent="0.3">
      <c r="A57" s="116">
        <v>3908</v>
      </c>
      <c r="B57" s="114" t="s">
        <v>64</v>
      </c>
      <c r="C57" s="115">
        <v>6.65</v>
      </c>
      <c r="D57" s="115">
        <v>8.69</v>
      </c>
      <c r="E57" s="115">
        <v>9.8699999999999992</v>
      </c>
      <c r="F57" s="115">
        <v>8.4600000000000009</v>
      </c>
      <c r="G57" s="115">
        <v>4.8099999999999996</v>
      </c>
      <c r="H57" s="115">
        <v>6.13</v>
      </c>
      <c r="I57" s="115">
        <v>5.26</v>
      </c>
      <c r="J57" s="115">
        <v>7.61</v>
      </c>
      <c r="K57" s="115">
        <v>5.92</v>
      </c>
      <c r="L57" s="115">
        <v>3.33</v>
      </c>
      <c r="M57" s="115" t="str">
        <f>VLOOKUP(A57,Product_Mapping!$B:$D,3,FALSE)</f>
        <v>Plastics</v>
      </c>
      <c r="O57" s="147"/>
      <c r="P57" s="147"/>
    </row>
    <row r="58" spans="1:16" x14ac:dyDescent="0.3">
      <c r="A58" s="116">
        <v>3914</v>
      </c>
      <c r="B58" s="114" t="s">
        <v>69</v>
      </c>
      <c r="C58" s="115">
        <v>0.86</v>
      </c>
      <c r="D58" s="115">
        <v>1.04</v>
      </c>
      <c r="E58" s="115">
        <v>1.53</v>
      </c>
      <c r="F58" s="115">
        <v>1.81</v>
      </c>
      <c r="G58" s="115">
        <v>1.86</v>
      </c>
      <c r="H58" s="115">
        <v>2.56</v>
      </c>
      <c r="I58" s="115">
        <v>2.42</v>
      </c>
      <c r="J58" s="115">
        <v>2.0499999999999998</v>
      </c>
      <c r="K58" s="115">
        <v>1.94</v>
      </c>
      <c r="L58" s="115">
        <v>1.86</v>
      </c>
      <c r="M58" s="115" t="str">
        <f>VLOOKUP(A58,Product_Mapping!$B:$D,3,FALSE)</f>
        <v>Plastics</v>
      </c>
      <c r="O58" s="147"/>
      <c r="P58" s="147"/>
    </row>
    <row r="59" spans="1:16" x14ac:dyDescent="0.3">
      <c r="A59" s="116">
        <v>3903</v>
      </c>
      <c r="B59" s="114" t="s">
        <v>63</v>
      </c>
      <c r="C59" s="115">
        <v>0.31</v>
      </c>
      <c r="D59" s="115">
        <v>0.19</v>
      </c>
      <c r="E59" s="115">
        <v>0.11</v>
      </c>
      <c r="F59" s="115">
        <v>0.15</v>
      </c>
      <c r="G59" s="115">
        <v>0.24</v>
      </c>
      <c r="H59" s="115">
        <v>7.0000000000000007E-2</v>
      </c>
      <c r="I59" s="115">
        <v>0.05</v>
      </c>
      <c r="J59" s="115">
        <v>0.98</v>
      </c>
      <c r="K59" s="115">
        <v>2.2200000000000002</v>
      </c>
      <c r="L59" s="115">
        <v>1.78</v>
      </c>
      <c r="M59" s="115" t="str">
        <f>VLOOKUP(A59,Product_Mapping!$B:$D,3,FALSE)</f>
        <v>Plastics</v>
      </c>
      <c r="O59" s="147"/>
      <c r="P59" s="147"/>
    </row>
    <row r="60" spans="1:16" x14ac:dyDescent="0.3">
      <c r="A60" s="116">
        <v>3921</v>
      </c>
      <c r="B60" s="114" t="s">
        <v>68</v>
      </c>
      <c r="C60" s="115">
        <v>0.03</v>
      </c>
      <c r="D60" s="115">
        <v>0.01</v>
      </c>
      <c r="E60" s="115">
        <v>0.03</v>
      </c>
      <c r="F60" s="115">
        <v>0.03</v>
      </c>
      <c r="G60" s="115">
        <v>0.09</v>
      </c>
      <c r="H60" s="115">
        <v>0.11</v>
      </c>
      <c r="I60" s="115">
        <v>0.53</v>
      </c>
      <c r="J60" s="115">
        <v>0.36</v>
      </c>
      <c r="K60" s="115">
        <v>0.25</v>
      </c>
      <c r="L60" s="115">
        <v>0.74</v>
      </c>
      <c r="M60" s="115" t="str">
        <f>VLOOKUP(A60,Product_Mapping!$B:$D,3,FALSE)</f>
        <v>Plastics</v>
      </c>
      <c r="O60" s="147"/>
      <c r="P60" s="147"/>
    </row>
    <row r="61" spans="1:16" x14ac:dyDescent="0.3">
      <c r="A61" s="116">
        <v>3913</v>
      </c>
      <c r="B61" s="114" t="s">
        <v>70</v>
      </c>
      <c r="C61" s="115">
        <v>0.11</v>
      </c>
      <c r="D61" s="115">
        <v>0.18</v>
      </c>
      <c r="E61" s="115">
        <v>0.23</v>
      </c>
      <c r="F61" s="115">
        <v>0.17</v>
      </c>
      <c r="G61" s="115">
        <v>0.15</v>
      </c>
      <c r="H61" s="115">
        <v>0.22</v>
      </c>
      <c r="I61" s="115">
        <v>0.28999999999999998</v>
      </c>
      <c r="J61" s="115">
        <v>0.34</v>
      </c>
      <c r="K61" s="115">
        <v>0.56999999999999995</v>
      </c>
      <c r="L61" s="115">
        <v>0.73</v>
      </c>
      <c r="M61" s="115" t="str">
        <f>VLOOKUP(A61,Product_Mapping!$B:$D,3,FALSE)</f>
        <v>Plastics</v>
      </c>
      <c r="O61" s="147"/>
      <c r="P61" s="147"/>
    </row>
    <row r="62" spans="1:16" x14ac:dyDescent="0.3">
      <c r="A62" s="116">
        <v>3910</v>
      </c>
      <c r="B62" s="114" t="s">
        <v>66</v>
      </c>
      <c r="C62" s="115">
        <v>1.21</v>
      </c>
      <c r="D62" s="115">
        <v>0.94</v>
      </c>
      <c r="E62" s="115">
        <v>0.81</v>
      </c>
      <c r="F62" s="115">
        <v>0.8</v>
      </c>
      <c r="G62" s="115">
        <v>0.85</v>
      </c>
      <c r="H62" s="115">
        <v>1.2</v>
      </c>
      <c r="I62" s="115">
        <v>1.42</v>
      </c>
      <c r="J62" s="115">
        <v>0.22</v>
      </c>
      <c r="K62" s="115">
        <v>0.51</v>
      </c>
      <c r="L62" s="115">
        <v>0.64</v>
      </c>
      <c r="M62" s="115" t="str">
        <f>VLOOKUP(A62,Product_Mapping!$B:$D,3,FALSE)</f>
        <v>Plastics</v>
      </c>
      <c r="O62" s="147"/>
      <c r="P62" s="147"/>
    </row>
    <row r="63" spans="1:16" x14ac:dyDescent="0.3">
      <c r="A63" s="116">
        <v>3924</v>
      </c>
      <c r="B63" s="114" t="s">
        <v>72</v>
      </c>
      <c r="C63" s="115">
        <v>1.2</v>
      </c>
      <c r="D63" s="115">
        <v>1.25</v>
      </c>
      <c r="E63" s="115">
        <v>1.4</v>
      </c>
      <c r="F63" s="115">
        <v>1.03</v>
      </c>
      <c r="G63" s="115">
        <v>0.96</v>
      </c>
      <c r="H63" s="115">
        <v>1.28</v>
      </c>
      <c r="I63" s="115">
        <v>1.07</v>
      </c>
      <c r="J63" s="115">
        <v>0.98</v>
      </c>
      <c r="K63" s="115">
        <v>0.7</v>
      </c>
      <c r="L63" s="115">
        <v>0.53</v>
      </c>
      <c r="M63" s="115" t="str">
        <f>VLOOKUP(A63,Product_Mapping!$B:$D,3,FALSE)</f>
        <v>Plastics</v>
      </c>
      <c r="O63" s="147"/>
      <c r="P63" s="147"/>
    </row>
    <row r="64" spans="1:16" x14ac:dyDescent="0.3">
      <c r="A64" s="116">
        <v>3912</v>
      </c>
      <c r="B64" s="114" t="s">
        <v>56</v>
      </c>
      <c r="C64" s="115">
        <v>0.21</v>
      </c>
      <c r="D64" s="115">
        <v>0.31</v>
      </c>
      <c r="E64" s="115">
        <v>0.24</v>
      </c>
      <c r="F64" s="115">
        <v>0.25</v>
      </c>
      <c r="G64" s="115">
        <v>0.19</v>
      </c>
      <c r="H64" s="115">
        <v>0.54</v>
      </c>
      <c r="I64" s="115">
        <v>0.46</v>
      </c>
      <c r="J64" s="115">
        <v>0.41</v>
      </c>
      <c r="K64" s="115">
        <v>0.48</v>
      </c>
      <c r="L64" s="115">
        <v>0.5</v>
      </c>
      <c r="M64" s="115" t="str">
        <f>VLOOKUP(A64,Product_Mapping!$B:$D,3,FALSE)</f>
        <v>Plastics</v>
      </c>
      <c r="O64" s="147"/>
      <c r="P64" s="147"/>
    </row>
    <row r="65" spans="1:16" x14ac:dyDescent="0.3">
      <c r="A65" s="116">
        <v>3902</v>
      </c>
      <c r="B65" s="114" t="s">
        <v>58</v>
      </c>
      <c r="C65" s="115">
        <v>0.43</v>
      </c>
      <c r="D65" s="115">
        <v>0.86</v>
      </c>
      <c r="E65" s="115">
        <v>3.02</v>
      </c>
      <c r="F65" s="115">
        <v>0.35</v>
      </c>
      <c r="G65" s="115">
        <v>0.24</v>
      </c>
      <c r="H65" s="115">
        <v>0.18</v>
      </c>
      <c r="I65" s="115">
        <v>0.28999999999999998</v>
      </c>
      <c r="J65" s="115">
        <v>0.18</v>
      </c>
      <c r="K65" s="115">
        <v>0.09</v>
      </c>
      <c r="L65" s="115">
        <v>0.41</v>
      </c>
      <c r="M65" s="115" t="str">
        <f>VLOOKUP(A65,Product_Mapping!$B:$D,3,FALSE)</f>
        <v>Plastics</v>
      </c>
      <c r="O65" s="147"/>
      <c r="P65" s="147"/>
    </row>
    <row r="66" spans="1:16" x14ac:dyDescent="0.3">
      <c r="A66" s="116">
        <v>3909</v>
      </c>
      <c r="B66" s="114" t="s">
        <v>54</v>
      </c>
      <c r="C66" s="115">
        <v>7.0000000000000007E-2</v>
      </c>
      <c r="D66" s="115">
        <v>0.44</v>
      </c>
      <c r="E66" s="115">
        <v>0.47</v>
      </c>
      <c r="F66" s="115">
        <v>0.81</v>
      </c>
      <c r="G66" s="115">
        <v>0.49</v>
      </c>
      <c r="H66" s="115">
        <v>0.76</v>
      </c>
      <c r="I66" s="115">
        <v>0.76</v>
      </c>
      <c r="J66" s="115">
        <v>0.48</v>
      </c>
      <c r="K66" s="115">
        <v>0.36</v>
      </c>
      <c r="L66" s="115">
        <v>0.34</v>
      </c>
      <c r="M66" s="115" t="str">
        <f>VLOOKUP(A66,Product_Mapping!$B:$D,3,FALSE)</f>
        <v>Plastics</v>
      </c>
      <c r="O66" s="147"/>
      <c r="P66" s="147"/>
    </row>
    <row r="67" spans="1:16" x14ac:dyDescent="0.3">
      <c r="A67" s="116">
        <v>3905</v>
      </c>
      <c r="B67" s="114" t="s">
        <v>61</v>
      </c>
      <c r="C67" s="115">
        <v>0.12</v>
      </c>
      <c r="D67" s="115">
        <v>0.14000000000000001</v>
      </c>
      <c r="E67" s="115">
        <v>0.17</v>
      </c>
      <c r="F67" s="115">
        <v>0.13</v>
      </c>
      <c r="G67" s="115">
        <v>0.08</v>
      </c>
      <c r="H67" s="115">
        <v>0.18</v>
      </c>
      <c r="I67" s="115">
        <v>0.22</v>
      </c>
      <c r="J67" s="115">
        <v>0.17</v>
      </c>
      <c r="K67" s="115">
        <v>0.28000000000000003</v>
      </c>
      <c r="L67" s="115">
        <v>0.28999999999999998</v>
      </c>
      <c r="M67" s="115" t="str">
        <f>VLOOKUP(A67,Product_Mapping!$B:$D,3,FALSE)</f>
        <v>Plastics</v>
      </c>
      <c r="O67" s="147"/>
      <c r="P67" s="147"/>
    </row>
    <row r="68" spans="1:16" x14ac:dyDescent="0.3">
      <c r="A68" s="116">
        <v>3919</v>
      </c>
      <c r="B68" s="114" t="s">
        <v>59</v>
      </c>
      <c r="C68" s="115">
        <v>2.06</v>
      </c>
      <c r="D68" s="115">
        <v>1.47</v>
      </c>
      <c r="E68" s="115">
        <v>2.04</v>
      </c>
      <c r="F68" s="115">
        <v>2.19</v>
      </c>
      <c r="G68" s="115">
        <v>1.44</v>
      </c>
      <c r="H68" s="115">
        <v>1.94</v>
      </c>
      <c r="I68" s="115">
        <v>1.49</v>
      </c>
      <c r="J68" s="115">
        <v>0.64</v>
      </c>
      <c r="K68" s="115">
        <v>0.92</v>
      </c>
      <c r="L68" s="115">
        <v>0.27</v>
      </c>
      <c r="M68" s="115" t="str">
        <f>VLOOKUP(A68,Product_Mapping!$B:$D,3,FALSE)</f>
        <v>Plastics</v>
      </c>
      <c r="O68" s="147"/>
      <c r="P68" s="147"/>
    </row>
    <row r="69" spans="1:16" x14ac:dyDescent="0.3">
      <c r="A69" s="116">
        <v>3906</v>
      </c>
      <c r="B69" s="114" t="s">
        <v>52</v>
      </c>
      <c r="C69" s="115">
        <v>0</v>
      </c>
      <c r="D69" s="115">
        <v>0.01</v>
      </c>
      <c r="E69" s="115">
        <v>0.1</v>
      </c>
      <c r="F69" s="115">
        <v>0.01</v>
      </c>
      <c r="G69" s="115">
        <v>0.01</v>
      </c>
      <c r="H69" s="115">
        <v>0.05</v>
      </c>
      <c r="I69" s="115">
        <v>0.42</v>
      </c>
      <c r="J69" s="115">
        <v>0.15</v>
      </c>
      <c r="K69" s="115">
        <v>7.0000000000000007E-2</v>
      </c>
      <c r="L69" s="115">
        <v>0.24</v>
      </c>
      <c r="M69" s="115" t="str">
        <f>VLOOKUP(A69,Product_Mapping!$B:$D,3,FALSE)</f>
        <v>Plastics</v>
      </c>
      <c r="O69" s="147"/>
      <c r="P69" s="147"/>
    </row>
    <row r="70" spans="1:16" x14ac:dyDescent="0.3">
      <c r="A70" s="116">
        <v>3916</v>
      </c>
      <c r="B70" s="114" t="s">
        <v>71</v>
      </c>
      <c r="C70" s="115">
        <v>0.32</v>
      </c>
      <c r="D70" s="115">
        <v>0.02</v>
      </c>
      <c r="E70" s="115">
        <v>0.02</v>
      </c>
      <c r="F70" s="115">
        <v>0.01</v>
      </c>
      <c r="G70" s="115">
        <v>0.01</v>
      </c>
      <c r="H70" s="115">
        <v>0.01</v>
      </c>
      <c r="I70" s="115">
        <v>0.01</v>
      </c>
      <c r="J70" s="115">
        <v>0.83</v>
      </c>
      <c r="K70" s="115">
        <v>0.52</v>
      </c>
      <c r="L70" s="115">
        <v>0.13</v>
      </c>
      <c r="M70" s="115" t="str">
        <f>VLOOKUP(A70,Product_Mapping!$B:$D,3,FALSE)</f>
        <v>Plastics</v>
      </c>
      <c r="O70" s="147"/>
      <c r="P70" s="147"/>
    </row>
    <row r="71" spans="1:16" x14ac:dyDescent="0.3">
      <c r="A71" s="116">
        <v>3901</v>
      </c>
      <c r="B71" s="114" t="s">
        <v>55</v>
      </c>
      <c r="C71" s="115">
        <v>0.02</v>
      </c>
      <c r="D71" s="115">
        <v>0.22</v>
      </c>
      <c r="E71" s="115">
        <v>0.2</v>
      </c>
      <c r="F71" s="115">
        <v>0.53</v>
      </c>
      <c r="G71" s="115">
        <v>0.03</v>
      </c>
      <c r="H71" s="115">
        <v>0</v>
      </c>
      <c r="I71" s="115">
        <v>0.18</v>
      </c>
      <c r="J71" s="115">
        <v>0.22</v>
      </c>
      <c r="K71" s="115">
        <v>0</v>
      </c>
      <c r="L71" s="115">
        <v>0.08</v>
      </c>
      <c r="M71" s="115" t="str">
        <f>VLOOKUP(A71,Product_Mapping!$B:$D,3,FALSE)</f>
        <v>Plastics</v>
      </c>
      <c r="O71" s="147"/>
      <c r="P71" s="147"/>
    </row>
    <row r="72" spans="1:16" x14ac:dyDescent="0.3">
      <c r="A72" s="116">
        <v>3918</v>
      </c>
      <c r="B72" s="114" t="s">
        <v>75</v>
      </c>
      <c r="C72" s="115">
        <v>0.1</v>
      </c>
      <c r="D72" s="115">
        <v>0.14000000000000001</v>
      </c>
      <c r="E72" s="115">
        <v>0.04</v>
      </c>
      <c r="F72" s="115">
        <v>0.21</v>
      </c>
      <c r="G72" s="115">
        <v>0.05</v>
      </c>
      <c r="H72" s="115">
        <v>0</v>
      </c>
      <c r="I72" s="115" t="s">
        <v>48</v>
      </c>
      <c r="J72" s="115">
        <v>0</v>
      </c>
      <c r="K72" s="115">
        <v>0</v>
      </c>
      <c r="L72" s="115">
        <v>0.01</v>
      </c>
      <c r="M72" s="115" t="str">
        <f>VLOOKUP(A72,Product_Mapping!$B:$D,3,FALSE)</f>
        <v>Plastics</v>
      </c>
      <c r="O72" s="147"/>
      <c r="P72" s="147"/>
    </row>
    <row r="73" spans="1:16" x14ac:dyDescent="0.3">
      <c r="A73" s="116">
        <v>3922</v>
      </c>
      <c r="B73" s="114" t="s">
        <v>74</v>
      </c>
      <c r="C73" s="115" t="s">
        <v>48</v>
      </c>
      <c r="D73" s="115" t="s">
        <v>48</v>
      </c>
      <c r="E73" s="115">
        <v>0</v>
      </c>
      <c r="F73" s="115">
        <v>0</v>
      </c>
      <c r="G73" s="115" t="s">
        <v>48</v>
      </c>
      <c r="H73" s="115" t="s">
        <v>48</v>
      </c>
      <c r="I73" s="115" t="s">
        <v>48</v>
      </c>
      <c r="J73" s="115" t="s">
        <v>48</v>
      </c>
      <c r="K73" s="115">
        <v>0</v>
      </c>
      <c r="L73" s="115">
        <v>0</v>
      </c>
      <c r="M73" s="115" t="str">
        <f>VLOOKUP(A73,Product_Mapping!$B:$D,3,FALSE)</f>
        <v>Plastics</v>
      </c>
      <c r="O73" s="147"/>
      <c r="P73" s="147"/>
    </row>
    <row r="74" spans="1:16" x14ac:dyDescent="0.3">
      <c r="A74" s="116">
        <v>3925</v>
      </c>
      <c r="B74" s="114" t="s">
        <v>73</v>
      </c>
      <c r="C74" s="115">
        <v>0.01</v>
      </c>
      <c r="D74" s="115">
        <v>0.18</v>
      </c>
      <c r="E74" s="115">
        <v>0.19</v>
      </c>
      <c r="F74" s="115">
        <v>0.09</v>
      </c>
      <c r="G74" s="115" t="s">
        <v>48</v>
      </c>
      <c r="H74" s="115" t="s">
        <v>48</v>
      </c>
      <c r="I74" s="115">
        <v>0</v>
      </c>
      <c r="J74" s="115">
        <v>0.03</v>
      </c>
      <c r="K74" s="115">
        <v>0</v>
      </c>
      <c r="L74" s="115">
        <v>0</v>
      </c>
      <c r="M74" s="115" t="str">
        <f>VLOOKUP(A74,Product_Mapping!$B:$D,3,FALSE)</f>
        <v>Plastics</v>
      </c>
      <c r="O74" s="147"/>
      <c r="P74" s="147"/>
    </row>
    <row r="75" spans="1:16" x14ac:dyDescent="0.3">
      <c r="A75" s="116">
        <v>3915</v>
      </c>
      <c r="B75" s="114" t="s">
        <v>76</v>
      </c>
      <c r="C75" s="115" t="s">
        <v>48</v>
      </c>
      <c r="D75" s="115">
        <v>0.01</v>
      </c>
      <c r="E75" s="115">
        <v>0</v>
      </c>
      <c r="F75" s="115" t="s">
        <v>48</v>
      </c>
      <c r="G75" s="115">
        <v>0</v>
      </c>
      <c r="H75" s="115">
        <v>0.03</v>
      </c>
      <c r="I75" s="115">
        <v>0</v>
      </c>
      <c r="J75" s="115">
        <v>0</v>
      </c>
      <c r="K75" s="115">
        <v>0</v>
      </c>
      <c r="L75" s="115">
        <v>0</v>
      </c>
      <c r="M75" s="115" t="str">
        <f>VLOOKUP(A75,Product_Mapping!$B:$D,3,FALSE)</f>
        <v>Plastics</v>
      </c>
      <c r="O75" s="147"/>
      <c r="P75" s="147"/>
    </row>
    <row r="76" spans="1:16" x14ac:dyDescent="0.3">
      <c r="A76" s="116">
        <v>6802</v>
      </c>
      <c r="B76" s="114" t="s">
        <v>77</v>
      </c>
      <c r="C76" s="115">
        <v>7.53</v>
      </c>
      <c r="D76" s="115">
        <v>5.25</v>
      </c>
      <c r="E76" s="115">
        <v>4.6100000000000003</v>
      </c>
      <c r="F76" s="115">
        <v>4.17</v>
      </c>
      <c r="G76" s="115">
        <v>2.99</v>
      </c>
      <c r="H76" s="115">
        <v>3.43</v>
      </c>
      <c r="I76" s="115">
        <v>3.68</v>
      </c>
      <c r="J76" s="115">
        <v>3.65</v>
      </c>
      <c r="K76" s="115">
        <v>3.26</v>
      </c>
      <c r="L76" s="115">
        <v>2.93</v>
      </c>
      <c r="M76" s="115" t="str">
        <f>VLOOKUP(A76,Product_Mapping!$B:$D,3,FALSE)</f>
        <v>Decorative Materials</v>
      </c>
      <c r="O76" s="147"/>
      <c r="P76" s="147"/>
    </row>
    <row r="77" spans="1:16" x14ac:dyDescent="0.3">
      <c r="A77" s="116">
        <v>6814</v>
      </c>
      <c r="B77" s="114" t="s">
        <v>78</v>
      </c>
      <c r="C77" s="115">
        <v>1.58</v>
      </c>
      <c r="D77" s="115">
        <v>1.32</v>
      </c>
      <c r="E77" s="115">
        <v>1.24</v>
      </c>
      <c r="F77" s="115">
        <v>1.38</v>
      </c>
      <c r="G77" s="115">
        <v>1.37</v>
      </c>
      <c r="H77" s="115">
        <v>1.66</v>
      </c>
      <c r="I77" s="115">
        <v>1.54</v>
      </c>
      <c r="J77" s="115">
        <v>1.3</v>
      </c>
      <c r="K77" s="115">
        <v>1.33</v>
      </c>
      <c r="L77" s="115">
        <v>1.36</v>
      </c>
      <c r="M77" s="115" t="str">
        <f>VLOOKUP(A77,Product_Mapping!$B:$D,3,FALSE)</f>
        <v>Decorative Materials</v>
      </c>
      <c r="O77" s="147"/>
      <c r="P77" s="147"/>
    </row>
    <row r="78" spans="1:16" x14ac:dyDescent="0.3">
      <c r="A78" s="116">
        <v>6806</v>
      </c>
      <c r="B78" s="114" t="s">
        <v>79</v>
      </c>
      <c r="C78" s="115">
        <v>0.02</v>
      </c>
      <c r="D78" s="115">
        <v>0.04</v>
      </c>
      <c r="E78" s="115">
        <v>0.12</v>
      </c>
      <c r="F78" s="115">
        <v>1.22</v>
      </c>
      <c r="G78" s="115">
        <v>0.75</v>
      </c>
      <c r="H78" s="115">
        <v>1.1399999999999999</v>
      </c>
      <c r="I78" s="115">
        <v>1.39</v>
      </c>
      <c r="J78" s="115">
        <v>1.64</v>
      </c>
      <c r="K78" s="115">
        <v>1.7</v>
      </c>
      <c r="L78" s="115">
        <v>1.31</v>
      </c>
      <c r="M78" s="115" t="str">
        <f>VLOOKUP(A78,Product_Mapping!$B:$D,3,FALSE)</f>
        <v>Decorative Materials</v>
      </c>
      <c r="O78" s="147"/>
      <c r="P78" s="147"/>
    </row>
    <row r="79" spans="1:16" x14ac:dyDescent="0.3">
      <c r="A79" s="116">
        <v>6815</v>
      </c>
      <c r="B79" s="114" t="s">
        <v>80</v>
      </c>
      <c r="C79" s="115">
        <v>0.78</v>
      </c>
      <c r="D79" s="115">
        <v>0.7</v>
      </c>
      <c r="E79" s="115">
        <v>0.88</v>
      </c>
      <c r="F79" s="115">
        <v>0.76</v>
      </c>
      <c r="G79" s="115">
        <v>3.32</v>
      </c>
      <c r="H79" s="115">
        <v>2.78</v>
      </c>
      <c r="I79" s="115">
        <v>7.97</v>
      </c>
      <c r="J79" s="115">
        <v>1.53</v>
      </c>
      <c r="K79" s="115">
        <v>1.32</v>
      </c>
      <c r="L79" s="115">
        <v>0.82</v>
      </c>
      <c r="M79" s="115" t="str">
        <f>VLOOKUP(A79,Product_Mapping!$B:$D,3,FALSE)</f>
        <v>Decorative Materials</v>
      </c>
      <c r="O79" s="147"/>
      <c r="P79" s="147"/>
    </row>
    <row r="80" spans="1:16" x14ac:dyDescent="0.3">
      <c r="A80" s="116">
        <v>6813</v>
      </c>
      <c r="B80" s="114" t="s">
        <v>81</v>
      </c>
      <c r="C80" s="115">
        <v>0.28999999999999998</v>
      </c>
      <c r="D80" s="115">
        <v>0.25</v>
      </c>
      <c r="E80" s="115">
        <v>0.22</v>
      </c>
      <c r="F80" s="115">
        <v>0.25</v>
      </c>
      <c r="G80" s="115">
        <v>0.31</v>
      </c>
      <c r="H80" s="115">
        <v>0.96</v>
      </c>
      <c r="I80" s="115">
        <v>1</v>
      </c>
      <c r="J80" s="115">
        <v>0.76</v>
      </c>
      <c r="K80" s="115">
        <v>0.61</v>
      </c>
      <c r="L80" s="115">
        <v>0.73</v>
      </c>
      <c r="M80" s="115" t="str">
        <f>VLOOKUP(A80,Product_Mapping!$B:$D,3,FALSE)</f>
        <v>Decorative Materials</v>
      </c>
      <c r="O80" s="147"/>
      <c r="P80" s="147"/>
    </row>
    <row r="81" spans="1:16" x14ac:dyDescent="0.3">
      <c r="A81" s="116">
        <v>6804</v>
      </c>
      <c r="B81" s="114" t="s">
        <v>82</v>
      </c>
      <c r="C81" s="115">
        <v>0.45</v>
      </c>
      <c r="D81" s="115">
        <v>0.43</v>
      </c>
      <c r="E81" s="115">
        <v>0.48</v>
      </c>
      <c r="F81" s="115">
        <v>0.53</v>
      </c>
      <c r="G81" s="115">
        <v>0.37</v>
      </c>
      <c r="H81" s="115">
        <v>0.47</v>
      </c>
      <c r="I81" s="115">
        <v>0.43</v>
      </c>
      <c r="J81" s="115">
        <v>0.49</v>
      </c>
      <c r="K81" s="115">
        <v>0.37</v>
      </c>
      <c r="L81" s="115">
        <v>0.39</v>
      </c>
      <c r="M81" s="115" t="str">
        <f>VLOOKUP(A81,Product_Mapping!$B:$D,3,FALSE)</f>
        <v>Decorative Materials</v>
      </c>
      <c r="O81" s="147"/>
      <c r="P81" s="147"/>
    </row>
    <row r="82" spans="1:16" x14ac:dyDescent="0.3">
      <c r="A82" s="116">
        <v>6803</v>
      </c>
      <c r="B82" s="114" t="s">
        <v>83</v>
      </c>
      <c r="C82" s="115">
        <v>0.1</v>
      </c>
      <c r="D82" s="115">
        <v>0.14000000000000001</v>
      </c>
      <c r="E82" s="115">
        <v>0.31</v>
      </c>
      <c r="F82" s="115">
        <v>0.6</v>
      </c>
      <c r="G82" s="115">
        <v>0.43</v>
      </c>
      <c r="H82" s="115">
        <v>0.43</v>
      </c>
      <c r="I82" s="115">
        <v>0.35</v>
      </c>
      <c r="J82" s="115">
        <v>0.42</v>
      </c>
      <c r="K82" s="115">
        <v>0.32</v>
      </c>
      <c r="L82" s="115">
        <v>0.28999999999999998</v>
      </c>
      <c r="M82" s="115" t="str">
        <f>VLOOKUP(A82,Product_Mapping!$B:$D,3,FALSE)</f>
        <v>Decorative Materials</v>
      </c>
      <c r="O82" s="147"/>
      <c r="P82" s="147"/>
    </row>
    <row r="83" spans="1:16" x14ac:dyDescent="0.3">
      <c r="A83" s="116">
        <v>6801</v>
      </c>
      <c r="B83" s="114" t="s">
        <v>84</v>
      </c>
      <c r="C83" s="115">
        <v>0.01</v>
      </c>
      <c r="D83" s="115">
        <v>0.01</v>
      </c>
      <c r="E83" s="115">
        <v>0.13</v>
      </c>
      <c r="F83" s="115">
        <v>0.09</v>
      </c>
      <c r="G83" s="115">
        <v>0.12</v>
      </c>
      <c r="H83" s="115">
        <v>0.24</v>
      </c>
      <c r="I83" s="115">
        <v>0.22</v>
      </c>
      <c r="J83" s="115">
        <v>0.22</v>
      </c>
      <c r="K83" s="115">
        <v>0.24</v>
      </c>
      <c r="L83" s="115">
        <v>0.19</v>
      </c>
      <c r="M83" s="115" t="e">
        <f>VLOOKUP(A83,Product_Mapping!$B:$D,3,FALSE)</f>
        <v>#N/A</v>
      </c>
      <c r="O83" s="147"/>
      <c r="P83" s="147"/>
    </row>
    <row r="84" spans="1:16" x14ac:dyDescent="0.3">
      <c r="A84" s="116">
        <v>6805</v>
      </c>
      <c r="B84" s="114" t="s">
        <v>85</v>
      </c>
      <c r="C84" s="115" t="s">
        <v>48</v>
      </c>
      <c r="D84" s="115" t="s">
        <v>48</v>
      </c>
      <c r="E84" s="115">
        <v>0.11</v>
      </c>
      <c r="F84" s="115">
        <v>0.04</v>
      </c>
      <c r="G84" s="115">
        <v>0.01</v>
      </c>
      <c r="H84" s="115">
        <v>0</v>
      </c>
      <c r="I84" s="115">
        <v>0</v>
      </c>
      <c r="J84" s="115" t="s">
        <v>48</v>
      </c>
      <c r="K84" s="115">
        <v>0.01</v>
      </c>
      <c r="L84" s="115">
        <v>0.01</v>
      </c>
      <c r="M84" s="115" t="str">
        <f>VLOOKUP(A84,Product_Mapping!$B:$D,3,FALSE)</f>
        <v>Decorative Materials</v>
      </c>
      <c r="O84" s="147"/>
      <c r="P84" s="147"/>
    </row>
    <row r="85" spans="1:16" x14ac:dyDescent="0.3">
      <c r="A85" s="116">
        <v>6808</v>
      </c>
      <c r="B85" s="114" t="s">
        <v>86</v>
      </c>
      <c r="C85" s="115">
        <v>0</v>
      </c>
      <c r="D85" s="115">
        <v>0</v>
      </c>
      <c r="E85" s="115">
        <v>0</v>
      </c>
      <c r="F85" s="115">
        <v>0.06</v>
      </c>
      <c r="G85" s="115">
        <v>0.03</v>
      </c>
      <c r="H85" s="115">
        <v>0.06</v>
      </c>
      <c r="I85" s="115">
        <v>0.05</v>
      </c>
      <c r="J85" s="115">
        <v>0</v>
      </c>
      <c r="K85" s="115">
        <v>0</v>
      </c>
      <c r="L85" s="115">
        <v>0</v>
      </c>
      <c r="M85" s="115" t="str">
        <f>VLOOKUP(A85,Product_Mapping!$B:$D,3,FALSE)</f>
        <v>Decorative Materials</v>
      </c>
      <c r="O85" s="147"/>
      <c r="P85" s="147"/>
    </row>
    <row r="86" spans="1:16" x14ac:dyDescent="0.3">
      <c r="A86" s="116">
        <v>6809</v>
      </c>
      <c r="B86" s="114" t="s">
        <v>87</v>
      </c>
      <c r="C86" s="115">
        <v>0</v>
      </c>
      <c r="D86" s="115">
        <v>0</v>
      </c>
      <c r="E86" s="115">
        <v>0</v>
      </c>
      <c r="F86" s="115">
        <v>0</v>
      </c>
      <c r="G86" s="115">
        <v>0</v>
      </c>
      <c r="H86" s="115">
        <v>0</v>
      </c>
      <c r="I86" s="115">
        <v>0</v>
      </c>
      <c r="J86" s="115">
        <v>0</v>
      </c>
      <c r="K86" s="115">
        <v>0</v>
      </c>
      <c r="L86" s="115">
        <v>0</v>
      </c>
      <c r="M86" s="115" t="str">
        <f>VLOOKUP(A86,Product_Mapping!$B:$D,3,FALSE)</f>
        <v>Decorative Materials</v>
      </c>
      <c r="O86" s="147"/>
      <c r="P86" s="147"/>
    </row>
    <row r="87" spans="1:16" x14ac:dyDescent="0.3">
      <c r="A87" s="116">
        <v>6807</v>
      </c>
      <c r="B87" s="114" t="s">
        <v>88</v>
      </c>
      <c r="C87" s="115">
        <v>0</v>
      </c>
      <c r="D87" s="115">
        <v>0</v>
      </c>
      <c r="E87" s="115">
        <v>0</v>
      </c>
      <c r="F87" s="115">
        <v>0</v>
      </c>
      <c r="G87" s="115">
        <v>0</v>
      </c>
      <c r="H87" s="115">
        <v>0</v>
      </c>
      <c r="I87" s="115">
        <v>0</v>
      </c>
      <c r="J87" s="115" t="s">
        <v>48</v>
      </c>
      <c r="K87" s="115">
        <v>0</v>
      </c>
      <c r="L87" s="115">
        <v>0</v>
      </c>
      <c r="M87" s="115" t="str">
        <f>VLOOKUP(A87,Product_Mapping!$B:$D,3,FALSE)</f>
        <v>Decorative Materials</v>
      </c>
      <c r="O87" s="147"/>
      <c r="P87" s="147"/>
    </row>
    <row r="88" spans="1:16" x14ac:dyDescent="0.3">
      <c r="A88" s="116">
        <v>6810</v>
      </c>
      <c r="B88" s="114" t="s">
        <v>89</v>
      </c>
      <c r="C88" s="115">
        <v>0.01</v>
      </c>
      <c r="D88" s="115" t="s">
        <v>48</v>
      </c>
      <c r="E88" s="115">
        <v>0</v>
      </c>
      <c r="F88" s="115">
        <v>0.01</v>
      </c>
      <c r="G88" s="115">
        <v>0.02</v>
      </c>
      <c r="H88" s="115">
        <v>0.04</v>
      </c>
      <c r="I88" s="115">
        <v>0.04</v>
      </c>
      <c r="J88" s="115">
        <v>0.01</v>
      </c>
      <c r="K88" s="115">
        <v>0.02</v>
      </c>
      <c r="L88" s="115">
        <v>0</v>
      </c>
      <c r="M88" s="115" t="str">
        <f>VLOOKUP(A88,Product_Mapping!$B:$D,3,FALSE)</f>
        <v>Decorative Materials</v>
      </c>
      <c r="O88" s="147"/>
      <c r="P88" s="147"/>
    </row>
    <row r="89" spans="1:16" x14ac:dyDescent="0.3">
      <c r="A89" s="116">
        <v>6811</v>
      </c>
      <c r="B89" s="114" t="s">
        <v>90</v>
      </c>
      <c r="C89" s="115">
        <v>0</v>
      </c>
      <c r="D89" s="115" t="s">
        <v>48</v>
      </c>
      <c r="E89" s="115">
        <v>0</v>
      </c>
      <c r="F89" s="115">
        <v>0</v>
      </c>
      <c r="G89" s="115" t="s">
        <v>48</v>
      </c>
      <c r="H89" s="115">
        <v>0</v>
      </c>
      <c r="I89" s="115">
        <v>0</v>
      </c>
      <c r="J89" s="115">
        <v>0</v>
      </c>
      <c r="K89" s="115">
        <v>0</v>
      </c>
      <c r="L89" s="115">
        <v>0</v>
      </c>
      <c r="M89" s="115" t="str">
        <f>VLOOKUP(A89,Product_Mapping!$B:$D,3,FALSE)</f>
        <v>Decorative Materials</v>
      </c>
      <c r="O89" s="147"/>
      <c r="P89" s="147"/>
    </row>
    <row r="90" spans="1:16" x14ac:dyDescent="0.3">
      <c r="A90" s="116">
        <v>6812</v>
      </c>
      <c r="B90" s="114" t="s">
        <v>91</v>
      </c>
      <c r="C90" s="115">
        <v>0</v>
      </c>
      <c r="D90" s="115" t="s">
        <v>48</v>
      </c>
      <c r="E90" s="115" t="s">
        <v>48</v>
      </c>
      <c r="F90" s="115" t="s">
        <v>48</v>
      </c>
      <c r="G90" s="115">
        <v>0</v>
      </c>
      <c r="H90" s="115" t="s">
        <v>48</v>
      </c>
      <c r="I90" s="115" t="s">
        <v>48</v>
      </c>
      <c r="J90" s="115">
        <v>0</v>
      </c>
      <c r="K90" s="115">
        <v>0</v>
      </c>
      <c r="L90" s="115">
        <v>0</v>
      </c>
      <c r="M90" s="115" t="str">
        <f>VLOOKUP(A90,Product_Mapping!$B:$D,3,FALSE)</f>
        <v>Decorative Materials</v>
      </c>
      <c r="O90" s="147"/>
      <c r="P90" s="147"/>
    </row>
    <row r="91" spans="1:16" x14ac:dyDescent="0.3">
      <c r="A91" s="116">
        <v>6910</v>
      </c>
      <c r="B91" s="114" t="s">
        <v>96</v>
      </c>
      <c r="C91" s="115">
        <v>0.02</v>
      </c>
      <c r="D91" s="115">
        <v>5.39</v>
      </c>
      <c r="E91" s="115">
        <v>8.18</v>
      </c>
      <c r="F91" s="115">
        <v>13.63</v>
      </c>
      <c r="G91" s="115">
        <v>6.42</v>
      </c>
      <c r="H91" s="115">
        <v>6.17</v>
      </c>
      <c r="I91" s="115">
        <v>9.0500000000000007</v>
      </c>
      <c r="J91" s="115">
        <v>8.19</v>
      </c>
      <c r="K91" s="115">
        <v>4.01</v>
      </c>
      <c r="L91" s="115">
        <v>9.58</v>
      </c>
      <c r="M91" s="115" t="str">
        <f>VLOOKUP(A91,Product_Mapping!$B:$D,3,FALSE)</f>
        <v>Sanitary</v>
      </c>
      <c r="O91" s="147"/>
      <c r="P91" s="147"/>
    </row>
    <row r="92" spans="1:16" x14ac:dyDescent="0.3">
      <c r="A92" s="116">
        <v>6902</v>
      </c>
      <c r="B92" s="114" t="s">
        <v>94</v>
      </c>
      <c r="C92" s="115">
        <v>0.32</v>
      </c>
      <c r="D92" s="115">
        <v>1.06</v>
      </c>
      <c r="E92" s="115">
        <v>4.0999999999999996</v>
      </c>
      <c r="F92" s="115">
        <v>4.42</v>
      </c>
      <c r="G92" s="115">
        <v>2.31</v>
      </c>
      <c r="H92" s="115">
        <v>5.47</v>
      </c>
      <c r="I92" s="115">
        <v>2.63</v>
      </c>
      <c r="J92" s="115">
        <v>3.51</v>
      </c>
      <c r="K92" s="115">
        <v>4.82</v>
      </c>
      <c r="L92" s="115">
        <v>4.03</v>
      </c>
      <c r="M92" s="115" t="str">
        <f>VLOOKUP(A92,Product_Mapping!$B:$D,3,FALSE)</f>
        <v>Sanitary</v>
      </c>
      <c r="O92" s="147"/>
      <c r="P92" s="147"/>
    </row>
    <row r="93" spans="1:16" x14ac:dyDescent="0.3">
      <c r="A93" s="116">
        <v>6907</v>
      </c>
      <c r="B93" s="114" t="s">
        <v>99</v>
      </c>
      <c r="C93" s="115">
        <v>0</v>
      </c>
      <c r="D93" s="115">
        <v>0</v>
      </c>
      <c r="E93" s="115">
        <v>0.01</v>
      </c>
      <c r="F93" s="115">
        <v>0.02</v>
      </c>
      <c r="G93" s="115">
        <v>0.1</v>
      </c>
      <c r="H93" s="115">
        <v>0.19</v>
      </c>
      <c r="I93" s="115">
        <v>0.16</v>
      </c>
      <c r="J93" s="115">
        <v>0.26</v>
      </c>
      <c r="K93" s="115">
        <v>0.31</v>
      </c>
      <c r="L93" s="115">
        <v>0.47</v>
      </c>
      <c r="M93" s="115" t="str">
        <f>VLOOKUP(A93,Product_Mapping!$B:$D,3,FALSE)</f>
        <v>Sanitary</v>
      </c>
      <c r="O93" s="147"/>
      <c r="P93" s="147"/>
    </row>
    <row r="94" spans="1:16" x14ac:dyDescent="0.3">
      <c r="A94" s="116">
        <v>6903</v>
      </c>
      <c r="B94" s="114" t="s">
        <v>93</v>
      </c>
      <c r="C94" s="115">
        <v>0.16</v>
      </c>
      <c r="D94" s="115">
        <v>0.16</v>
      </c>
      <c r="E94" s="115">
        <v>0.16</v>
      </c>
      <c r="F94" s="115">
        <v>0.22</v>
      </c>
      <c r="G94" s="115">
        <v>0.16</v>
      </c>
      <c r="H94" s="115">
        <v>0.62</v>
      </c>
      <c r="I94" s="115">
        <v>0.69</v>
      </c>
      <c r="J94" s="115">
        <v>0.97</v>
      </c>
      <c r="K94" s="115">
        <v>0.26</v>
      </c>
      <c r="L94" s="115">
        <v>0.4</v>
      </c>
      <c r="M94" s="115" t="str">
        <f>VLOOKUP(A94,Product_Mapping!$B:$D,3,FALSE)</f>
        <v>Sanitary</v>
      </c>
      <c r="O94" s="147"/>
      <c r="P94" s="147"/>
    </row>
    <row r="95" spans="1:16" x14ac:dyDescent="0.3">
      <c r="A95" s="116">
        <v>6912</v>
      </c>
      <c r="B95" s="114" t="s">
        <v>98</v>
      </c>
      <c r="C95" s="115">
        <v>0.02</v>
      </c>
      <c r="D95" s="115">
        <v>0.02</v>
      </c>
      <c r="E95" s="115">
        <v>0.08</v>
      </c>
      <c r="F95" s="115">
        <v>0.09</v>
      </c>
      <c r="G95" s="115">
        <v>0.1</v>
      </c>
      <c r="H95" s="115">
        <v>0.1</v>
      </c>
      <c r="I95" s="115">
        <v>0.08</v>
      </c>
      <c r="J95" s="115">
        <v>0.15</v>
      </c>
      <c r="K95" s="115">
        <v>0.11</v>
      </c>
      <c r="L95" s="115">
        <v>7.0000000000000007E-2</v>
      </c>
      <c r="M95" s="115" t="str">
        <f>VLOOKUP(A95,Product_Mapping!$B:$D,3,FALSE)</f>
        <v>Sanitary</v>
      </c>
      <c r="O95" s="147"/>
      <c r="P95" s="147"/>
    </row>
    <row r="96" spans="1:16" x14ac:dyDescent="0.3">
      <c r="A96" s="116">
        <v>6909</v>
      </c>
      <c r="B96" s="114" t="s">
        <v>92</v>
      </c>
      <c r="C96" s="115">
        <v>0.14000000000000001</v>
      </c>
      <c r="D96" s="115">
        <v>0.06</v>
      </c>
      <c r="E96" s="115">
        <v>0</v>
      </c>
      <c r="F96" s="115">
        <v>0.02</v>
      </c>
      <c r="G96" s="115">
        <v>0.01</v>
      </c>
      <c r="H96" s="115">
        <v>0.01</v>
      </c>
      <c r="I96" s="115">
        <v>0.05</v>
      </c>
      <c r="J96" s="115">
        <v>0.04</v>
      </c>
      <c r="K96" s="115">
        <v>0.04</v>
      </c>
      <c r="L96" s="115">
        <v>0.04</v>
      </c>
      <c r="M96" s="115" t="str">
        <f>VLOOKUP(A96,Product_Mapping!$B:$D,3,FALSE)</f>
        <v>Sanitary</v>
      </c>
      <c r="O96" s="147"/>
      <c r="P96" s="147"/>
    </row>
    <row r="97" spans="1:16" x14ac:dyDescent="0.3">
      <c r="A97" s="116">
        <v>6913</v>
      </c>
      <c r="B97" s="114" t="s">
        <v>103</v>
      </c>
      <c r="C97" s="115">
        <v>0.01</v>
      </c>
      <c r="D97" s="115">
        <v>0.02</v>
      </c>
      <c r="E97" s="115">
        <v>0.03</v>
      </c>
      <c r="F97" s="115">
        <v>0.01</v>
      </c>
      <c r="G97" s="115">
        <v>0.01</v>
      </c>
      <c r="H97" s="115">
        <v>0.03</v>
      </c>
      <c r="I97" s="115">
        <v>0.04</v>
      </c>
      <c r="J97" s="115">
        <v>0.03</v>
      </c>
      <c r="K97" s="115">
        <v>0.04</v>
      </c>
      <c r="L97" s="115">
        <v>0.03</v>
      </c>
      <c r="M97" s="115" t="str">
        <f>VLOOKUP(A97,Product_Mapping!$B:$D,3,FALSE)</f>
        <v>Sanitary</v>
      </c>
      <c r="O97" s="147"/>
      <c r="P97" s="147"/>
    </row>
    <row r="98" spans="1:16" x14ac:dyDescent="0.3">
      <c r="A98" s="116">
        <v>6914</v>
      </c>
      <c r="B98" s="114" t="s">
        <v>95</v>
      </c>
      <c r="C98" s="115">
        <v>0.1</v>
      </c>
      <c r="D98" s="115">
        <v>0.11</v>
      </c>
      <c r="E98" s="115">
        <v>0.11</v>
      </c>
      <c r="F98" s="115">
        <v>0.84</v>
      </c>
      <c r="G98" s="115">
        <v>0.09</v>
      </c>
      <c r="H98" s="115">
        <v>0.09</v>
      </c>
      <c r="I98" s="115">
        <v>0.05</v>
      </c>
      <c r="J98" s="115">
        <v>0.04</v>
      </c>
      <c r="K98" s="115">
        <v>0.03</v>
      </c>
      <c r="L98" s="115">
        <v>0.02</v>
      </c>
      <c r="M98" s="115" t="str">
        <f>VLOOKUP(A98,Product_Mapping!$B:$D,3,FALSE)</f>
        <v>Sanitary</v>
      </c>
      <c r="O98" s="147"/>
      <c r="P98" s="147"/>
    </row>
    <row r="99" spans="1:16" x14ac:dyDescent="0.3">
      <c r="A99" s="116">
        <v>6911</v>
      </c>
      <c r="B99" s="114" t="s">
        <v>97</v>
      </c>
      <c r="C99" s="115">
        <v>0</v>
      </c>
      <c r="D99" s="115">
        <v>0</v>
      </c>
      <c r="E99" s="115">
        <v>0.04</v>
      </c>
      <c r="F99" s="115">
        <v>0</v>
      </c>
      <c r="G99" s="115">
        <v>0</v>
      </c>
      <c r="H99" s="115">
        <v>0</v>
      </c>
      <c r="I99" s="115">
        <v>0</v>
      </c>
      <c r="J99" s="115">
        <v>0</v>
      </c>
      <c r="K99" s="115">
        <v>0.01</v>
      </c>
      <c r="L99" s="115">
        <v>0.01</v>
      </c>
      <c r="M99" s="115" t="str">
        <f>VLOOKUP(A99,Product_Mapping!$B:$D,3,FALSE)</f>
        <v>Sanitary</v>
      </c>
      <c r="O99" s="147"/>
      <c r="P99" s="147"/>
    </row>
    <row r="100" spans="1:16" x14ac:dyDescent="0.3">
      <c r="A100" s="116">
        <v>6901</v>
      </c>
      <c r="B100" s="114" t="s">
        <v>104</v>
      </c>
      <c r="C100" s="115">
        <v>0.01</v>
      </c>
      <c r="D100" s="115">
        <v>0.01</v>
      </c>
      <c r="E100" s="115">
        <v>0</v>
      </c>
      <c r="F100" s="115">
        <v>0.01</v>
      </c>
      <c r="G100" s="115">
        <v>0.01</v>
      </c>
      <c r="H100" s="115">
        <v>0.02</v>
      </c>
      <c r="I100" s="115">
        <v>0.02</v>
      </c>
      <c r="J100" s="115">
        <v>0</v>
      </c>
      <c r="K100" s="115">
        <v>0</v>
      </c>
      <c r="L100" s="115">
        <v>0</v>
      </c>
      <c r="M100" s="115" t="str">
        <f>VLOOKUP(A100,Product_Mapping!$B:$D,3,FALSE)</f>
        <v>Sanitary</v>
      </c>
      <c r="O100" s="147"/>
      <c r="P100" s="147"/>
    </row>
    <row r="101" spans="1:16" x14ac:dyDescent="0.3">
      <c r="A101" s="116">
        <v>6904</v>
      </c>
      <c r="B101" s="114" t="s">
        <v>102</v>
      </c>
      <c r="C101" s="115">
        <v>0</v>
      </c>
      <c r="D101" s="115">
        <v>0</v>
      </c>
      <c r="E101" s="115">
        <v>0</v>
      </c>
      <c r="F101" s="115">
        <v>0</v>
      </c>
      <c r="G101" s="115" t="s">
        <v>48</v>
      </c>
      <c r="H101" s="115">
        <v>0</v>
      </c>
      <c r="I101" s="115">
        <v>0</v>
      </c>
      <c r="J101" s="115">
        <v>0.03</v>
      </c>
      <c r="K101" s="115">
        <v>0.02</v>
      </c>
      <c r="L101" s="115">
        <v>0</v>
      </c>
      <c r="M101" s="115" t="str">
        <f>VLOOKUP(A101,Product_Mapping!$B:$D,3,FALSE)</f>
        <v>Sanitary</v>
      </c>
      <c r="O101" s="147"/>
      <c r="P101" s="147"/>
    </row>
    <row r="102" spans="1:16" x14ac:dyDescent="0.3">
      <c r="A102" s="116">
        <v>6905</v>
      </c>
      <c r="B102" s="114" t="s">
        <v>100</v>
      </c>
      <c r="C102" s="115">
        <v>0</v>
      </c>
      <c r="D102" s="115">
        <v>0</v>
      </c>
      <c r="E102" s="115">
        <v>0</v>
      </c>
      <c r="F102" s="115">
        <v>0</v>
      </c>
      <c r="G102" s="115">
        <v>0</v>
      </c>
      <c r="H102" s="115">
        <v>0</v>
      </c>
      <c r="I102" s="115">
        <v>0</v>
      </c>
      <c r="J102" s="115">
        <v>0</v>
      </c>
      <c r="K102" s="115">
        <v>0</v>
      </c>
      <c r="L102" s="115">
        <v>0</v>
      </c>
      <c r="M102" s="115" t="str">
        <f>VLOOKUP(A102,Product_Mapping!$B:$D,3,FALSE)</f>
        <v>Sanitary</v>
      </c>
      <c r="O102" s="147"/>
      <c r="P102" s="147"/>
    </row>
    <row r="103" spans="1:16" x14ac:dyDescent="0.3">
      <c r="A103" s="116">
        <v>6906</v>
      </c>
      <c r="B103" s="114" t="s">
        <v>101</v>
      </c>
      <c r="C103" s="115">
        <v>0</v>
      </c>
      <c r="D103" s="115">
        <v>0</v>
      </c>
      <c r="E103" s="115">
        <v>0</v>
      </c>
      <c r="F103" s="115" t="s">
        <v>48</v>
      </c>
      <c r="G103" s="115">
        <v>0</v>
      </c>
      <c r="H103" s="115">
        <v>0</v>
      </c>
      <c r="I103" s="115">
        <v>0</v>
      </c>
      <c r="J103" s="115">
        <v>0</v>
      </c>
      <c r="K103" s="115">
        <v>0</v>
      </c>
      <c r="L103" s="115">
        <v>0</v>
      </c>
      <c r="M103" s="115" t="str">
        <f>VLOOKUP(A103,Product_Mapping!$B:$D,3,FALSE)</f>
        <v>Sanitary</v>
      </c>
      <c r="O103" s="147"/>
      <c r="P103" s="147"/>
    </row>
    <row r="104" spans="1:16" x14ac:dyDescent="0.3">
      <c r="A104" s="116">
        <v>6908</v>
      </c>
      <c r="B104" s="114" t="s">
        <v>105</v>
      </c>
      <c r="C104" s="115" t="s">
        <v>48</v>
      </c>
      <c r="D104" s="115">
        <v>0</v>
      </c>
      <c r="E104" s="115">
        <v>0</v>
      </c>
      <c r="F104" s="115">
        <v>0</v>
      </c>
      <c r="G104" s="115">
        <v>0</v>
      </c>
      <c r="H104" s="115">
        <v>0</v>
      </c>
      <c r="I104" s="115">
        <v>0</v>
      </c>
      <c r="J104" s="115">
        <v>0</v>
      </c>
      <c r="K104" s="115">
        <v>0</v>
      </c>
      <c r="L104" s="115">
        <v>0</v>
      </c>
      <c r="M104" s="115" t="str">
        <f>VLOOKUP(A104,Product_Mapping!$B:$D,3,FALSE)</f>
        <v>Sanitary</v>
      </c>
      <c r="O104" s="147"/>
      <c r="P104" s="147"/>
    </row>
    <row r="105" spans="1:16" x14ac:dyDescent="0.3">
      <c r="A105" s="116">
        <v>7326</v>
      </c>
      <c r="B105" s="114" t="s">
        <v>106</v>
      </c>
      <c r="C105" s="115">
        <v>22.71</v>
      </c>
      <c r="D105" s="115">
        <v>20.25</v>
      </c>
      <c r="E105" s="115">
        <v>24.93</v>
      </c>
      <c r="F105" s="115">
        <v>23.61</v>
      </c>
      <c r="G105" s="115">
        <v>20.45</v>
      </c>
      <c r="H105" s="115">
        <v>32.5</v>
      </c>
      <c r="I105" s="115">
        <v>31.13</v>
      </c>
      <c r="J105" s="115">
        <v>41.31</v>
      </c>
      <c r="K105" s="115">
        <v>37.44</v>
      </c>
      <c r="L105" s="115">
        <v>44.98</v>
      </c>
      <c r="M105" s="115" t="str">
        <f>VLOOKUP(A105,Product_Mapping!$B:$D,3,FALSE)</f>
        <v>Hardware</v>
      </c>
      <c r="O105" s="147"/>
      <c r="P105" s="147"/>
    </row>
    <row r="106" spans="1:16" x14ac:dyDescent="0.3">
      <c r="A106" s="116">
        <v>7308</v>
      </c>
      <c r="B106" s="114" t="s">
        <v>107</v>
      </c>
      <c r="C106" s="115">
        <v>3.75</v>
      </c>
      <c r="D106" s="115">
        <v>4.82</v>
      </c>
      <c r="E106" s="115">
        <v>5.31</v>
      </c>
      <c r="F106" s="115">
        <v>4.7699999999999996</v>
      </c>
      <c r="G106" s="115">
        <v>2.79</v>
      </c>
      <c r="H106" s="115">
        <v>16.46</v>
      </c>
      <c r="I106" s="115">
        <v>12.35</v>
      </c>
      <c r="J106" s="115">
        <v>5.0599999999999996</v>
      </c>
      <c r="K106" s="115">
        <v>6.26</v>
      </c>
      <c r="L106" s="115">
        <v>7.32</v>
      </c>
      <c r="M106" s="115" t="str">
        <f>VLOOKUP(A106,Product_Mapping!$B:$D,3,FALSE)</f>
        <v>Hardware</v>
      </c>
      <c r="O106" s="147"/>
      <c r="P106" s="147"/>
    </row>
    <row r="107" spans="1:16" x14ac:dyDescent="0.3">
      <c r="A107" s="116">
        <v>7325</v>
      </c>
      <c r="B107" s="114" t="s">
        <v>108</v>
      </c>
      <c r="C107" s="115">
        <v>4.51</v>
      </c>
      <c r="D107" s="115">
        <v>4.5599999999999996</v>
      </c>
      <c r="E107" s="115">
        <v>3.92</v>
      </c>
      <c r="F107" s="115">
        <v>3.24</v>
      </c>
      <c r="G107" s="115">
        <v>4.22</v>
      </c>
      <c r="H107" s="115">
        <v>6.28</v>
      </c>
      <c r="I107" s="115">
        <v>5.07</v>
      </c>
      <c r="J107" s="115">
        <v>5.04</v>
      </c>
      <c r="K107" s="115">
        <v>5.7</v>
      </c>
      <c r="L107" s="115">
        <v>5.13</v>
      </c>
      <c r="M107" s="115" t="str">
        <f>VLOOKUP(A107,Product_Mapping!$B:$D,3,FALSE)</f>
        <v>Hardware</v>
      </c>
      <c r="O107" s="147"/>
      <c r="P107" s="147"/>
    </row>
    <row r="108" spans="1:16" x14ac:dyDescent="0.3">
      <c r="A108" s="116">
        <v>7323</v>
      </c>
      <c r="B108" s="114" t="s">
        <v>109</v>
      </c>
      <c r="C108" s="115">
        <v>3.85</v>
      </c>
      <c r="D108" s="115">
        <v>3.79</v>
      </c>
      <c r="E108" s="115">
        <v>3.59</v>
      </c>
      <c r="F108" s="115">
        <v>3.12</v>
      </c>
      <c r="G108" s="115">
        <v>3.5</v>
      </c>
      <c r="H108" s="115">
        <v>3.46</v>
      </c>
      <c r="I108" s="115">
        <v>3.12</v>
      </c>
      <c r="J108" s="115">
        <v>2.33</v>
      </c>
      <c r="K108" s="115">
        <v>2.62</v>
      </c>
      <c r="L108" s="115">
        <v>2.3199999999999998</v>
      </c>
      <c r="M108" s="115" t="str">
        <f>VLOOKUP(A108,Product_Mapping!$B:$D,3,FALSE)</f>
        <v>Hardware</v>
      </c>
      <c r="O108" s="147"/>
      <c r="P108" s="147"/>
    </row>
    <row r="109" spans="1:16" x14ac:dyDescent="0.3">
      <c r="A109" s="116">
        <v>7310</v>
      </c>
      <c r="B109" s="114" t="s">
        <v>110</v>
      </c>
      <c r="C109" s="115">
        <v>2.69</v>
      </c>
      <c r="D109" s="115">
        <v>3.63</v>
      </c>
      <c r="E109" s="115">
        <v>2.33</v>
      </c>
      <c r="F109" s="115">
        <v>2.08</v>
      </c>
      <c r="G109" s="115">
        <v>2.31</v>
      </c>
      <c r="H109" s="115">
        <v>1.99</v>
      </c>
      <c r="I109" s="115">
        <v>2.44</v>
      </c>
      <c r="J109" s="115">
        <v>6.51</v>
      </c>
      <c r="K109" s="115">
        <v>2.37</v>
      </c>
      <c r="L109" s="115">
        <v>2.14</v>
      </c>
      <c r="M109" s="115" t="str">
        <f>VLOOKUP(A109,Product_Mapping!$B:$D,3,FALSE)</f>
        <v>Hardware</v>
      </c>
      <c r="O109" s="147"/>
      <c r="P109" s="147"/>
    </row>
    <row r="110" spans="1:16" x14ac:dyDescent="0.3">
      <c r="A110" s="116">
        <v>7307</v>
      </c>
      <c r="B110" s="114" t="s">
        <v>111</v>
      </c>
      <c r="C110" s="115">
        <v>2.34</v>
      </c>
      <c r="D110" s="115">
        <v>2.2799999999999998</v>
      </c>
      <c r="E110" s="115">
        <v>2.48</v>
      </c>
      <c r="F110" s="115">
        <v>1.28</v>
      </c>
      <c r="G110" s="115">
        <v>0.82</v>
      </c>
      <c r="H110" s="115">
        <v>1.85</v>
      </c>
      <c r="I110" s="115">
        <v>1.38</v>
      </c>
      <c r="J110" s="115">
        <v>1.55</v>
      </c>
      <c r="K110" s="115">
        <v>1.1399999999999999</v>
      </c>
      <c r="L110" s="115">
        <v>2.08</v>
      </c>
      <c r="M110" s="115" t="str">
        <f>VLOOKUP(A110,Product_Mapping!$B:$D,3,FALSE)</f>
        <v>Hardware</v>
      </c>
      <c r="O110" s="147"/>
      <c r="P110" s="147"/>
    </row>
    <row r="111" spans="1:16" x14ac:dyDescent="0.3">
      <c r="A111" s="116">
        <v>7320</v>
      </c>
      <c r="B111" s="114" t="s">
        <v>112</v>
      </c>
      <c r="C111" s="115">
        <v>2.31</v>
      </c>
      <c r="D111" s="115">
        <v>2.2999999999999998</v>
      </c>
      <c r="E111" s="115">
        <v>2.64</v>
      </c>
      <c r="F111" s="115">
        <v>2.6</v>
      </c>
      <c r="G111" s="115">
        <v>1.63</v>
      </c>
      <c r="H111" s="115">
        <v>2.67</v>
      </c>
      <c r="I111" s="115">
        <v>2.4700000000000002</v>
      </c>
      <c r="J111" s="115">
        <v>2.23</v>
      </c>
      <c r="K111" s="115">
        <v>1.65</v>
      </c>
      <c r="L111" s="115">
        <v>1.83</v>
      </c>
      <c r="M111" s="115" t="str">
        <f>VLOOKUP(A111,Product_Mapping!$B:$D,3,FALSE)</f>
        <v>Hardware</v>
      </c>
      <c r="O111" s="147"/>
      <c r="P111" s="147"/>
    </row>
    <row r="112" spans="1:16" x14ac:dyDescent="0.3">
      <c r="A112" s="116">
        <v>7318</v>
      </c>
      <c r="B112" s="114" t="s">
        <v>113</v>
      </c>
      <c r="C112" s="115">
        <v>0.71</v>
      </c>
      <c r="D112" s="115">
        <v>1.4</v>
      </c>
      <c r="E112" s="115">
        <v>2.4700000000000002</v>
      </c>
      <c r="F112" s="115">
        <v>2.35</v>
      </c>
      <c r="G112" s="115">
        <v>1.07</v>
      </c>
      <c r="H112" s="115">
        <v>1.2</v>
      </c>
      <c r="I112" s="115">
        <v>1.88</v>
      </c>
      <c r="J112" s="115">
        <v>1.72</v>
      </c>
      <c r="K112" s="115">
        <v>1.0900000000000001</v>
      </c>
      <c r="L112" s="115">
        <v>1.22</v>
      </c>
      <c r="M112" s="115" t="str">
        <f>VLOOKUP(A112,Product_Mapping!$B:$D,3,FALSE)</f>
        <v>Hardware</v>
      </c>
      <c r="O112" s="147"/>
      <c r="P112" s="147"/>
    </row>
    <row r="113" spans="1:16" x14ac:dyDescent="0.3">
      <c r="A113" s="116">
        <v>7301</v>
      </c>
      <c r="B113" s="114" t="s">
        <v>114</v>
      </c>
      <c r="C113" s="115">
        <v>0</v>
      </c>
      <c r="D113" s="115">
        <v>0.02</v>
      </c>
      <c r="E113" s="115">
        <v>0</v>
      </c>
      <c r="F113" s="115">
        <v>0</v>
      </c>
      <c r="G113" s="115">
        <v>0.18</v>
      </c>
      <c r="H113" s="115">
        <v>0.05</v>
      </c>
      <c r="I113" s="115">
        <v>0.18</v>
      </c>
      <c r="J113" s="115">
        <v>0.06</v>
      </c>
      <c r="K113" s="115">
        <v>0.15</v>
      </c>
      <c r="L113" s="115">
        <v>0.69</v>
      </c>
      <c r="M113" s="115" t="str">
        <f>VLOOKUP(A113,Product_Mapping!$B:$D,3,FALSE)</f>
        <v>Hardware</v>
      </c>
      <c r="O113" s="147"/>
      <c r="P113" s="147"/>
    </row>
    <row r="114" spans="1:16" x14ac:dyDescent="0.3">
      <c r="A114" s="116">
        <v>7315</v>
      </c>
      <c r="B114" s="114" t="s">
        <v>115</v>
      </c>
      <c r="C114" s="115">
        <v>0.85</v>
      </c>
      <c r="D114" s="115">
        <v>0.28000000000000003</v>
      </c>
      <c r="E114" s="115">
        <v>0.38</v>
      </c>
      <c r="F114" s="115">
        <v>0.32</v>
      </c>
      <c r="G114" s="115">
        <v>0.39</v>
      </c>
      <c r="H114" s="115">
        <v>0.68</v>
      </c>
      <c r="I114" s="115">
        <v>0.75</v>
      </c>
      <c r="J114" s="115">
        <v>0.64</v>
      </c>
      <c r="K114" s="115">
        <v>0.71</v>
      </c>
      <c r="L114" s="115">
        <v>0.56000000000000005</v>
      </c>
      <c r="M114" s="115" t="str">
        <f>VLOOKUP(A114,Product_Mapping!$B:$D,3,FALSE)</f>
        <v>Hardware</v>
      </c>
      <c r="O114" s="147"/>
      <c r="P114" s="147"/>
    </row>
    <row r="115" spans="1:16" x14ac:dyDescent="0.3">
      <c r="A115" s="116">
        <v>7304</v>
      </c>
      <c r="B115" s="114" t="s">
        <v>116</v>
      </c>
      <c r="C115" s="115">
        <v>0.32</v>
      </c>
      <c r="D115" s="115">
        <v>1.51</v>
      </c>
      <c r="E115" s="115">
        <v>1.1599999999999999</v>
      </c>
      <c r="F115" s="115">
        <v>0.56000000000000005</v>
      </c>
      <c r="G115" s="115">
        <v>4.63</v>
      </c>
      <c r="H115" s="115">
        <v>1.29</v>
      </c>
      <c r="I115" s="115">
        <v>0.08</v>
      </c>
      <c r="J115" s="115">
        <v>0.41</v>
      </c>
      <c r="K115" s="115">
        <v>0.11</v>
      </c>
      <c r="L115" s="115">
        <v>0.39</v>
      </c>
      <c r="M115" s="115" t="str">
        <f>VLOOKUP(A115,Product_Mapping!$B:$D,3,FALSE)</f>
        <v>Hardware</v>
      </c>
      <c r="O115" s="147"/>
      <c r="P115" s="147"/>
    </row>
    <row r="116" spans="1:16" x14ac:dyDescent="0.3">
      <c r="A116" s="116">
        <v>7321</v>
      </c>
      <c r="B116" s="114" t="s">
        <v>117</v>
      </c>
      <c r="C116" s="115">
        <v>0.2</v>
      </c>
      <c r="D116" s="115">
        <v>0.21</v>
      </c>
      <c r="E116" s="115">
        <v>0.1</v>
      </c>
      <c r="F116" s="115">
        <v>0.14000000000000001</v>
      </c>
      <c r="G116" s="115">
        <v>0.17</v>
      </c>
      <c r="H116" s="115">
        <v>0.28999999999999998</v>
      </c>
      <c r="I116" s="115">
        <v>0.18</v>
      </c>
      <c r="J116" s="115">
        <v>0.13</v>
      </c>
      <c r="K116" s="115">
        <v>0.23</v>
      </c>
      <c r="L116" s="115">
        <v>0.35</v>
      </c>
      <c r="M116" s="115" t="str">
        <f>VLOOKUP(A116,Product_Mapping!$B:$D,3,FALSE)</f>
        <v>Hardware</v>
      </c>
      <c r="O116" s="147"/>
      <c r="P116" s="147"/>
    </row>
    <row r="117" spans="1:16" x14ac:dyDescent="0.3">
      <c r="A117" s="116">
        <v>7306</v>
      </c>
      <c r="B117" s="114" t="s">
        <v>118</v>
      </c>
      <c r="C117" s="115">
        <v>1</v>
      </c>
      <c r="D117" s="115">
        <v>1.65</v>
      </c>
      <c r="E117" s="115">
        <v>2.2999999999999998</v>
      </c>
      <c r="F117" s="115">
        <v>1.41</v>
      </c>
      <c r="G117" s="115">
        <v>1.1200000000000001</v>
      </c>
      <c r="H117" s="115">
        <v>1.28</v>
      </c>
      <c r="I117" s="115">
        <v>0.7</v>
      </c>
      <c r="J117" s="115">
        <v>0.32</v>
      </c>
      <c r="K117" s="115">
        <v>0.38</v>
      </c>
      <c r="L117" s="115">
        <v>0.28999999999999998</v>
      </c>
      <c r="M117" s="115" t="str">
        <f>VLOOKUP(A117,Product_Mapping!$B:$D,3,FALSE)</f>
        <v>Hardware</v>
      </c>
      <c r="O117" s="147"/>
      <c r="P117" s="147"/>
    </row>
    <row r="118" spans="1:16" x14ac:dyDescent="0.3">
      <c r="A118" s="116">
        <v>7319</v>
      </c>
      <c r="B118" s="114" t="s">
        <v>119</v>
      </c>
      <c r="C118" s="115">
        <v>0.04</v>
      </c>
      <c r="D118" s="115">
        <v>0.06</v>
      </c>
      <c r="E118" s="115">
        <v>0.05</v>
      </c>
      <c r="F118" s="115">
        <v>0.09</v>
      </c>
      <c r="G118" s="115">
        <v>0.14000000000000001</v>
      </c>
      <c r="H118" s="115">
        <v>0.23</v>
      </c>
      <c r="I118" s="115">
        <v>0.16</v>
      </c>
      <c r="J118" s="115">
        <v>0.1</v>
      </c>
      <c r="K118" s="115">
        <v>0.15</v>
      </c>
      <c r="L118" s="115">
        <v>0.23</v>
      </c>
      <c r="M118" s="115" t="str">
        <f>VLOOKUP(A118,Product_Mapping!$B:$D,3,FALSE)</f>
        <v>Hardware</v>
      </c>
      <c r="O118" s="147"/>
      <c r="P118" s="147"/>
    </row>
    <row r="119" spans="1:16" x14ac:dyDescent="0.3">
      <c r="A119" s="116">
        <v>7309</v>
      </c>
      <c r="B119" s="114" t="s">
        <v>120</v>
      </c>
      <c r="C119" s="115">
        <v>0.28999999999999998</v>
      </c>
      <c r="D119" s="115">
        <v>0.08</v>
      </c>
      <c r="E119" s="115">
        <v>0.01</v>
      </c>
      <c r="F119" s="115">
        <v>0.08</v>
      </c>
      <c r="G119" s="115">
        <v>0.01</v>
      </c>
      <c r="H119" s="115">
        <v>0.03</v>
      </c>
      <c r="I119" s="115">
        <v>0</v>
      </c>
      <c r="J119" s="115">
        <v>0.01</v>
      </c>
      <c r="K119" s="115">
        <v>0</v>
      </c>
      <c r="L119" s="115">
        <v>0.22</v>
      </c>
      <c r="M119" s="115" t="str">
        <f>VLOOKUP(A119,Product_Mapping!$B:$D,3,FALSE)</f>
        <v>Hardware</v>
      </c>
      <c r="O119" s="147"/>
      <c r="P119" s="147"/>
    </row>
    <row r="120" spans="1:16" x14ac:dyDescent="0.3">
      <c r="A120" s="116">
        <v>7302</v>
      </c>
      <c r="B120" s="114" t="s">
        <v>121</v>
      </c>
      <c r="C120" s="115">
        <v>0</v>
      </c>
      <c r="D120" s="115">
        <v>0</v>
      </c>
      <c r="E120" s="115" t="s">
        <v>48</v>
      </c>
      <c r="F120" s="115" t="s">
        <v>48</v>
      </c>
      <c r="G120" s="115" t="s">
        <v>48</v>
      </c>
      <c r="H120" s="115">
        <v>0</v>
      </c>
      <c r="I120" s="115" t="s">
        <v>48</v>
      </c>
      <c r="J120" s="115" t="s">
        <v>48</v>
      </c>
      <c r="K120" s="115">
        <v>0.11</v>
      </c>
      <c r="L120" s="115">
        <v>0.12</v>
      </c>
      <c r="M120" s="115" t="str">
        <f>VLOOKUP(A120,Product_Mapping!$B:$D,3,FALSE)</f>
        <v>Hardware</v>
      </c>
      <c r="O120" s="147"/>
      <c r="P120" s="147"/>
    </row>
    <row r="121" spans="1:16" x14ac:dyDescent="0.3">
      <c r="A121" s="116">
        <v>7312</v>
      </c>
      <c r="B121" s="114" t="s">
        <v>122</v>
      </c>
      <c r="C121" s="115" t="s">
        <v>48</v>
      </c>
      <c r="D121" s="115">
        <v>0</v>
      </c>
      <c r="E121" s="115" t="s">
        <v>48</v>
      </c>
      <c r="F121" s="115">
        <v>0.01</v>
      </c>
      <c r="G121" s="115">
        <v>0</v>
      </c>
      <c r="H121" s="115">
        <v>0.01</v>
      </c>
      <c r="I121" s="115">
        <v>0.01</v>
      </c>
      <c r="J121" s="115">
        <v>0.02</v>
      </c>
      <c r="K121" s="115">
        <v>0</v>
      </c>
      <c r="L121" s="115">
        <v>0.03</v>
      </c>
      <c r="M121" s="115" t="str">
        <f>VLOOKUP(A121,Product_Mapping!$B:$D,3,FALSE)</f>
        <v>Hardware</v>
      </c>
      <c r="O121" s="147"/>
      <c r="P121" s="147"/>
    </row>
    <row r="122" spans="1:16" x14ac:dyDescent="0.3">
      <c r="A122" s="116">
        <v>7311</v>
      </c>
      <c r="B122" s="114" t="s">
        <v>123</v>
      </c>
      <c r="C122" s="115">
        <v>0.67</v>
      </c>
      <c r="D122" s="115">
        <v>1.33</v>
      </c>
      <c r="E122" s="115">
        <v>0.18</v>
      </c>
      <c r="F122" s="115">
        <v>0.04</v>
      </c>
      <c r="G122" s="115">
        <v>0.04</v>
      </c>
      <c r="H122" s="115">
        <v>0.03</v>
      </c>
      <c r="I122" s="115">
        <v>1.05</v>
      </c>
      <c r="J122" s="115">
        <v>4.09</v>
      </c>
      <c r="K122" s="115">
        <v>0</v>
      </c>
      <c r="L122" s="115">
        <v>0.01</v>
      </c>
      <c r="M122" s="115" t="str">
        <f>VLOOKUP(A122,Product_Mapping!$B:$D,3,FALSE)</f>
        <v>Hardware</v>
      </c>
      <c r="O122" s="147"/>
      <c r="P122" s="147"/>
    </row>
    <row r="123" spans="1:16" x14ac:dyDescent="0.3">
      <c r="A123" s="116">
        <v>7317</v>
      </c>
      <c r="B123" s="114" t="s">
        <v>124</v>
      </c>
      <c r="C123" s="115">
        <v>0.01</v>
      </c>
      <c r="D123" s="115">
        <v>0.02</v>
      </c>
      <c r="E123" s="115">
        <v>0</v>
      </c>
      <c r="F123" s="115">
        <v>0</v>
      </c>
      <c r="G123" s="115">
        <v>0</v>
      </c>
      <c r="H123" s="115">
        <v>0</v>
      </c>
      <c r="I123" s="115">
        <v>0</v>
      </c>
      <c r="J123" s="115">
        <v>0</v>
      </c>
      <c r="K123" s="115">
        <v>0</v>
      </c>
      <c r="L123" s="115">
        <v>0.01</v>
      </c>
      <c r="M123" s="115" t="str">
        <f>VLOOKUP(A123,Product_Mapping!$B:$D,3,FALSE)</f>
        <v>Hardware</v>
      </c>
      <c r="O123" s="147"/>
      <c r="P123" s="147"/>
    </row>
    <row r="124" spans="1:16" x14ac:dyDescent="0.3">
      <c r="A124" s="116">
        <v>7324</v>
      </c>
      <c r="B124" s="114" t="s">
        <v>125</v>
      </c>
      <c r="C124" s="115">
        <v>0</v>
      </c>
      <c r="D124" s="115" t="s">
        <v>48</v>
      </c>
      <c r="E124" s="115">
        <v>0</v>
      </c>
      <c r="F124" s="115" t="s">
        <v>48</v>
      </c>
      <c r="G124" s="115">
        <v>0</v>
      </c>
      <c r="H124" s="115">
        <v>0</v>
      </c>
      <c r="I124" s="115" t="s">
        <v>48</v>
      </c>
      <c r="J124" s="115">
        <v>0</v>
      </c>
      <c r="K124" s="115">
        <v>0</v>
      </c>
      <c r="L124" s="115">
        <v>0.01</v>
      </c>
      <c r="M124" s="115" t="str">
        <f>VLOOKUP(A124,Product_Mapping!$B:$D,3,FALSE)</f>
        <v>Hardware</v>
      </c>
      <c r="O124" s="147"/>
      <c r="P124" s="147"/>
    </row>
    <row r="125" spans="1:16" x14ac:dyDescent="0.3">
      <c r="A125" s="116">
        <v>7316</v>
      </c>
      <c r="B125" s="114" t="s">
        <v>126</v>
      </c>
      <c r="C125" s="115">
        <v>0.11</v>
      </c>
      <c r="D125" s="115">
        <v>0.11</v>
      </c>
      <c r="E125" s="115">
        <v>0.09</v>
      </c>
      <c r="F125" s="115">
        <v>0.09</v>
      </c>
      <c r="G125" s="115">
        <v>0</v>
      </c>
      <c r="H125" s="115" t="s">
        <v>48</v>
      </c>
      <c r="I125" s="115">
        <v>0.11</v>
      </c>
      <c r="J125" s="115">
        <v>0.03</v>
      </c>
      <c r="K125" s="115">
        <v>0.04</v>
      </c>
      <c r="L125" s="115">
        <v>0</v>
      </c>
      <c r="M125" s="115" t="str">
        <f>VLOOKUP(A125,Product_Mapping!$B:$D,3,FALSE)</f>
        <v>Hardware</v>
      </c>
      <c r="O125" s="147"/>
      <c r="P125" s="147"/>
    </row>
    <row r="126" spans="1:16" x14ac:dyDescent="0.3">
      <c r="A126" s="116">
        <v>7303</v>
      </c>
      <c r="B126" s="114" t="s">
        <v>127</v>
      </c>
      <c r="C126" s="115">
        <v>0</v>
      </c>
      <c r="D126" s="115">
        <v>0</v>
      </c>
      <c r="E126" s="115">
        <v>0</v>
      </c>
      <c r="F126" s="115">
        <v>0</v>
      </c>
      <c r="G126" s="115">
        <v>0</v>
      </c>
      <c r="H126" s="115">
        <v>0</v>
      </c>
      <c r="I126" s="115">
        <v>0</v>
      </c>
      <c r="J126" s="115">
        <v>0</v>
      </c>
      <c r="K126" s="115">
        <v>0</v>
      </c>
      <c r="L126" s="115">
        <v>0</v>
      </c>
      <c r="M126" s="115" t="str">
        <f>VLOOKUP(A126,Product_Mapping!$B:$D,3,FALSE)</f>
        <v>Hardware</v>
      </c>
      <c r="O126" s="147"/>
      <c r="P126" s="147"/>
    </row>
    <row r="127" spans="1:16" x14ac:dyDescent="0.3">
      <c r="A127" s="116">
        <v>7305</v>
      </c>
      <c r="B127" s="114" t="s">
        <v>128</v>
      </c>
      <c r="C127" s="115" t="s">
        <v>48</v>
      </c>
      <c r="D127" s="115" t="s">
        <v>48</v>
      </c>
      <c r="E127" s="115">
        <v>0</v>
      </c>
      <c r="F127" s="115" t="s">
        <v>48</v>
      </c>
      <c r="G127" s="115">
        <v>0</v>
      </c>
      <c r="H127" s="115">
        <v>0</v>
      </c>
      <c r="I127" s="115" t="s">
        <v>48</v>
      </c>
      <c r="J127" s="115">
        <v>0</v>
      </c>
      <c r="K127" s="115">
        <v>0</v>
      </c>
      <c r="L127" s="115">
        <v>0</v>
      </c>
      <c r="M127" s="115" t="str">
        <f>VLOOKUP(A127,Product_Mapping!$B:$D,3,FALSE)</f>
        <v>Hardware</v>
      </c>
      <c r="O127" s="147"/>
      <c r="P127" s="147"/>
    </row>
    <row r="128" spans="1:16" x14ac:dyDescent="0.3">
      <c r="A128" s="116">
        <v>7314</v>
      </c>
      <c r="B128" s="114" t="s">
        <v>129</v>
      </c>
      <c r="C128" s="115" t="s">
        <v>48</v>
      </c>
      <c r="D128" s="115">
        <v>0.01</v>
      </c>
      <c r="E128" s="115">
        <v>0.03</v>
      </c>
      <c r="F128" s="115" t="s">
        <v>48</v>
      </c>
      <c r="G128" s="115" t="s">
        <v>48</v>
      </c>
      <c r="H128" s="115" t="s">
        <v>48</v>
      </c>
      <c r="I128" s="115">
        <v>0.01</v>
      </c>
      <c r="J128" s="115" t="s">
        <v>48</v>
      </c>
      <c r="K128" s="115">
        <v>0</v>
      </c>
      <c r="L128" s="115">
        <v>0</v>
      </c>
      <c r="M128" s="115" t="str">
        <f>VLOOKUP(A128,Product_Mapping!$B:$D,3,FALSE)</f>
        <v>Hardware</v>
      </c>
      <c r="O128" s="147"/>
      <c r="P128" s="147"/>
    </row>
    <row r="129" spans="1:16" x14ac:dyDescent="0.3">
      <c r="A129" s="116">
        <v>7322</v>
      </c>
      <c r="B129" s="114" t="s">
        <v>130</v>
      </c>
      <c r="C129" s="115">
        <v>0</v>
      </c>
      <c r="D129" s="115">
        <v>0</v>
      </c>
      <c r="E129" s="115">
        <v>0</v>
      </c>
      <c r="F129" s="115" t="s">
        <v>48</v>
      </c>
      <c r="G129" s="115">
        <v>0</v>
      </c>
      <c r="H129" s="115">
        <v>0</v>
      </c>
      <c r="I129" s="115">
        <v>0.01</v>
      </c>
      <c r="J129" s="115">
        <v>0</v>
      </c>
      <c r="K129" s="115">
        <v>0</v>
      </c>
      <c r="L129" s="115">
        <v>0</v>
      </c>
      <c r="M129" s="115" t="str">
        <f>VLOOKUP(A129,Product_Mapping!$B:$D,3,FALSE)</f>
        <v>Hardware</v>
      </c>
      <c r="O129" s="147"/>
      <c r="P129" s="147"/>
    </row>
    <row r="130" spans="1:16" x14ac:dyDescent="0.3">
      <c r="A130" s="116">
        <v>7404</v>
      </c>
      <c r="B130" s="114" t="s">
        <v>137</v>
      </c>
      <c r="C130" s="115">
        <v>4.54</v>
      </c>
      <c r="D130" s="115">
        <v>4.18</v>
      </c>
      <c r="E130" s="115">
        <v>3.42</v>
      </c>
      <c r="F130" s="115">
        <v>4.26</v>
      </c>
      <c r="G130" s="115">
        <v>3.43</v>
      </c>
      <c r="H130" s="115">
        <v>6.41</v>
      </c>
      <c r="I130" s="115">
        <v>8.4600000000000009</v>
      </c>
      <c r="J130" s="115">
        <v>7.11</v>
      </c>
      <c r="K130" s="115">
        <v>7.84</v>
      </c>
      <c r="L130" s="115">
        <v>14.03</v>
      </c>
      <c r="M130" s="115" t="str">
        <f>VLOOKUP(A130,Product_Mapping!$B:$D,3,FALSE)</f>
        <v>Electrical</v>
      </c>
      <c r="O130" s="147"/>
      <c r="P130" s="147"/>
    </row>
    <row r="131" spans="1:16" x14ac:dyDescent="0.3">
      <c r="A131" s="116">
        <v>7419</v>
      </c>
      <c r="B131" s="114" t="s">
        <v>135</v>
      </c>
      <c r="C131" s="115">
        <v>0.84</v>
      </c>
      <c r="D131" s="115">
        <v>0.84</v>
      </c>
      <c r="E131" s="115">
        <v>0.91</v>
      </c>
      <c r="F131" s="115">
        <v>0.98</v>
      </c>
      <c r="G131" s="115">
        <v>0.87</v>
      </c>
      <c r="H131" s="115">
        <v>1.17</v>
      </c>
      <c r="I131" s="115">
        <v>1.26</v>
      </c>
      <c r="J131" s="115">
        <v>0.97</v>
      </c>
      <c r="K131" s="115">
        <v>0.75</v>
      </c>
      <c r="L131" s="115">
        <v>0.78</v>
      </c>
      <c r="M131" s="115" t="str">
        <f>VLOOKUP(A131,Product_Mapping!$B:$D,3,FALSE)</f>
        <v>Electrical</v>
      </c>
      <c r="O131" s="147"/>
      <c r="P131" s="147"/>
    </row>
    <row r="132" spans="1:16" x14ac:dyDescent="0.3">
      <c r="A132" s="116">
        <v>7403</v>
      </c>
      <c r="B132" s="114" t="s">
        <v>132</v>
      </c>
      <c r="C132" s="115">
        <v>0</v>
      </c>
      <c r="D132" s="115">
        <v>0.02</v>
      </c>
      <c r="E132" s="115">
        <v>0.03</v>
      </c>
      <c r="F132" s="115">
        <v>0.02</v>
      </c>
      <c r="G132" s="115">
        <v>0.12</v>
      </c>
      <c r="H132" s="115">
        <v>0.33</v>
      </c>
      <c r="I132" s="115">
        <v>0.69</v>
      </c>
      <c r="J132" s="115">
        <v>1.2</v>
      </c>
      <c r="K132" s="115">
        <v>1.07</v>
      </c>
      <c r="L132" s="115">
        <v>0.63</v>
      </c>
      <c r="M132" s="115" t="str">
        <f>VLOOKUP(A132,Product_Mapping!$B:$D,3,FALSE)</f>
        <v>Electrical</v>
      </c>
      <c r="O132" s="147"/>
      <c r="P132" s="147"/>
    </row>
    <row r="133" spans="1:16" x14ac:dyDescent="0.3">
      <c r="A133" s="116">
        <v>7408</v>
      </c>
      <c r="B133" s="114" t="s">
        <v>133</v>
      </c>
      <c r="C133" s="115">
        <v>0.17</v>
      </c>
      <c r="D133" s="115">
        <v>0.25</v>
      </c>
      <c r="E133" s="115">
        <v>0.26</v>
      </c>
      <c r="F133" s="115">
        <v>0.1</v>
      </c>
      <c r="G133" s="115">
        <v>0.09</v>
      </c>
      <c r="H133" s="115">
        <v>0.21</v>
      </c>
      <c r="I133" s="115">
        <v>0.54</v>
      </c>
      <c r="J133" s="115">
        <v>0.15</v>
      </c>
      <c r="K133" s="115">
        <v>0.24</v>
      </c>
      <c r="L133" s="115">
        <v>0.24</v>
      </c>
      <c r="M133" s="115" t="str">
        <f>VLOOKUP(A133,Product_Mapping!$B:$D,3,FALSE)</f>
        <v>Electrical</v>
      </c>
      <c r="O133" s="147"/>
      <c r="P133" s="147"/>
    </row>
    <row r="134" spans="1:16" x14ac:dyDescent="0.3">
      <c r="A134" s="116">
        <v>7406</v>
      </c>
      <c r="B134" s="114" t="s">
        <v>141</v>
      </c>
      <c r="C134" s="115">
        <v>0.04</v>
      </c>
      <c r="D134" s="115">
        <v>0.05</v>
      </c>
      <c r="E134" s="115">
        <v>0.03</v>
      </c>
      <c r="F134" s="115">
        <v>0.03</v>
      </c>
      <c r="G134" s="115">
        <v>0.01</v>
      </c>
      <c r="H134" s="115">
        <v>0.01</v>
      </c>
      <c r="I134" s="115">
        <v>0.01</v>
      </c>
      <c r="J134" s="115">
        <v>0</v>
      </c>
      <c r="K134" s="115">
        <v>0.02</v>
      </c>
      <c r="L134" s="115">
        <v>0.23</v>
      </c>
      <c r="M134" s="115" t="str">
        <f>VLOOKUP(A134,Product_Mapping!$B:$D,3,FALSE)</f>
        <v>Electrical</v>
      </c>
      <c r="O134" s="147"/>
      <c r="P134" s="147"/>
    </row>
    <row r="135" spans="1:16" x14ac:dyDescent="0.3">
      <c r="A135" s="116">
        <v>7412</v>
      </c>
      <c r="B135" s="114" t="s">
        <v>140</v>
      </c>
      <c r="C135" s="115" t="s">
        <v>48</v>
      </c>
      <c r="D135" s="115">
        <v>0</v>
      </c>
      <c r="E135" s="115">
        <v>0</v>
      </c>
      <c r="F135" s="115" t="s">
        <v>48</v>
      </c>
      <c r="G135" s="115">
        <v>0.01</v>
      </c>
      <c r="H135" s="115">
        <v>0.01</v>
      </c>
      <c r="I135" s="115" t="s">
        <v>48</v>
      </c>
      <c r="J135" s="115">
        <v>0.03</v>
      </c>
      <c r="K135" s="115">
        <v>0.06</v>
      </c>
      <c r="L135" s="115">
        <v>7.0000000000000007E-2</v>
      </c>
      <c r="M135" s="115" t="str">
        <f>VLOOKUP(A135,Product_Mapping!$B:$D,3,FALSE)</f>
        <v>Electrical</v>
      </c>
      <c r="O135" s="147"/>
      <c r="P135" s="147"/>
    </row>
    <row r="136" spans="1:16" x14ac:dyDescent="0.3">
      <c r="A136" s="116">
        <v>7402</v>
      </c>
      <c r="B136" s="114" t="s">
        <v>138</v>
      </c>
      <c r="C136" s="115">
        <v>0</v>
      </c>
      <c r="D136" s="115">
        <v>0</v>
      </c>
      <c r="E136" s="115">
        <v>0</v>
      </c>
      <c r="F136" s="115">
        <v>0</v>
      </c>
      <c r="G136" s="115">
        <v>0</v>
      </c>
      <c r="H136" s="115" t="s">
        <v>48</v>
      </c>
      <c r="I136" s="115">
        <v>0</v>
      </c>
      <c r="J136" s="115">
        <v>0</v>
      </c>
      <c r="K136" s="115">
        <v>0.01</v>
      </c>
      <c r="L136" s="115">
        <v>7.0000000000000007E-2</v>
      </c>
      <c r="M136" s="115" t="str">
        <f>VLOOKUP(A136,Product_Mapping!$B:$D,3,FALSE)</f>
        <v>Electrical</v>
      </c>
      <c r="O136" s="147"/>
      <c r="P136" s="147"/>
    </row>
    <row r="137" spans="1:16" x14ac:dyDescent="0.3">
      <c r="A137" s="116">
        <v>7418</v>
      </c>
      <c r="B137" s="114" t="s">
        <v>145</v>
      </c>
      <c r="C137" s="115">
        <v>0.02</v>
      </c>
      <c r="D137" s="115">
        <v>0.01</v>
      </c>
      <c r="E137" s="115">
        <v>0.03</v>
      </c>
      <c r="F137" s="115">
        <v>0.03</v>
      </c>
      <c r="G137" s="115">
        <v>0.05</v>
      </c>
      <c r="H137" s="115">
        <v>7.0000000000000007E-2</v>
      </c>
      <c r="I137" s="115">
        <v>0.03</v>
      </c>
      <c r="J137" s="115">
        <v>0.04</v>
      </c>
      <c r="K137" s="115">
        <v>0.05</v>
      </c>
      <c r="L137" s="115">
        <v>0.06</v>
      </c>
      <c r="M137" s="115" t="str">
        <f>VLOOKUP(A137,Product_Mapping!$B:$D,3,FALSE)</f>
        <v>Electrical</v>
      </c>
      <c r="O137" s="147"/>
      <c r="P137" s="147"/>
    </row>
    <row r="138" spans="1:16" x14ac:dyDescent="0.3">
      <c r="A138" s="116">
        <v>7407</v>
      </c>
      <c r="B138" s="114" t="s">
        <v>136</v>
      </c>
      <c r="C138" s="115">
        <v>0</v>
      </c>
      <c r="D138" s="115" t="s">
        <v>48</v>
      </c>
      <c r="E138" s="115" t="s">
        <v>48</v>
      </c>
      <c r="F138" s="115" t="s">
        <v>48</v>
      </c>
      <c r="G138" s="115">
        <v>0.01</v>
      </c>
      <c r="H138" s="115" t="s">
        <v>48</v>
      </c>
      <c r="I138" s="115">
        <v>0</v>
      </c>
      <c r="J138" s="115">
        <v>0</v>
      </c>
      <c r="K138" s="115">
        <v>0.04</v>
      </c>
      <c r="L138" s="115">
        <v>0.06</v>
      </c>
      <c r="M138" s="115" t="str">
        <f>VLOOKUP(A138,Product_Mapping!$B:$D,3,FALSE)</f>
        <v>Electrical</v>
      </c>
      <c r="O138" s="147"/>
      <c r="P138" s="147"/>
    </row>
    <row r="139" spans="1:16" x14ac:dyDescent="0.3">
      <c r="A139" s="116">
        <v>7409</v>
      </c>
      <c r="B139" s="114" t="s">
        <v>134</v>
      </c>
      <c r="C139" s="115">
        <v>0.11</v>
      </c>
      <c r="D139" s="115">
        <v>0.16</v>
      </c>
      <c r="E139" s="115">
        <v>0.3</v>
      </c>
      <c r="F139" s="115">
        <v>0.04</v>
      </c>
      <c r="G139" s="115">
        <v>0.02</v>
      </c>
      <c r="H139" s="115">
        <v>0.01</v>
      </c>
      <c r="I139" s="115">
        <v>7.0000000000000007E-2</v>
      </c>
      <c r="J139" s="115">
        <v>0.1</v>
      </c>
      <c r="K139" s="115">
        <v>0.01</v>
      </c>
      <c r="L139" s="115">
        <v>0.01</v>
      </c>
      <c r="M139" s="115" t="str">
        <f>VLOOKUP(A139,Product_Mapping!$B:$D,3,FALSE)</f>
        <v>Electrical</v>
      </c>
      <c r="O139" s="147"/>
      <c r="P139" s="147"/>
    </row>
    <row r="140" spans="1:16" x14ac:dyDescent="0.3">
      <c r="A140" s="116">
        <v>7411</v>
      </c>
      <c r="B140" s="114" t="s">
        <v>142</v>
      </c>
      <c r="C140" s="115">
        <v>0</v>
      </c>
      <c r="D140" s="115">
        <v>0</v>
      </c>
      <c r="E140" s="115">
        <v>0</v>
      </c>
      <c r="F140" s="115">
        <v>0.01</v>
      </c>
      <c r="G140" s="115">
        <v>0</v>
      </c>
      <c r="H140" s="115" t="s">
        <v>48</v>
      </c>
      <c r="I140" s="115">
        <v>0.01</v>
      </c>
      <c r="J140" s="115">
        <v>0</v>
      </c>
      <c r="K140" s="115">
        <v>0.02</v>
      </c>
      <c r="L140" s="115">
        <v>0.01</v>
      </c>
      <c r="M140" s="115" t="str">
        <f>VLOOKUP(A140,Product_Mapping!$B:$D,3,FALSE)</f>
        <v>Electrical</v>
      </c>
      <c r="O140" s="147"/>
      <c r="P140" s="147"/>
    </row>
    <row r="141" spans="1:16" x14ac:dyDescent="0.3">
      <c r="A141" s="116">
        <v>7415</v>
      </c>
      <c r="B141" s="114" t="s">
        <v>144</v>
      </c>
      <c r="C141" s="115">
        <v>0.02</v>
      </c>
      <c r="D141" s="115">
        <v>0.01</v>
      </c>
      <c r="E141" s="115">
        <v>0.01</v>
      </c>
      <c r="F141" s="115">
        <v>0</v>
      </c>
      <c r="G141" s="115">
        <v>0</v>
      </c>
      <c r="H141" s="115">
        <v>0</v>
      </c>
      <c r="I141" s="115">
        <v>0.01</v>
      </c>
      <c r="J141" s="115">
        <v>0</v>
      </c>
      <c r="K141" s="115">
        <v>0.06</v>
      </c>
      <c r="L141" s="115">
        <v>0.01</v>
      </c>
      <c r="M141" s="115" t="str">
        <f>VLOOKUP(A141,Product_Mapping!$B:$D,3,FALSE)</f>
        <v>Electrical</v>
      </c>
      <c r="O141" s="147"/>
      <c r="P141" s="147"/>
    </row>
    <row r="142" spans="1:16" x14ac:dyDescent="0.3">
      <c r="A142" s="116">
        <v>7410</v>
      </c>
      <c r="B142" s="114" t="s">
        <v>139</v>
      </c>
      <c r="C142" s="115">
        <v>0</v>
      </c>
      <c r="D142" s="115">
        <v>0</v>
      </c>
      <c r="E142" s="115">
        <v>0</v>
      </c>
      <c r="F142" s="115" t="s">
        <v>48</v>
      </c>
      <c r="G142" s="115">
        <v>0</v>
      </c>
      <c r="H142" s="115">
        <v>0.01</v>
      </c>
      <c r="I142" s="115" t="s">
        <v>48</v>
      </c>
      <c r="J142" s="115">
        <v>0</v>
      </c>
      <c r="K142" s="115">
        <v>0</v>
      </c>
      <c r="L142" s="115">
        <v>0</v>
      </c>
      <c r="M142" s="115" t="str">
        <f>VLOOKUP(A142,Product_Mapping!$B:$D,3,FALSE)</f>
        <v>Electrical</v>
      </c>
      <c r="O142" s="147"/>
      <c r="P142" s="147"/>
    </row>
    <row r="143" spans="1:16" x14ac:dyDescent="0.3">
      <c r="A143" s="116">
        <v>7413</v>
      </c>
      <c r="B143" s="114" t="s">
        <v>143</v>
      </c>
      <c r="C143" s="115" t="s">
        <v>48</v>
      </c>
      <c r="D143" s="115">
        <v>0</v>
      </c>
      <c r="E143" s="115">
        <v>0</v>
      </c>
      <c r="F143" s="115">
        <v>0</v>
      </c>
      <c r="G143" s="115">
        <v>0</v>
      </c>
      <c r="H143" s="115" t="s">
        <v>48</v>
      </c>
      <c r="I143" s="115" t="s">
        <v>48</v>
      </c>
      <c r="J143" s="115">
        <v>0</v>
      </c>
      <c r="K143" s="115">
        <v>0.06</v>
      </c>
      <c r="L143" s="115">
        <v>0</v>
      </c>
      <c r="M143" s="115" t="str">
        <f>VLOOKUP(A143,Product_Mapping!$B:$D,3,FALSE)</f>
        <v>Electrical</v>
      </c>
      <c r="O143" s="147"/>
      <c r="P143" s="147"/>
    </row>
    <row r="144" spans="1:16" x14ac:dyDescent="0.3">
      <c r="A144" s="116">
        <v>7405</v>
      </c>
      <c r="B144" s="114" t="s">
        <v>147</v>
      </c>
      <c r="C144" s="115" t="s">
        <v>48</v>
      </c>
      <c r="D144" s="115">
        <v>0</v>
      </c>
      <c r="E144" s="115">
        <v>0</v>
      </c>
      <c r="F144" s="115">
        <v>0</v>
      </c>
      <c r="G144" s="115">
        <v>0</v>
      </c>
      <c r="H144" s="115">
        <v>0</v>
      </c>
      <c r="I144" s="115">
        <v>0</v>
      </c>
      <c r="J144" s="115">
        <v>0</v>
      </c>
      <c r="K144" s="115">
        <v>0</v>
      </c>
      <c r="L144" s="115">
        <v>0</v>
      </c>
      <c r="M144" s="115" t="str">
        <f>VLOOKUP(A144,Product_Mapping!$B:$D,3,FALSE)</f>
        <v>Electrical</v>
      </c>
      <c r="O144" s="147"/>
      <c r="P144" s="147"/>
    </row>
    <row r="145" spans="1:16" x14ac:dyDescent="0.3">
      <c r="A145" s="116">
        <v>7601</v>
      </c>
      <c r="B145" s="114" t="s">
        <v>159</v>
      </c>
      <c r="C145" s="115">
        <v>51.52</v>
      </c>
      <c r="D145" s="115">
        <v>114.14</v>
      </c>
      <c r="E145" s="115">
        <v>168.12</v>
      </c>
      <c r="F145" s="115">
        <v>147.86000000000001</v>
      </c>
      <c r="G145" s="115">
        <v>99.18</v>
      </c>
      <c r="H145" s="115">
        <v>270.66000000000003</v>
      </c>
      <c r="I145" s="115">
        <v>292.92</v>
      </c>
      <c r="J145" s="115">
        <v>398.71</v>
      </c>
      <c r="K145" s="115">
        <v>331.88</v>
      </c>
      <c r="L145" s="115">
        <v>327.37</v>
      </c>
      <c r="M145" s="115" t="str">
        <f>VLOOKUP(A145,Product_Mapping!$B:$D,3,FALSE)</f>
        <v>Hardware</v>
      </c>
      <c r="O145" s="147"/>
      <c r="P145" s="147"/>
    </row>
    <row r="146" spans="1:16" x14ac:dyDescent="0.3">
      <c r="A146" s="116">
        <v>7616</v>
      </c>
      <c r="B146" s="114" t="s">
        <v>150</v>
      </c>
      <c r="C146" s="115">
        <v>0.85</v>
      </c>
      <c r="D146" s="115">
        <v>1</v>
      </c>
      <c r="E146" s="115">
        <v>0.85</v>
      </c>
      <c r="F146" s="115">
        <v>0.84</v>
      </c>
      <c r="G146" s="115">
        <v>0.69</v>
      </c>
      <c r="H146" s="115">
        <v>1.73</v>
      </c>
      <c r="I146" s="115">
        <v>3.03</v>
      </c>
      <c r="J146" s="115">
        <v>3.06</v>
      </c>
      <c r="K146" s="115">
        <v>3.07</v>
      </c>
      <c r="L146" s="115">
        <v>3</v>
      </c>
      <c r="M146" s="115" t="str">
        <f>VLOOKUP(A146,Product_Mapping!$B:$D,3,FALSE)</f>
        <v>Hardware</v>
      </c>
      <c r="O146" s="147"/>
      <c r="P146" s="147"/>
    </row>
    <row r="147" spans="1:16" x14ac:dyDescent="0.3">
      <c r="A147" s="116">
        <v>7607</v>
      </c>
      <c r="B147" s="114" t="s">
        <v>151</v>
      </c>
      <c r="C147" s="115">
        <v>0.76</v>
      </c>
      <c r="D147" s="115">
        <v>1.1000000000000001</v>
      </c>
      <c r="E147" s="115">
        <v>1.73</v>
      </c>
      <c r="F147" s="115">
        <v>1.64</v>
      </c>
      <c r="G147" s="115">
        <v>1.0900000000000001</v>
      </c>
      <c r="H147" s="115">
        <v>1.61</v>
      </c>
      <c r="I147" s="115">
        <v>2.81</v>
      </c>
      <c r="J147" s="115">
        <v>2.56</v>
      </c>
      <c r="K147" s="115">
        <v>2.63</v>
      </c>
      <c r="L147" s="115">
        <v>2.29</v>
      </c>
      <c r="M147" s="115" t="str">
        <f>VLOOKUP(A147,Product_Mapping!$B:$D,3,FALSE)</f>
        <v>Hardware</v>
      </c>
      <c r="O147" s="147"/>
      <c r="P147" s="147"/>
    </row>
    <row r="148" spans="1:16" x14ac:dyDescent="0.3">
      <c r="A148" s="116">
        <v>7602</v>
      </c>
      <c r="B148" s="114" t="s">
        <v>148</v>
      </c>
      <c r="C148" s="115">
        <v>0.01</v>
      </c>
      <c r="D148" s="115">
        <v>0</v>
      </c>
      <c r="E148" s="115">
        <v>0</v>
      </c>
      <c r="F148" s="115">
        <v>0</v>
      </c>
      <c r="G148" s="115" t="s">
        <v>48</v>
      </c>
      <c r="H148" s="115">
        <v>0.02</v>
      </c>
      <c r="I148" s="115">
        <v>0</v>
      </c>
      <c r="J148" s="115">
        <v>0.19</v>
      </c>
      <c r="K148" s="115">
        <v>3.08</v>
      </c>
      <c r="L148" s="115">
        <v>2.04</v>
      </c>
      <c r="M148" s="115" t="str">
        <f>VLOOKUP(A148,Product_Mapping!$B:$D,3,FALSE)</f>
        <v>Hardware</v>
      </c>
      <c r="O148" s="147"/>
      <c r="P148" s="147"/>
    </row>
    <row r="149" spans="1:16" x14ac:dyDescent="0.3">
      <c r="A149" s="116">
        <v>7606</v>
      </c>
      <c r="B149" s="114" t="s">
        <v>149</v>
      </c>
      <c r="C149" s="115">
        <v>0.04</v>
      </c>
      <c r="D149" s="115">
        <v>0.11</v>
      </c>
      <c r="E149" s="115">
        <v>0.01</v>
      </c>
      <c r="F149" s="115">
        <v>0</v>
      </c>
      <c r="G149" s="115">
        <v>0.02</v>
      </c>
      <c r="H149" s="115">
        <v>0.14000000000000001</v>
      </c>
      <c r="I149" s="115">
        <v>0.49</v>
      </c>
      <c r="J149" s="115">
        <v>0.19</v>
      </c>
      <c r="K149" s="115">
        <v>0.37</v>
      </c>
      <c r="L149" s="115">
        <v>1.64</v>
      </c>
      <c r="M149" s="115" t="str">
        <f>VLOOKUP(A149,Product_Mapping!$B:$D,3,FALSE)</f>
        <v>Hardware</v>
      </c>
      <c r="O149" s="147"/>
      <c r="P149" s="147"/>
    </row>
    <row r="150" spans="1:16" x14ac:dyDescent="0.3">
      <c r="A150" s="116">
        <v>7603</v>
      </c>
      <c r="B150" s="114" t="s">
        <v>156</v>
      </c>
      <c r="C150" s="115">
        <v>0.5</v>
      </c>
      <c r="D150" s="115">
        <v>0.2</v>
      </c>
      <c r="E150" s="115">
        <v>0.31</v>
      </c>
      <c r="F150" s="115">
        <v>0.26</v>
      </c>
      <c r="G150" s="115">
        <v>0.18</v>
      </c>
      <c r="H150" s="115">
        <v>0.32</v>
      </c>
      <c r="I150" s="115">
        <v>0.34</v>
      </c>
      <c r="J150" s="115">
        <v>0.34</v>
      </c>
      <c r="K150" s="115">
        <v>0.42</v>
      </c>
      <c r="L150" s="115">
        <v>0.44</v>
      </c>
      <c r="M150" s="115" t="str">
        <f>VLOOKUP(A150,Product_Mapping!$B:$D,3,FALSE)</f>
        <v>Hardware</v>
      </c>
      <c r="O150" s="147"/>
      <c r="P150" s="147"/>
    </row>
    <row r="151" spans="1:16" x14ac:dyDescent="0.3">
      <c r="A151" s="116">
        <v>7615</v>
      </c>
      <c r="B151" s="114" t="s">
        <v>160</v>
      </c>
      <c r="C151" s="115">
        <v>0.02</v>
      </c>
      <c r="D151" s="115">
        <v>0.25</v>
      </c>
      <c r="E151" s="115">
        <v>0.04</v>
      </c>
      <c r="F151" s="115">
        <v>0.03</v>
      </c>
      <c r="G151" s="115">
        <v>0.08</v>
      </c>
      <c r="H151" s="115">
        <v>0.09</v>
      </c>
      <c r="I151" s="115">
        <v>7.0000000000000007E-2</v>
      </c>
      <c r="J151" s="115">
        <v>0.06</v>
      </c>
      <c r="K151" s="115">
        <v>0.09</v>
      </c>
      <c r="L151" s="115">
        <v>0.17</v>
      </c>
      <c r="M151" s="115" t="str">
        <f>VLOOKUP(A151,Product_Mapping!$B:$D,3,FALSE)</f>
        <v>Hardware</v>
      </c>
      <c r="O151" s="147"/>
      <c r="P151" s="147"/>
    </row>
    <row r="152" spans="1:16" x14ac:dyDescent="0.3">
      <c r="A152" s="116">
        <v>7612</v>
      </c>
      <c r="B152" s="114" t="s">
        <v>158</v>
      </c>
      <c r="C152" s="115" t="s">
        <v>48</v>
      </c>
      <c r="D152" s="115" t="s">
        <v>48</v>
      </c>
      <c r="E152" s="115">
        <v>0</v>
      </c>
      <c r="F152" s="115">
        <v>0.01</v>
      </c>
      <c r="G152" s="115">
        <v>0.01</v>
      </c>
      <c r="H152" s="115">
        <v>0.02</v>
      </c>
      <c r="I152" s="115">
        <v>0.01</v>
      </c>
      <c r="J152" s="115">
        <v>0.06</v>
      </c>
      <c r="K152" s="115">
        <v>0.06</v>
      </c>
      <c r="L152" s="115">
        <v>0.11</v>
      </c>
      <c r="M152" s="115" t="str">
        <f>VLOOKUP(A152,Product_Mapping!$B:$D,3,FALSE)</f>
        <v>Hardware</v>
      </c>
      <c r="O152" s="147"/>
      <c r="P152" s="147"/>
    </row>
    <row r="153" spans="1:16" x14ac:dyDescent="0.3">
      <c r="A153" s="116">
        <v>7604</v>
      </c>
      <c r="B153" s="114" t="s">
        <v>152</v>
      </c>
      <c r="C153" s="115">
        <v>0.01</v>
      </c>
      <c r="D153" s="115">
        <v>0.02</v>
      </c>
      <c r="E153" s="115">
        <v>0.01</v>
      </c>
      <c r="F153" s="115">
        <v>0.01</v>
      </c>
      <c r="G153" s="115">
        <v>0.01</v>
      </c>
      <c r="H153" s="115">
        <v>0.01</v>
      </c>
      <c r="I153" s="115">
        <v>0.01</v>
      </c>
      <c r="J153" s="115">
        <v>0.03</v>
      </c>
      <c r="K153" s="115">
        <v>0.01</v>
      </c>
      <c r="L153" s="115">
        <v>0.04</v>
      </c>
      <c r="M153" s="115" t="str">
        <f>VLOOKUP(A153,Product_Mapping!$B:$D,3,FALSE)</f>
        <v>Hardware</v>
      </c>
      <c r="O153" s="147"/>
      <c r="P153" s="147"/>
    </row>
    <row r="154" spans="1:16" x14ac:dyDescent="0.3">
      <c r="A154" s="116">
        <v>7605</v>
      </c>
      <c r="B154" s="114" t="s">
        <v>153</v>
      </c>
      <c r="C154" s="115">
        <v>0</v>
      </c>
      <c r="D154" s="115">
        <v>0</v>
      </c>
      <c r="E154" s="115" t="s">
        <v>48</v>
      </c>
      <c r="F154" s="115">
        <v>0</v>
      </c>
      <c r="G154" s="115" t="s">
        <v>48</v>
      </c>
      <c r="H154" s="115">
        <v>0</v>
      </c>
      <c r="I154" s="115">
        <v>0</v>
      </c>
      <c r="J154" s="115">
        <v>0</v>
      </c>
      <c r="K154" s="115">
        <v>1.3</v>
      </c>
      <c r="L154" s="115">
        <v>0.03</v>
      </c>
      <c r="M154" s="115" t="str">
        <f>VLOOKUP(A154,Product_Mapping!$B:$D,3,FALSE)</f>
        <v>Hardware</v>
      </c>
      <c r="O154" s="147"/>
      <c r="P154" s="147"/>
    </row>
    <row r="155" spans="1:16" x14ac:dyDescent="0.3">
      <c r="A155" s="116">
        <v>7610</v>
      </c>
      <c r="B155" s="114" t="s">
        <v>155</v>
      </c>
      <c r="C155" s="115">
        <v>0.55000000000000004</v>
      </c>
      <c r="D155" s="115">
        <v>0.23</v>
      </c>
      <c r="E155" s="115">
        <v>0.05</v>
      </c>
      <c r="F155" s="115">
        <v>0.04</v>
      </c>
      <c r="G155" s="115">
        <v>0</v>
      </c>
      <c r="H155" s="115">
        <v>0</v>
      </c>
      <c r="I155" s="115">
        <v>0.14000000000000001</v>
      </c>
      <c r="J155" s="115">
        <v>0.37</v>
      </c>
      <c r="K155" s="115">
        <v>0.71</v>
      </c>
      <c r="L155" s="115">
        <v>0.02</v>
      </c>
      <c r="M155" s="115" t="str">
        <f>VLOOKUP(A155,Product_Mapping!$B:$D,3,FALSE)</f>
        <v>Hardware</v>
      </c>
      <c r="O155" s="147"/>
      <c r="P155" s="147"/>
    </row>
    <row r="156" spans="1:16" x14ac:dyDescent="0.3">
      <c r="A156" s="116">
        <v>7608</v>
      </c>
      <c r="B156" s="114" t="s">
        <v>154</v>
      </c>
      <c r="C156" s="115">
        <v>0</v>
      </c>
      <c r="D156" s="115">
        <v>0.01</v>
      </c>
      <c r="E156" s="115">
        <v>0</v>
      </c>
      <c r="F156" s="115">
        <v>0.04</v>
      </c>
      <c r="G156" s="115">
        <v>0</v>
      </c>
      <c r="H156" s="115">
        <v>0</v>
      </c>
      <c r="I156" s="115">
        <v>0</v>
      </c>
      <c r="J156" s="115" t="s">
        <v>48</v>
      </c>
      <c r="K156" s="115">
        <v>0.01</v>
      </c>
      <c r="L156" s="115">
        <v>0</v>
      </c>
      <c r="M156" s="115" t="str">
        <f>VLOOKUP(A156,Product_Mapping!$B:$D,3,FALSE)</f>
        <v>Hardware</v>
      </c>
      <c r="O156" s="147"/>
      <c r="P156" s="147"/>
    </row>
    <row r="157" spans="1:16" x14ac:dyDescent="0.3">
      <c r="A157" s="116">
        <v>7613</v>
      </c>
      <c r="B157" s="114" t="s">
        <v>161</v>
      </c>
      <c r="C157" s="115">
        <v>0</v>
      </c>
      <c r="D157" s="115">
        <v>0</v>
      </c>
      <c r="E157" s="115">
        <v>0</v>
      </c>
      <c r="F157" s="115">
        <v>0</v>
      </c>
      <c r="G157" s="115">
        <v>0</v>
      </c>
      <c r="H157" s="115">
        <v>0</v>
      </c>
      <c r="I157" s="115">
        <v>0</v>
      </c>
      <c r="J157" s="115">
        <v>0</v>
      </c>
      <c r="K157" s="115">
        <v>0</v>
      </c>
      <c r="L157" s="115">
        <v>0</v>
      </c>
      <c r="M157" s="115" t="str">
        <f>VLOOKUP(A157,Product_Mapping!$B:$D,3,FALSE)</f>
        <v>Hardware</v>
      </c>
      <c r="O157" s="147"/>
      <c r="P157" s="147"/>
    </row>
    <row r="158" spans="1:16" x14ac:dyDescent="0.3">
      <c r="A158" s="116">
        <v>7614</v>
      </c>
      <c r="B158" s="114" t="s">
        <v>163</v>
      </c>
      <c r="C158" s="115">
        <v>0</v>
      </c>
      <c r="D158" s="115">
        <v>0</v>
      </c>
      <c r="E158" s="115">
        <v>0</v>
      </c>
      <c r="F158" s="115" t="s">
        <v>48</v>
      </c>
      <c r="G158" s="115">
        <v>0</v>
      </c>
      <c r="H158" s="115">
        <v>0</v>
      </c>
      <c r="I158" s="115" t="s">
        <v>48</v>
      </c>
      <c r="J158" s="115">
        <v>0</v>
      </c>
      <c r="K158" s="115">
        <v>0</v>
      </c>
      <c r="L158" s="115">
        <v>0</v>
      </c>
      <c r="M158" s="115" t="str">
        <f>VLOOKUP(A158,Product_Mapping!$B:$D,3,FALSE)</f>
        <v>Hardware</v>
      </c>
      <c r="O158" s="147"/>
      <c r="P158" s="147"/>
    </row>
    <row r="159" spans="1:16" x14ac:dyDescent="0.3">
      <c r="A159" s="116">
        <v>7609</v>
      </c>
      <c r="B159" s="114" t="s">
        <v>157</v>
      </c>
      <c r="C159" s="115">
        <v>0.02</v>
      </c>
      <c r="D159" s="115">
        <v>0</v>
      </c>
      <c r="E159" s="115">
        <v>0</v>
      </c>
      <c r="F159" s="115">
        <v>0</v>
      </c>
      <c r="G159" s="115">
        <v>0</v>
      </c>
      <c r="H159" s="115">
        <v>0</v>
      </c>
      <c r="I159" s="115">
        <v>0</v>
      </c>
      <c r="J159" s="115" t="s">
        <v>48</v>
      </c>
      <c r="K159" s="115">
        <v>0</v>
      </c>
      <c r="L159" s="115">
        <v>0</v>
      </c>
      <c r="M159" s="115" t="str">
        <f>VLOOKUP(A159,Product_Mapping!$B:$D,3,FALSE)</f>
        <v>Hardware</v>
      </c>
      <c r="O159" s="147"/>
      <c r="P159" s="147"/>
    </row>
    <row r="160" spans="1:16" x14ac:dyDescent="0.3">
      <c r="A160" s="116">
        <v>8301</v>
      </c>
      <c r="B160" s="114" t="s">
        <v>165</v>
      </c>
      <c r="C160" s="115">
        <v>0.26</v>
      </c>
      <c r="D160" s="115">
        <v>0.74</v>
      </c>
      <c r="E160" s="115">
        <v>1.03</v>
      </c>
      <c r="F160" s="115">
        <v>1.1000000000000001</v>
      </c>
      <c r="G160" s="115">
        <v>0.59</v>
      </c>
      <c r="H160" s="115">
        <v>3.76</v>
      </c>
      <c r="I160" s="115">
        <v>3.02</v>
      </c>
      <c r="J160" s="115">
        <v>3.62</v>
      </c>
      <c r="K160" s="115">
        <v>4.42</v>
      </c>
      <c r="L160" s="115">
        <v>4.2699999999999996</v>
      </c>
      <c r="M160" s="115" t="str">
        <f>VLOOKUP(A160,Product_Mapping!$B:$D,3,FALSE)</f>
        <v>Hardware</v>
      </c>
      <c r="O160" s="147"/>
      <c r="P160" s="147"/>
    </row>
    <row r="161" spans="1:16" x14ac:dyDescent="0.3">
      <c r="A161" s="116">
        <v>8302</v>
      </c>
      <c r="B161" s="114" t="s">
        <v>166</v>
      </c>
      <c r="C161" s="115">
        <v>1.1000000000000001</v>
      </c>
      <c r="D161" s="115">
        <v>0.97</v>
      </c>
      <c r="E161" s="115">
        <v>0.68</v>
      </c>
      <c r="F161" s="115">
        <v>1.18</v>
      </c>
      <c r="G161" s="115">
        <v>1.61</v>
      </c>
      <c r="H161" s="115">
        <v>0.56999999999999995</v>
      </c>
      <c r="I161" s="115">
        <v>0.49</v>
      </c>
      <c r="J161" s="115">
        <v>0.6</v>
      </c>
      <c r="K161" s="115">
        <v>0.67</v>
      </c>
      <c r="L161" s="115">
        <v>0.84</v>
      </c>
      <c r="M161" s="115" t="str">
        <f>VLOOKUP(A161,Product_Mapping!$B:$D,3,FALSE)</f>
        <v>Hardware</v>
      </c>
      <c r="O161" s="147"/>
      <c r="P161" s="147"/>
    </row>
    <row r="162" spans="1:16" x14ac:dyDescent="0.3">
      <c r="A162" s="116">
        <v>8306</v>
      </c>
      <c r="B162" s="114" t="s">
        <v>173</v>
      </c>
      <c r="C162" s="115">
        <v>0.08</v>
      </c>
      <c r="D162" s="115">
        <v>0.05</v>
      </c>
      <c r="E162" s="115">
        <v>0.16</v>
      </c>
      <c r="F162" s="115">
        <v>0.15</v>
      </c>
      <c r="G162" s="115">
        <v>0.16</v>
      </c>
      <c r="H162" s="115">
        <v>0.24</v>
      </c>
      <c r="I162" s="115">
        <v>0.23</v>
      </c>
      <c r="J162" s="115">
        <v>0.36</v>
      </c>
      <c r="K162" s="115">
        <v>0.28000000000000003</v>
      </c>
      <c r="L162" s="115">
        <v>0.35</v>
      </c>
      <c r="M162" s="115" t="str">
        <f>VLOOKUP(A162,Product_Mapping!$B:$D,3,FALSE)</f>
        <v>Hardware</v>
      </c>
      <c r="O162" s="147"/>
      <c r="P162" s="147"/>
    </row>
    <row r="163" spans="1:16" x14ac:dyDescent="0.3">
      <c r="A163" s="116">
        <v>8307</v>
      </c>
      <c r="B163" s="114" t="s">
        <v>167</v>
      </c>
      <c r="C163" s="115">
        <v>0.08</v>
      </c>
      <c r="D163" s="115">
        <v>0.32</v>
      </c>
      <c r="E163" s="115">
        <v>0.28000000000000003</v>
      </c>
      <c r="F163" s="115">
        <v>0.4</v>
      </c>
      <c r="G163" s="115">
        <v>0.28999999999999998</v>
      </c>
      <c r="H163" s="115">
        <v>0.35</v>
      </c>
      <c r="I163" s="115">
        <v>0.37</v>
      </c>
      <c r="J163" s="115">
        <v>0.32</v>
      </c>
      <c r="K163" s="115">
        <v>0.3</v>
      </c>
      <c r="L163" s="115">
        <v>0.22</v>
      </c>
      <c r="M163" s="115" t="str">
        <f>VLOOKUP(A163,Product_Mapping!$B:$D,3,FALSE)</f>
        <v>Hardware</v>
      </c>
      <c r="O163" s="147"/>
      <c r="P163" s="147"/>
    </row>
    <row r="164" spans="1:16" x14ac:dyDescent="0.3">
      <c r="A164" s="116">
        <v>8311</v>
      </c>
      <c r="B164" s="114" t="s">
        <v>164</v>
      </c>
      <c r="C164" s="115">
        <v>0.2</v>
      </c>
      <c r="D164" s="115">
        <v>0.21</v>
      </c>
      <c r="E164" s="115">
        <v>0.13</v>
      </c>
      <c r="F164" s="115">
        <v>0.12</v>
      </c>
      <c r="G164" s="115">
        <v>0.16</v>
      </c>
      <c r="H164" s="115">
        <v>0.17</v>
      </c>
      <c r="I164" s="115">
        <v>0.16</v>
      </c>
      <c r="J164" s="115">
        <v>0.14000000000000001</v>
      </c>
      <c r="K164" s="115">
        <v>0.19</v>
      </c>
      <c r="L164" s="115">
        <v>0.19</v>
      </c>
      <c r="M164" s="115" t="str">
        <f>VLOOKUP(A164,Product_Mapping!$B:$D,3,FALSE)</f>
        <v>Hardware</v>
      </c>
      <c r="O164" s="147"/>
      <c r="P164" s="147"/>
    </row>
    <row r="165" spans="1:16" x14ac:dyDescent="0.3">
      <c r="A165" s="116">
        <v>8305</v>
      </c>
      <c r="B165" s="114" t="s">
        <v>171</v>
      </c>
      <c r="C165" s="115">
        <v>0.05</v>
      </c>
      <c r="D165" s="115">
        <v>0</v>
      </c>
      <c r="E165" s="115">
        <v>0</v>
      </c>
      <c r="F165" s="115">
        <v>0.1</v>
      </c>
      <c r="G165" s="115">
        <v>0.11</v>
      </c>
      <c r="H165" s="115">
        <v>0.1</v>
      </c>
      <c r="I165" s="115">
        <v>0.06</v>
      </c>
      <c r="J165" s="115">
        <v>0.01</v>
      </c>
      <c r="K165" s="115">
        <v>0.11</v>
      </c>
      <c r="L165" s="115">
        <v>0.09</v>
      </c>
      <c r="M165" s="115" t="str">
        <f>VLOOKUP(A165,Product_Mapping!$B:$D,3,FALSE)</f>
        <v>Hardware</v>
      </c>
      <c r="O165" s="147"/>
      <c r="P165" s="147"/>
    </row>
    <row r="166" spans="1:16" x14ac:dyDescent="0.3">
      <c r="A166" s="116">
        <v>8309</v>
      </c>
      <c r="B166" s="114" t="s">
        <v>169</v>
      </c>
      <c r="C166" s="115">
        <v>0.01</v>
      </c>
      <c r="D166" s="115">
        <v>0.03</v>
      </c>
      <c r="E166" s="115">
        <v>0.04</v>
      </c>
      <c r="F166" s="115">
        <v>0.02</v>
      </c>
      <c r="G166" s="115">
        <v>0.02</v>
      </c>
      <c r="H166" s="115">
        <v>0.04</v>
      </c>
      <c r="I166" s="115">
        <v>0.05</v>
      </c>
      <c r="J166" s="115">
        <v>0.06</v>
      </c>
      <c r="K166" s="115">
        <v>0.09</v>
      </c>
      <c r="L166" s="115">
        <v>0.05</v>
      </c>
      <c r="M166" s="115" t="str">
        <f>VLOOKUP(A166,Product_Mapping!$B:$D,3,FALSE)</f>
        <v>Hardware</v>
      </c>
      <c r="O166" s="147"/>
      <c r="P166" s="147"/>
    </row>
    <row r="167" spans="1:16" x14ac:dyDescent="0.3">
      <c r="A167" s="116">
        <v>8310</v>
      </c>
      <c r="B167" s="114" t="s">
        <v>168</v>
      </c>
      <c r="C167" s="115">
        <v>0.02</v>
      </c>
      <c r="D167" s="115">
        <v>0.02</v>
      </c>
      <c r="E167" s="115">
        <v>0.01</v>
      </c>
      <c r="F167" s="115">
        <v>0</v>
      </c>
      <c r="G167" s="115">
        <v>0.01</v>
      </c>
      <c r="H167" s="115">
        <v>0.01</v>
      </c>
      <c r="I167" s="115">
        <v>0.04</v>
      </c>
      <c r="J167" s="115">
        <v>0.01</v>
      </c>
      <c r="K167" s="115">
        <v>0.01</v>
      </c>
      <c r="L167" s="115">
        <v>0.01</v>
      </c>
      <c r="M167" s="115" t="str">
        <f>VLOOKUP(A167,Product_Mapping!$B:$D,3,FALSE)</f>
        <v>Hardware</v>
      </c>
      <c r="O167" s="147"/>
      <c r="P167" s="147"/>
    </row>
    <row r="168" spans="1:16" x14ac:dyDescent="0.3">
      <c r="A168" s="116">
        <v>8308</v>
      </c>
      <c r="B168" s="114" t="s">
        <v>170</v>
      </c>
      <c r="C168" s="115">
        <v>0.01</v>
      </c>
      <c r="D168" s="115">
        <v>0.01</v>
      </c>
      <c r="E168" s="115">
        <v>0.02</v>
      </c>
      <c r="F168" s="115">
        <v>0.02</v>
      </c>
      <c r="G168" s="115">
        <v>0.04</v>
      </c>
      <c r="H168" s="115">
        <v>0.02</v>
      </c>
      <c r="I168" s="115">
        <v>0.04</v>
      </c>
      <c r="J168" s="115">
        <v>0.05</v>
      </c>
      <c r="K168" s="115">
        <v>0.01</v>
      </c>
      <c r="L168" s="115">
        <v>0.01</v>
      </c>
      <c r="M168" s="115" t="str">
        <f>VLOOKUP(A168,Product_Mapping!$B:$D,3,FALSE)</f>
        <v>Hardware</v>
      </c>
      <c r="O168" s="147"/>
      <c r="P168" s="147"/>
    </row>
    <row r="169" spans="1:16" x14ac:dyDescent="0.3">
      <c r="A169" s="116">
        <v>8303</v>
      </c>
      <c r="B169" s="114" t="s">
        <v>172</v>
      </c>
      <c r="C169" s="115">
        <v>0</v>
      </c>
      <c r="D169" s="115">
        <v>0</v>
      </c>
      <c r="E169" s="115">
        <v>0</v>
      </c>
      <c r="F169" s="115">
        <v>0</v>
      </c>
      <c r="G169" s="115">
        <v>0</v>
      </c>
      <c r="H169" s="115">
        <v>0</v>
      </c>
      <c r="I169" s="115">
        <v>0.01</v>
      </c>
      <c r="J169" s="115">
        <v>0</v>
      </c>
      <c r="K169" s="115">
        <v>0</v>
      </c>
      <c r="L169" s="115">
        <v>0</v>
      </c>
      <c r="M169" s="115" t="str">
        <f>VLOOKUP(A169,Product_Mapping!$B:$D,3,FALSE)</f>
        <v>Hardware</v>
      </c>
      <c r="O169" s="147"/>
      <c r="P169" s="147"/>
    </row>
    <row r="170" spans="1:16" x14ac:dyDescent="0.3">
      <c r="A170" s="116">
        <v>8304</v>
      </c>
      <c r="B170" s="114" t="s">
        <v>174</v>
      </c>
      <c r="C170" s="115">
        <v>0</v>
      </c>
      <c r="D170" s="115">
        <v>0</v>
      </c>
      <c r="E170" s="115">
        <v>0</v>
      </c>
      <c r="F170" s="115" t="s">
        <v>48</v>
      </c>
      <c r="G170" s="115">
        <v>0</v>
      </c>
      <c r="H170" s="115">
        <v>0</v>
      </c>
      <c r="I170" s="115">
        <v>0.01</v>
      </c>
      <c r="J170" s="115">
        <v>0.01</v>
      </c>
      <c r="K170" s="115">
        <v>0</v>
      </c>
      <c r="L170" s="115">
        <v>0</v>
      </c>
      <c r="M170" s="115" t="str">
        <f>VLOOKUP(A170,Product_Mapping!$B:$D,3,FALSE)</f>
        <v>Hardware</v>
      </c>
      <c r="O170" s="147"/>
      <c r="P170" s="147"/>
    </row>
    <row r="171" spans="1:16" x14ac:dyDescent="0.3">
      <c r="A171" s="116">
        <v>8411</v>
      </c>
      <c r="B171" s="114" t="s">
        <v>177</v>
      </c>
      <c r="C171" s="115">
        <v>64.22</v>
      </c>
      <c r="D171" s="115">
        <v>72.27</v>
      </c>
      <c r="E171" s="115">
        <v>154.91</v>
      </c>
      <c r="F171" s="115">
        <v>45.04</v>
      </c>
      <c r="G171" s="115">
        <v>31.57</v>
      </c>
      <c r="H171" s="115">
        <v>151.13</v>
      </c>
      <c r="I171" s="115">
        <v>98.27</v>
      </c>
      <c r="J171" s="115">
        <v>145.52000000000001</v>
      </c>
      <c r="K171" s="115">
        <v>249.63</v>
      </c>
      <c r="L171" s="115">
        <v>326.3</v>
      </c>
      <c r="M171" s="115" t="str">
        <f>VLOOKUP(A171,Product_Mapping!$B:$D,3,FALSE)</f>
        <v>Kitchen Fittings</v>
      </c>
      <c r="O171" s="147"/>
      <c r="P171" s="147"/>
    </row>
    <row r="172" spans="1:16" x14ac:dyDescent="0.3">
      <c r="A172" s="116">
        <v>8409</v>
      </c>
      <c r="B172" s="114" t="s">
        <v>179</v>
      </c>
      <c r="C172" s="115">
        <v>18.18</v>
      </c>
      <c r="D172" s="115">
        <v>16.350000000000001</v>
      </c>
      <c r="E172" s="115">
        <v>19.329999999999998</v>
      </c>
      <c r="F172" s="115">
        <v>18.45</v>
      </c>
      <c r="G172" s="115">
        <v>14.56</v>
      </c>
      <c r="H172" s="115">
        <v>21.82</v>
      </c>
      <c r="I172" s="115">
        <v>33.06</v>
      </c>
      <c r="J172" s="115">
        <v>34.31</v>
      </c>
      <c r="K172" s="115">
        <v>34.35</v>
      </c>
      <c r="L172" s="115">
        <v>40.340000000000003</v>
      </c>
      <c r="M172" s="115" t="str">
        <f>VLOOKUP(A172,Product_Mapping!$B:$D,3,FALSE)</f>
        <v>Kitchen Fittings</v>
      </c>
      <c r="O172" s="147"/>
      <c r="P172" s="147"/>
    </row>
    <row r="173" spans="1:16" x14ac:dyDescent="0.3">
      <c r="A173" s="116">
        <v>8413</v>
      </c>
      <c r="B173" s="114" t="s">
        <v>185</v>
      </c>
      <c r="C173" s="115">
        <v>6.5</v>
      </c>
      <c r="D173" s="115">
        <v>7.17</v>
      </c>
      <c r="E173" s="115">
        <v>6.14</v>
      </c>
      <c r="F173" s="115">
        <v>10.4</v>
      </c>
      <c r="G173" s="115">
        <v>7.51</v>
      </c>
      <c r="H173" s="115">
        <v>10.27</v>
      </c>
      <c r="I173" s="115">
        <v>14.4</v>
      </c>
      <c r="J173" s="115">
        <v>12.97</v>
      </c>
      <c r="K173" s="115">
        <v>12.78</v>
      </c>
      <c r="L173" s="115">
        <v>22.46</v>
      </c>
      <c r="M173" s="115" t="str">
        <f>VLOOKUP(A173,Product_Mapping!$B:$D,3,FALSE)</f>
        <v>Kitchen Fittings</v>
      </c>
      <c r="O173" s="147"/>
      <c r="P173" s="147"/>
    </row>
    <row r="174" spans="1:16" x14ac:dyDescent="0.3">
      <c r="A174" s="116">
        <v>8481</v>
      </c>
      <c r="B174" s="114" t="s">
        <v>180</v>
      </c>
      <c r="C174" s="115">
        <v>24.09</v>
      </c>
      <c r="D174" s="115">
        <v>24.01</v>
      </c>
      <c r="E174" s="115">
        <v>26.77</v>
      </c>
      <c r="F174" s="115">
        <v>28.54</v>
      </c>
      <c r="G174" s="115">
        <v>20.85</v>
      </c>
      <c r="H174" s="115">
        <v>26.87</v>
      </c>
      <c r="I174" s="115">
        <v>33.880000000000003</v>
      </c>
      <c r="J174" s="115">
        <v>31.5</v>
      </c>
      <c r="K174" s="115">
        <v>23.47</v>
      </c>
      <c r="L174" s="115">
        <v>19.600000000000001</v>
      </c>
      <c r="M174" s="115" t="str">
        <f>VLOOKUP(A174,Product_Mapping!$B:$D,3,FALSE)</f>
        <v>Kitchen Fittings</v>
      </c>
      <c r="O174" s="147"/>
      <c r="P174" s="147"/>
    </row>
    <row r="175" spans="1:16" x14ac:dyDescent="0.3">
      <c r="A175" s="116">
        <v>8477</v>
      </c>
      <c r="B175" s="114" t="s">
        <v>181</v>
      </c>
      <c r="C175" s="115">
        <v>12.75</v>
      </c>
      <c r="D175" s="115">
        <v>12.29</v>
      </c>
      <c r="E175" s="115">
        <v>13.49</v>
      </c>
      <c r="F175" s="115">
        <v>13.07</v>
      </c>
      <c r="G175" s="115">
        <v>16.100000000000001</v>
      </c>
      <c r="H175" s="115">
        <v>21.35</v>
      </c>
      <c r="I175" s="115">
        <v>16.559999999999999</v>
      </c>
      <c r="J175" s="115">
        <v>12.01</v>
      </c>
      <c r="K175" s="115">
        <v>16.940000000000001</v>
      </c>
      <c r="L175" s="115">
        <v>19.43</v>
      </c>
      <c r="M175" s="115" t="str">
        <f>VLOOKUP(A175,Product_Mapping!$B:$D,3,FALSE)</f>
        <v>Kitchen Fittings</v>
      </c>
      <c r="O175" s="147"/>
      <c r="P175" s="147"/>
    </row>
    <row r="176" spans="1:16" x14ac:dyDescent="0.3">
      <c r="A176" s="116">
        <v>8408</v>
      </c>
      <c r="B176" s="114" t="s">
        <v>191</v>
      </c>
      <c r="C176" s="115">
        <v>5.5</v>
      </c>
      <c r="D176" s="115">
        <v>10.9</v>
      </c>
      <c r="E176" s="115">
        <v>13.58</v>
      </c>
      <c r="F176" s="115">
        <v>17.850000000000001</v>
      </c>
      <c r="G176" s="115">
        <v>9.1199999999999992</v>
      </c>
      <c r="H176" s="115">
        <v>17.91</v>
      </c>
      <c r="I176" s="115">
        <v>17.440000000000001</v>
      </c>
      <c r="J176" s="115">
        <v>17.53</v>
      </c>
      <c r="K176" s="115">
        <v>12.47</v>
      </c>
      <c r="L176" s="115">
        <v>18.53</v>
      </c>
      <c r="M176" s="115" t="str">
        <f>VLOOKUP(A176,Product_Mapping!$B:$D,3,FALSE)</f>
        <v>Kitchen Fittings</v>
      </c>
      <c r="O176" s="147"/>
      <c r="P176" s="147"/>
    </row>
    <row r="177" spans="1:16" x14ac:dyDescent="0.3">
      <c r="A177" s="116">
        <v>8431</v>
      </c>
      <c r="B177" s="114" t="s">
        <v>184</v>
      </c>
      <c r="C177" s="115">
        <v>12.05</v>
      </c>
      <c r="D177" s="115">
        <v>13.29</v>
      </c>
      <c r="E177" s="115">
        <v>14.49</v>
      </c>
      <c r="F177" s="115">
        <v>15.52</v>
      </c>
      <c r="G177" s="115">
        <v>10.49</v>
      </c>
      <c r="H177" s="115">
        <v>15.93</v>
      </c>
      <c r="I177" s="115">
        <v>16.41</v>
      </c>
      <c r="J177" s="115">
        <v>16.43</v>
      </c>
      <c r="K177" s="115">
        <v>17.45</v>
      </c>
      <c r="L177" s="115">
        <v>17.100000000000001</v>
      </c>
      <c r="M177" s="115" t="str">
        <f>VLOOKUP(A177,Product_Mapping!$B:$D,3,FALSE)</f>
        <v>Kitchen Fittings</v>
      </c>
      <c r="O177" s="147"/>
      <c r="P177" s="147"/>
    </row>
    <row r="178" spans="1:16" x14ac:dyDescent="0.3">
      <c r="A178" s="116">
        <v>8406</v>
      </c>
      <c r="B178" s="114" t="s">
        <v>210</v>
      </c>
      <c r="C178" s="115">
        <v>6.26</v>
      </c>
      <c r="D178" s="115">
        <v>5.81</v>
      </c>
      <c r="E178" s="115">
        <v>51.58</v>
      </c>
      <c r="F178" s="115">
        <v>31.49</v>
      </c>
      <c r="G178" s="115">
        <v>67.69</v>
      </c>
      <c r="H178" s="115">
        <v>103.07</v>
      </c>
      <c r="I178" s="115">
        <v>24.8</v>
      </c>
      <c r="J178" s="115">
        <v>24.91</v>
      </c>
      <c r="K178" s="115">
        <v>10.94</v>
      </c>
      <c r="L178" s="115">
        <v>16.91</v>
      </c>
      <c r="M178" s="115" t="str">
        <f>VLOOKUP(A178,Product_Mapping!$B:$D,3,FALSE)</f>
        <v>Kitchen Fittings</v>
      </c>
      <c r="O178" s="147"/>
      <c r="P178" s="147"/>
    </row>
    <row r="179" spans="1:16" x14ac:dyDescent="0.3">
      <c r="A179" s="116">
        <v>8482</v>
      </c>
      <c r="B179" s="114" t="s">
        <v>183</v>
      </c>
      <c r="C179" s="115">
        <v>11.45</v>
      </c>
      <c r="D179" s="115">
        <v>11.31</v>
      </c>
      <c r="E179" s="115">
        <v>17.97</v>
      </c>
      <c r="F179" s="115">
        <v>12.94</v>
      </c>
      <c r="G179" s="115">
        <v>5.99</v>
      </c>
      <c r="H179" s="115">
        <v>12.36</v>
      </c>
      <c r="I179" s="115">
        <v>14.33</v>
      </c>
      <c r="J179" s="115">
        <v>13.07</v>
      </c>
      <c r="K179" s="115">
        <v>8.6</v>
      </c>
      <c r="L179" s="115">
        <v>13.41</v>
      </c>
      <c r="M179" s="115" t="str">
        <f>VLOOKUP(A179,Product_Mapping!$B:$D,3,FALSE)</f>
        <v>Kitchen Fittings</v>
      </c>
      <c r="O179" s="147"/>
      <c r="P179" s="147"/>
    </row>
    <row r="180" spans="1:16" x14ac:dyDescent="0.3">
      <c r="A180" s="116">
        <v>8483</v>
      </c>
      <c r="B180" s="114" t="s">
        <v>190</v>
      </c>
      <c r="C180" s="115">
        <v>11.8</v>
      </c>
      <c r="D180" s="115">
        <v>11.04</v>
      </c>
      <c r="E180" s="115">
        <v>12.03</v>
      </c>
      <c r="F180" s="115">
        <v>10.31</v>
      </c>
      <c r="G180" s="115">
        <v>7.33</v>
      </c>
      <c r="H180" s="115">
        <v>12.41</v>
      </c>
      <c r="I180" s="115">
        <v>11.51</v>
      </c>
      <c r="J180" s="115">
        <v>14.28</v>
      </c>
      <c r="K180" s="115">
        <v>13.32</v>
      </c>
      <c r="L180" s="115">
        <v>12.99</v>
      </c>
      <c r="M180" s="115" t="str">
        <f>VLOOKUP(A180,Product_Mapping!$B:$D,3,FALSE)</f>
        <v>Kitchen Fittings</v>
      </c>
      <c r="O180" s="147"/>
      <c r="P180" s="147"/>
    </row>
    <row r="181" spans="1:16" x14ac:dyDescent="0.3">
      <c r="A181" s="116">
        <v>8414</v>
      </c>
      <c r="B181" s="114" t="s">
        <v>182</v>
      </c>
      <c r="C181" s="115">
        <v>8.6300000000000008</v>
      </c>
      <c r="D181" s="115">
        <v>10.79</v>
      </c>
      <c r="E181" s="115">
        <v>15.26</v>
      </c>
      <c r="F181" s="115">
        <v>11.33</v>
      </c>
      <c r="G181" s="115">
        <v>8.4600000000000009</v>
      </c>
      <c r="H181" s="115">
        <v>14.47</v>
      </c>
      <c r="I181" s="115">
        <v>13.9</v>
      </c>
      <c r="J181" s="115">
        <v>14.25</v>
      </c>
      <c r="K181" s="115">
        <v>12.5</v>
      </c>
      <c r="L181" s="115">
        <v>12.16</v>
      </c>
      <c r="M181" s="115" t="str">
        <f>VLOOKUP(A181,Product_Mapping!$B:$D,3,FALSE)</f>
        <v>Kitchen Fittings</v>
      </c>
      <c r="O181" s="147"/>
      <c r="P181" s="147"/>
    </row>
    <row r="182" spans="1:16" x14ac:dyDescent="0.3">
      <c r="A182" s="116">
        <v>8421</v>
      </c>
      <c r="B182" s="114" t="s">
        <v>188</v>
      </c>
      <c r="C182" s="115">
        <v>3.52</v>
      </c>
      <c r="D182" s="115">
        <v>3.7</v>
      </c>
      <c r="E182" s="115">
        <v>4.7699999999999996</v>
      </c>
      <c r="F182" s="115">
        <v>5.81</v>
      </c>
      <c r="G182" s="115">
        <v>5.1100000000000003</v>
      </c>
      <c r="H182" s="115">
        <v>24.02</v>
      </c>
      <c r="I182" s="115">
        <v>20.41</v>
      </c>
      <c r="J182" s="115">
        <v>10.71</v>
      </c>
      <c r="K182" s="115">
        <v>9.32</v>
      </c>
      <c r="L182" s="115">
        <v>11.25</v>
      </c>
      <c r="M182" s="115" t="str">
        <f>VLOOKUP(A182,Product_Mapping!$B:$D,3,FALSE)</f>
        <v>Kitchen Fittings</v>
      </c>
      <c r="O182" s="147"/>
      <c r="P182" s="147"/>
    </row>
    <row r="183" spans="1:16" x14ac:dyDescent="0.3">
      <c r="A183" s="116">
        <v>8480</v>
      </c>
      <c r="B183" s="114" t="s">
        <v>217</v>
      </c>
      <c r="C183" s="115">
        <v>5.34</v>
      </c>
      <c r="D183" s="115">
        <v>6.46</v>
      </c>
      <c r="E183" s="115">
        <v>6.87</v>
      </c>
      <c r="F183" s="115">
        <v>6.61</v>
      </c>
      <c r="G183" s="115">
        <v>5.84</v>
      </c>
      <c r="H183" s="115">
        <v>9.51</v>
      </c>
      <c r="I183" s="115">
        <v>7.9</v>
      </c>
      <c r="J183" s="115">
        <v>6.85</v>
      </c>
      <c r="K183" s="115">
        <v>9.6999999999999993</v>
      </c>
      <c r="L183" s="115">
        <v>9.6</v>
      </c>
      <c r="M183" s="115" t="str">
        <f>VLOOKUP(A183,Product_Mapping!$B:$D,3,FALSE)</f>
        <v>Kitchen Fittings</v>
      </c>
      <c r="O183" s="147"/>
      <c r="P183" s="147"/>
    </row>
    <row r="184" spans="1:16" x14ac:dyDescent="0.3">
      <c r="A184" s="116">
        <v>8486</v>
      </c>
      <c r="B184" s="114" t="s">
        <v>216</v>
      </c>
      <c r="C184" s="115">
        <v>1.01</v>
      </c>
      <c r="D184" s="115">
        <v>1.4</v>
      </c>
      <c r="E184" s="115">
        <v>1.79</v>
      </c>
      <c r="F184" s="115">
        <v>2.2999999999999998</v>
      </c>
      <c r="G184" s="115">
        <v>3.96</v>
      </c>
      <c r="H184" s="115">
        <v>5.76</v>
      </c>
      <c r="I184" s="115">
        <v>8.89</v>
      </c>
      <c r="J184" s="115">
        <v>5.94</v>
      </c>
      <c r="K184" s="115">
        <v>7.08</v>
      </c>
      <c r="L184" s="115">
        <v>8.7200000000000006</v>
      </c>
      <c r="M184" s="115" t="str">
        <f>VLOOKUP(A184,Product_Mapping!$B:$D,3,FALSE)</f>
        <v>Kitchen Fittings</v>
      </c>
      <c r="O184" s="147"/>
      <c r="P184" s="147"/>
    </row>
    <row r="185" spans="1:16" x14ac:dyDescent="0.3">
      <c r="A185" s="116">
        <v>8479</v>
      </c>
      <c r="B185" s="114" t="s">
        <v>175</v>
      </c>
      <c r="C185" s="115">
        <v>4.3499999999999996</v>
      </c>
      <c r="D185" s="115">
        <v>4.04</v>
      </c>
      <c r="E185" s="115">
        <v>8.26</v>
      </c>
      <c r="F185" s="115">
        <v>6.39</v>
      </c>
      <c r="G185" s="115">
        <v>5.74</v>
      </c>
      <c r="H185" s="115">
        <v>3.19</v>
      </c>
      <c r="I185" s="115">
        <v>6.05</v>
      </c>
      <c r="J185" s="115">
        <v>3.56</v>
      </c>
      <c r="K185" s="115">
        <v>4.83</v>
      </c>
      <c r="L185" s="115">
        <v>7.58</v>
      </c>
      <c r="M185" s="115" t="str">
        <f>VLOOKUP(A185,Product_Mapping!$B:$D,3,FALSE)</f>
        <v>Kitchen Fittings</v>
      </c>
      <c r="O185" s="147"/>
      <c r="P185" s="147"/>
    </row>
    <row r="186" spans="1:16" x14ac:dyDescent="0.3">
      <c r="A186" s="116">
        <v>8473</v>
      </c>
      <c r="B186" s="114" t="s">
        <v>202</v>
      </c>
      <c r="C186" s="115">
        <v>2.15</v>
      </c>
      <c r="D186" s="115">
        <v>1.66</v>
      </c>
      <c r="E186" s="115">
        <v>1.5</v>
      </c>
      <c r="F186" s="115">
        <v>1.83</v>
      </c>
      <c r="G186" s="115">
        <v>1.48</v>
      </c>
      <c r="H186" s="115">
        <v>0.68</v>
      </c>
      <c r="I186" s="115">
        <v>1.71</v>
      </c>
      <c r="J186" s="115">
        <v>2.25</v>
      </c>
      <c r="K186" s="115">
        <v>3</v>
      </c>
      <c r="L186" s="115">
        <v>7.18</v>
      </c>
      <c r="M186" s="115" t="str">
        <f>VLOOKUP(A186,Product_Mapping!$B:$D,3,FALSE)</f>
        <v>Kitchen Fittings</v>
      </c>
      <c r="O186" s="147"/>
      <c r="P186" s="147"/>
    </row>
    <row r="187" spans="1:16" x14ac:dyDescent="0.3">
      <c r="A187" s="116">
        <v>8474</v>
      </c>
      <c r="B187" s="114" t="s">
        <v>224</v>
      </c>
      <c r="C187" s="115">
        <v>1.53</v>
      </c>
      <c r="D187" s="115">
        <v>1.7</v>
      </c>
      <c r="E187" s="115">
        <v>2.96</v>
      </c>
      <c r="F187" s="115">
        <v>5.66</v>
      </c>
      <c r="G187" s="115">
        <v>3.27</v>
      </c>
      <c r="H187" s="115">
        <v>3.21</v>
      </c>
      <c r="I187" s="115">
        <v>4.6900000000000004</v>
      </c>
      <c r="J187" s="115">
        <v>6.19</v>
      </c>
      <c r="K187" s="115">
        <v>3.06</v>
      </c>
      <c r="L187" s="115">
        <v>6.44</v>
      </c>
      <c r="M187" s="115" t="str">
        <f>VLOOKUP(A187,Product_Mapping!$B:$D,3,FALSE)</f>
        <v>Kitchen Fittings</v>
      </c>
      <c r="O187" s="147"/>
      <c r="P187" s="147"/>
    </row>
    <row r="188" spans="1:16" x14ac:dyDescent="0.3">
      <c r="A188" s="116">
        <v>8443</v>
      </c>
      <c r="B188" s="114" t="s">
        <v>178</v>
      </c>
      <c r="C188" s="115">
        <v>8.3800000000000008</v>
      </c>
      <c r="D188" s="115">
        <v>7.37</v>
      </c>
      <c r="E188" s="115">
        <v>9.25</v>
      </c>
      <c r="F188" s="115">
        <v>8.6199999999999992</v>
      </c>
      <c r="G188" s="115">
        <v>6.1</v>
      </c>
      <c r="H188" s="115">
        <v>7.33</v>
      </c>
      <c r="I188" s="115">
        <v>9.64</v>
      </c>
      <c r="J188" s="115">
        <v>9.57</v>
      </c>
      <c r="K188" s="115">
        <v>9.8000000000000007</v>
      </c>
      <c r="L188" s="115">
        <v>4.71</v>
      </c>
      <c r="M188" s="115" t="str">
        <f>VLOOKUP(A188,Product_Mapping!$B:$D,3,FALSE)</f>
        <v>Kitchen Fittings</v>
      </c>
      <c r="O188" s="147"/>
      <c r="P188" s="147"/>
    </row>
    <row r="189" spans="1:16" x14ac:dyDescent="0.3">
      <c r="A189" s="116">
        <v>8412</v>
      </c>
      <c r="B189" s="114" t="s">
        <v>196</v>
      </c>
      <c r="C189" s="115">
        <v>3.84</v>
      </c>
      <c r="D189" s="115">
        <v>4.49</v>
      </c>
      <c r="E189" s="115">
        <v>5.15</v>
      </c>
      <c r="F189" s="115">
        <v>6.94</v>
      </c>
      <c r="G189" s="115">
        <v>5.33</v>
      </c>
      <c r="H189" s="115">
        <v>8.3000000000000007</v>
      </c>
      <c r="I189" s="115">
        <v>7.99</v>
      </c>
      <c r="J189" s="115">
        <v>5.86</v>
      </c>
      <c r="K189" s="115">
        <v>14.85</v>
      </c>
      <c r="L189" s="115">
        <v>4.3499999999999996</v>
      </c>
      <c r="M189" s="115" t="str">
        <f>VLOOKUP(A189,Product_Mapping!$B:$D,3,FALSE)</f>
        <v>Kitchen Fittings</v>
      </c>
      <c r="O189" s="147"/>
      <c r="P189" s="147"/>
    </row>
    <row r="190" spans="1:16" x14ac:dyDescent="0.3">
      <c r="A190" s="116">
        <v>8410</v>
      </c>
      <c r="B190" s="114" t="s">
        <v>252</v>
      </c>
      <c r="C190" s="115">
        <v>0.42</v>
      </c>
      <c r="D190" s="115">
        <v>0.13</v>
      </c>
      <c r="E190" s="115">
        <v>0.01</v>
      </c>
      <c r="F190" s="115">
        <v>0</v>
      </c>
      <c r="G190" s="115">
        <v>0</v>
      </c>
      <c r="H190" s="115">
        <v>0</v>
      </c>
      <c r="I190" s="115">
        <v>0.35</v>
      </c>
      <c r="J190" s="115">
        <v>0.42</v>
      </c>
      <c r="K190" s="115">
        <v>1.72</v>
      </c>
      <c r="L190" s="115">
        <v>4.08</v>
      </c>
      <c r="M190" s="115" t="str">
        <f>VLOOKUP(A190,Product_Mapping!$B:$D,3,FALSE)</f>
        <v>Kitchen Fittings</v>
      </c>
      <c r="O190" s="147"/>
      <c r="P190" s="147"/>
    </row>
    <row r="191" spans="1:16" x14ac:dyDescent="0.3">
      <c r="A191" s="116">
        <v>8466</v>
      </c>
      <c r="B191" s="114" t="s">
        <v>189</v>
      </c>
      <c r="C191" s="115">
        <v>1.48</v>
      </c>
      <c r="D191" s="115">
        <v>3.62</v>
      </c>
      <c r="E191" s="115">
        <v>3.4</v>
      </c>
      <c r="F191" s="115">
        <v>3.48</v>
      </c>
      <c r="G191" s="115">
        <v>2.15</v>
      </c>
      <c r="H191" s="115">
        <v>2.4300000000000002</v>
      </c>
      <c r="I191" s="115">
        <v>3.79</v>
      </c>
      <c r="J191" s="115">
        <v>3.67</v>
      </c>
      <c r="K191" s="115">
        <v>2.65</v>
      </c>
      <c r="L191" s="115">
        <v>3.69</v>
      </c>
      <c r="M191" s="115" t="str">
        <f>VLOOKUP(A191,Product_Mapping!$B:$D,3,FALSE)</f>
        <v>Kitchen Fittings</v>
      </c>
      <c r="O191" s="147"/>
      <c r="P191" s="147"/>
    </row>
    <row r="192" spans="1:16" x14ac:dyDescent="0.3">
      <c r="A192" s="116">
        <v>8419</v>
      </c>
      <c r="B192" s="114" t="s">
        <v>206</v>
      </c>
      <c r="C192" s="115">
        <v>5.8</v>
      </c>
      <c r="D192" s="115">
        <v>1.87</v>
      </c>
      <c r="E192" s="115">
        <v>1.93</v>
      </c>
      <c r="F192" s="115">
        <v>4.0599999999999996</v>
      </c>
      <c r="G192" s="115">
        <v>2.71</v>
      </c>
      <c r="H192" s="115">
        <v>2.37</v>
      </c>
      <c r="I192" s="115">
        <v>2.46</v>
      </c>
      <c r="J192" s="115">
        <v>2.76</v>
      </c>
      <c r="K192" s="115">
        <v>3.65</v>
      </c>
      <c r="L192" s="115">
        <v>3.18</v>
      </c>
      <c r="M192" s="115" t="str">
        <f>VLOOKUP(A192,Product_Mapping!$B:$D,3,FALSE)</f>
        <v>Kitchen Fittings</v>
      </c>
      <c r="O192" s="147"/>
      <c r="P192" s="147"/>
    </row>
    <row r="193" spans="1:16" x14ac:dyDescent="0.3">
      <c r="A193" s="116">
        <v>8415</v>
      </c>
      <c r="B193" s="114" t="s">
        <v>199</v>
      </c>
      <c r="C193" s="115">
        <v>0.44</v>
      </c>
      <c r="D193" s="115">
        <v>0.34</v>
      </c>
      <c r="E193" s="115">
        <v>0.28999999999999998</v>
      </c>
      <c r="F193" s="115">
        <v>0.79</v>
      </c>
      <c r="G193" s="115">
        <v>0.81</v>
      </c>
      <c r="H193" s="115">
        <v>0.67</v>
      </c>
      <c r="I193" s="115">
        <v>1</v>
      </c>
      <c r="J193" s="115">
        <v>1.34</v>
      </c>
      <c r="K193" s="115">
        <v>3.18</v>
      </c>
      <c r="L193" s="115">
        <v>3.05</v>
      </c>
      <c r="M193" s="115" t="str">
        <f>VLOOKUP(A193,Product_Mapping!$B:$D,3,FALSE)</f>
        <v>Kitchen Fittings</v>
      </c>
      <c r="O193" s="147"/>
      <c r="P193" s="147"/>
    </row>
    <row r="194" spans="1:16" x14ac:dyDescent="0.3">
      <c r="A194" s="116">
        <v>8428</v>
      </c>
      <c r="B194" s="114" t="s">
        <v>198</v>
      </c>
      <c r="C194" s="115">
        <v>0.35</v>
      </c>
      <c r="D194" s="115">
        <v>2.94</v>
      </c>
      <c r="E194" s="115">
        <v>1.04</v>
      </c>
      <c r="F194" s="115">
        <v>3.77</v>
      </c>
      <c r="G194" s="115">
        <v>0.49</v>
      </c>
      <c r="H194" s="115">
        <v>1.81</v>
      </c>
      <c r="I194" s="115">
        <v>4.34</v>
      </c>
      <c r="J194" s="115">
        <v>5.45</v>
      </c>
      <c r="K194" s="115">
        <v>2.78</v>
      </c>
      <c r="L194" s="115">
        <v>2.84</v>
      </c>
      <c r="M194" s="115" t="str">
        <f>VLOOKUP(A194,Product_Mapping!$B:$D,3,FALSE)</f>
        <v>Kitchen Fittings</v>
      </c>
      <c r="O194" s="147"/>
      <c r="P194" s="147"/>
    </row>
    <row r="195" spans="1:16" x14ac:dyDescent="0.3">
      <c r="A195" s="116">
        <v>8475</v>
      </c>
      <c r="B195" s="114" t="s">
        <v>243</v>
      </c>
      <c r="C195" s="115">
        <v>0.01</v>
      </c>
      <c r="D195" s="115">
        <v>0</v>
      </c>
      <c r="E195" s="115" t="s">
        <v>48</v>
      </c>
      <c r="F195" s="115">
        <v>0</v>
      </c>
      <c r="G195" s="115">
        <v>1.1399999999999999</v>
      </c>
      <c r="H195" s="115">
        <v>3.72</v>
      </c>
      <c r="I195" s="115">
        <v>6.13</v>
      </c>
      <c r="J195" s="115">
        <v>20.059999999999999</v>
      </c>
      <c r="K195" s="115">
        <v>2.62</v>
      </c>
      <c r="L195" s="115">
        <v>2.77</v>
      </c>
      <c r="M195" s="115" t="str">
        <f>VLOOKUP(A195,Product_Mapping!$B:$D,3,FALSE)</f>
        <v>Kitchen Fittings</v>
      </c>
      <c r="O195" s="147"/>
      <c r="P195" s="147"/>
    </row>
    <row r="196" spans="1:16" x14ac:dyDescent="0.3">
      <c r="A196" s="116">
        <v>8484</v>
      </c>
      <c r="B196" s="114" t="s">
        <v>219</v>
      </c>
      <c r="C196" s="115">
        <v>0.35</v>
      </c>
      <c r="D196" s="115">
        <v>0.84</v>
      </c>
      <c r="E196" s="115">
        <v>1.5</v>
      </c>
      <c r="F196" s="115">
        <v>0.93</v>
      </c>
      <c r="G196" s="115">
        <v>1.56</v>
      </c>
      <c r="H196" s="115">
        <v>1.74</v>
      </c>
      <c r="I196" s="115">
        <v>2.4700000000000002</v>
      </c>
      <c r="J196" s="115">
        <v>2.78</v>
      </c>
      <c r="K196" s="115">
        <v>1.75</v>
      </c>
      <c r="L196" s="115">
        <v>1.48</v>
      </c>
      <c r="M196" s="115" t="str">
        <f>VLOOKUP(A196,Product_Mapping!$B:$D,3,FALSE)</f>
        <v>Kitchen Fittings</v>
      </c>
      <c r="O196" s="147"/>
      <c r="P196" s="147"/>
    </row>
    <row r="197" spans="1:16" x14ac:dyDescent="0.3">
      <c r="A197" s="116">
        <v>8487</v>
      </c>
      <c r="B197" s="114" t="s">
        <v>225</v>
      </c>
      <c r="C197" s="115">
        <v>0.09</v>
      </c>
      <c r="D197" s="115">
        <v>0.12</v>
      </c>
      <c r="E197" s="115">
        <v>0.34</v>
      </c>
      <c r="F197" s="115">
        <v>0.34</v>
      </c>
      <c r="G197" s="115">
        <v>1.45</v>
      </c>
      <c r="H197" s="115">
        <v>0.56000000000000005</v>
      </c>
      <c r="I197" s="115">
        <v>0.64</v>
      </c>
      <c r="J197" s="115">
        <v>1.06</v>
      </c>
      <c r="K197" s="115">
        <v>3.22</v>
      </c>
      <c r="L197" s="115">
        <v>1.43</v>
      </c>
      <c r="M197" s="115" t="str">
        <f>VLOOKUP(A197,Product_Mapping!$B:$D,3,FALSE)</f>
        <v>Kitchen Fittings</v>
      </c>
      <c r="O197" s="147"/>
      <c r="P197" s="147"/>
    </row>
    <row r="198" spans="1:16" x14ac:dyDescent="0.3">
      <c r="A198" s="116">
        <v>8448</v>
      </c>
      <c r="B198" s="114" t="s">
        <v>211</v>
      </c>
      <c r="C198" s="115">
        <v>1.55</v>
      </c>
      <c r="D198" s="115">
        <v>1.49</v>
      </c>
      <c r="E198" s="115">
        <v>1.56</v>
      </c>
      <c r="F198" s="115">
        <v>1.06</v>
      </c>
      <c r="G198" s="115">
        <v>6.64</v>
      </c>
      <c r="H198" s="115">
        <v>19.87</v>
      </c>
      <c r="I198" s="115">
        <v>24.99</v>
      </c>
      <c r="J198" s="115">
        <v>5.37</v>
      </c>
      <c r="K198" s="115">
        <v>5.62</v>
      </c>
      <c r="L198" s="115">
        <v>1.32</v>
      </c>
      <c r="M198" s="115" t="str">
        <f>VLOOKUP(A198,Product_Mapping!$B:$D,3,FALSE)</f>
        <v>Kitchen Fittings</v>
      </c>
      <c r="O198" s="147"/>
      <c r="P198" s="147"/>
    </row>
    <row r="199" spans="1:16" x14ac:dyDescent="0.3">
      <c r="A199" s="116">
        <v>8438</v>
      </c>
      <c r="B199" s="114" t="s">
        <v>226</v>
      </c>
      <c r="C199" s="115">
        <v>0.1</v>
      </c>
      <c r="D199" s="115">
        <v>0.11</v>
      </c>
      <c r="E199" s="115">
        <v>0.83</v>
      </c>
      <c r="F199" s="115">
        <v>0.31</v>
      </c>
      <c r="G199" s="115">
        <v>0.17</v>
      </c>
      <c r="H199" s="115">
        <v>0.12</v>
      </c>
      <c r="I199" s="115">
        <v>0.06</v>
      </c>
      <c r="J199" s="115">
        <v>1</v>
      </c>
      <c r="K199" s="115">
        <v>0.35</v>
      </c>
      <c r="L199" s="115">
        <v>1.28</v>
      </c>
      <c r="M199" s="115" t="str">
        <f>VLOOKUP(A199,Product_Mapping!$B:$D,3,FALSE)</f>
        <v>Kitchen Fittings</v>
      </c>
      <c r="O199" s="147"/>
      <c r="P199" s="147"/>
    </row>
    <row r="200" spans="1:16" x14ac:dyDescent="0.3">
      <c r="A200" s="116">
        <v>8445</v>
      </c>
      <c r="B200" s="114" t="s">
        <v>195</v>
      </c>
      <c r="C200" s="115">
        <v>1.03</v>
      </c>
      <c r="D200" s="115">
        <v>0.18</v>
      </c>
      <c r="E200" s="115">
        <v>0.24</v>
      </c>
      <c r="F200" s="115">
        <v>0.2</v>
      </c>
      <c r="G200" s="115">
        <v>0.89</v>
      </c>
      <c r="H200" s="115">
        <v>0</v>
      </c>
      <c r="I200" s="115">
        <v>0.1</v>
      </c>
      <c r="J200" s="115">
        <v>0.49</v>
      </c>
      <c r="K200" s="115">
        <v>0</v>
      </c>
      <c r="L200" s="115">
        <v>1.24</v>
      </c>
      <c r="M200" s="115" t="str">
        <f>VLOOKUP(A200,Product_Mapping!$B:$D,3,FALSE)</f>
        <v>Kitchen Fittings</v>
      </c>
      <c r="O200" s="147"/>
      <c r="P200" s="147"/>
    </row>
    <row r="201" spans="1:16" x14ac:dyDescent="0.3">
      <c r="A201" s="116">
        <v>8422</v>
      </c>
      <c r="B201" s="114" t="s">
        <v>203</v>
      </c>
      <c r="C201" s="115">
        <v>0.43</v>
      </c>
      <c r="D201" s="115">
        <v>1.0900000000000001</v>
      </c>
      <c r="E201" s="115">
        <v>1.07</v>
      </c>
      <c r="F201" s="115">
        <v>0.62</v>
      </c>
      <c r="G201" s="115">
        <v>0.47</v>
      </c>
      <c r="H201" s="115">
        <v>0.33</v>
      </c>
      <c r="I201" s="115">
        <v>0.42</v>
      </c>
      <c r="J201" s="115">
        <v>1.1599999999999999</v>
      </c>
      <c r="K201" s="115">
        <v>1</v>
      </c>
      <c r="L201" s="115">
        <v>1.23</v>
      </c>
      <c r="M201" s="115" t="str">
        <f>VLOOKUP(A201,Product_Mapping!$B:$D,3,FALSE)</f>
        <v>Kitchen Fittings</v>
      </c>
      <c r="O201" s="147"/>
      <c r="P201" s="147"/>
    </row>
    <row r="202" spans="1:16" x14ac:dyDescent="0.3">
      <c r="A202" s="116">
        <v>8465</v>
      </c>
      <c r="B202" s="114" t="s">
        <v>240</v>
      </c>
      <c r="C202" s="115">
        <v>0.18</v>
      </c>
      <c r="D202" s="115">
        <v>0.16</v>
      </c>
      <c r="E202" s="115">
        <v>0.31</v>
      </c>
      <c r="F202" s="115">
        <v>0.51</v>
      </c>
      <c r="G202" s="115">
        <v>7.0000000000000007E-2</v>
      </c>
      <c r="H202" s="115">
        <v>0.23</v>
      </c>
      <c r="I202" s="115">
        <v>0.06</v>
      </c>
      <c r="J202" s="115">
        <v>0.26</v>
      </c>
      <c r="K202" s="115">
        <v>0.64</v>
      </c>
      <c r="L202" s="115">
        <v>1.2</v>
      </c>
      <c r="M202" s="115" t="str">
        <f>VLOOKUP(A202,Product_Mapping!$B:$D,3,FALSE)</f>
        <v>Kitchen Fittings</v>
      </c>
      <c r="O202" s="147"/>
      <c r="P202" s="147"/>
    </row>
    <row r="203" spans="1:16" x14ac:dyDescent="0.3">
      <c r="A203" s="116">
        <v>8456</v>
      </c>
      <c r="B203" s="114" t="s">
        <v>207</v>
      </c>
      <c r="C203" s="115">
        <v>0.16</v>
      </c>
      <c r="D203" s="115">
        <v>0.08</v>
      </c>
      <c r="E203" s="115">
        <v>0.28000000000000003</v>
      </c>
      <c r="F203" s="115">
        <v>0.54</v>
      </c>
      <c r="G203" s="115">
        <v>0.39</v>
      </c>
      <c r="H203" s="115">
        <v>0.82</v>
      </c>
      <c r="I203" s="115">
        <v>0.53</v>
      </c>
      <c r="J203" s="115">
        <v>0.57999999999999996</v>
      </c>
      <c r="K203" s="115">
        <v>0.56000000000000005</v>
      </c>
      <c r="L203" s="115">
        <v>1.17</v>
      </c>
      <c r="M203" s="115" t="str">
        <f>VLOOKUP(A203,Product_Mapping!$B:$D,3,FALSE)</f>
        <v>Kitchen Fittings</v>
      </c>
      <c r="O203" s="147"/>
      <c r="P203" s="147"/>
    </row>
    <row r="204" spans="1:16" x14ac:dyDescent="0.3">
      <c r="A204" s="116">
        <v>8471</v>
      </c>
      <c r="B204" s="114" t="s">
        <v>208</v>
      </c>
      <c r="C204" s="115">
        <v>0.74</v>
      </c>
      <c r="D204" s="115">
        <v>1.44</v>
      </c>
      <c r="E204" s="115">
        <v>0.53</v>
      </c>
      <c r="F204" s="115">
        <v>1.07</v>
      </c>
      <c r="G204" s="115">
        <v>0.74</v>
      </c>
      <c r="H204" s="115">
        <v>0.98</v>
      </c>
      <c r="I204" s="115">
        <v>3.53</v>
      </c>
      <c r="J204" s="115">
        <v>1.39</v>
      </c>
      <c r="K204" s="115">
        <v>1.7</v>
      </c>
      <c r="L204" s="115">
        <v>1.17</v>
      </c>
      <c r="M204" s="115" t="str">
        <f>VLOOKUP(A204,Product_Mapping!$B:$D,3,FALSE)</f>
        <v>Kitchen Fittings</v>
      </c>
      <c r="O204" s="147"/>
      <c r="P204" s="147"/>
    </row>
    <row r="205" spans="1:16" x14ac:dyDescent="0.3">
      <c r="A205" s="116">
        <v>8418</v>
      </c>
      <c r="B205" s="114" t="s">
        <v>232</v>
      </c>
      <c r="C205" s="115">
        <v>0.23</v>
      </c>
      <c r="D205" s="115">
        <v>0.66</v>
      </c>
      <c r="E205" s="115">
        <v>0.13</v>
      </c>
      <c r="F205" s="115">
        <v>0.51</v>
      </c>
      <c r="G205" s="115">
        <v>0.96</v>
      </c>
      <c r="H205" s="115">
        <v>0.8</v>
      </c>
      <c r="I205" s="115">
        <v>1.1100000000000001</v>
      </c>
      <c r="J205" s="115">
        <v>1.26</v>
      </c>
      <c r="K205" s="115">
        <v>1.31</v>
      </c>
      <c r="L205" s="115">
        <v>1.07</v>
      </c>
      <c r="M205" s="115" t="str">
        <f>VLOOKUP(A205,Product_Mapping!$B:$D,3,FALSE)</f>
        <v>Kitchen Fittings</v>
      </c>
      <c r="O205" s="147"/>
      <c r="P205" s="147"/>
    </row>
    <row r="206" spans="1:16" x14ac:dyDescent="0.3">
      <c r="A206" s="116">
        <v>8455</v>
      </c>
      <c r="B206" s="114" t="s">
        <v>197</v>
      </c>
      <c r="C206" s="115">
        <v>0.61</v>
      </c>
      <c r="D206" s="115">
        <v>0.42</v>
      </c>
      <c r="E206" s="115">
        <v>1.25</v>
      </c>
      <c r="F206" s="115">
        <v>0.48</v>
      </c>
      <c r="G206" s="115">
        <v>0.13</v>
      </c>
      <c r="H206" s="115">
        <v>0.31</v>
      </c>
      <c r="I206" s="115">
        <v>0.02</v>
      </c>
      <c r="J206" s="115">
        <v>0.11</v>
      </c>
      <c r="K206" s="115">
        <v>0.28999999999999998</v>
      </c>
      <c r="L206" s="115">
        <v>0.89</v>
      </c>
      <c r="M206" s="115" t="str">
        <f>VLOOKUP(A206,Product_Mapping!$B:$D,3,FALSE)</f>
        <v>Kitchen Fittings</v>
      </c>
      <c r="O206" s="147"/>
      <c r="P206" s="147"/>
    </row>
    <row r="207" spans="1:16" x14ac:dyDescent="0.3">
      <c r="A207" s="116">
        <v>8420</v>
      </c>
      <c r="B207" s="114" t="s">
        <v>244</v>
      </c>
      <c r="C207" s="115">
        <v>0.86</v>
      </c>
      <c r="D207" s="115">
        <v>0.72</v>
      </c>
      <c r="E207" s="115">
        <v>0.78</v>
      </c>
      <c r="F207" s="115">
        <v>0.63</v>
      </c>
      <c r="G207" s="115">
        <v>0.49</v>
      </c>
      <c r="H207" s="115">
        <v>0.84</v>
      </c>
      <c r="I207" s="115">
        <v>1.1200000000000001</v>
      </c>
      <c r="J207" s="115">
        <v>0.9</v>
      </c>
      <c r="K207" s="115">
        <v>1.07</v>
      </c>
      <c r="L207" s="115">
        <v>0.77</v>
      </c>
      <c r="M207" s="115" t="str">
        <f>VLOOKUP(A207,Product_Mapping!$B:$D,3,FALSE)</f>
        <v>Kitchen Fittings</v>
      </c>
      <c r="O207" s="147"/>
      <c r="P207" s="147"/>
    </row>
    <row r="208" spans="1:16" x14ac:dyDescent="0.3">
      <c r="A208" s="116">
        <v>8429</v>
      </c>
      <c r="B208" s="114" t="s">
        <v>192</v>
      </c>
      <c r="C208" s="115">
        <v>0.05</v>
      </c>
      <c r="D208" s="115">
        <v>0.12</v>
      </c>
      <c r="E208" s="115">
        <v>0.11</v>
      </c>
      <c r="F208" s="115">
        <v>0.44</v>
      </c>
      <c r="G208" s="115">
        <v>1.67</v>
      </c>
      <c r="H208" s="115">
        <v>0.14000000000000001</v>
      </c>
      <c r="I208" s="115">
        <v>0.64</v>
      </c>
      <c r="J208" s="115">
        <v>0.61</v>
      </c>
      <c r="K208" s="115">
        <v>0.71</v>
      </c>
      <c r="L208" s="115">
        <v>0.55000000000000004</v>
      </c>
      <c r="M208" s="115" t="str">
        <f>VLOOKUP(A208,Product_Mapping!$B:$D,3,FALSE)</f>
        <v>Kitchen Fittings</v>
      </c>
      <c r="O208" s="147"/>
      <c r="P208" s="147"/>
    </row>
    <row r="209" spans="1:16" x14ac:dyDescent="0.3">
      <c r="A209" s="116">
        <v>8454</v>
      </c>
      <c r="B209" s="114" t="s">
        <v>201</v>
      </c>
      <c r="C209" s="115">
        <v>0.14000000000000001</v>
      </c>
      <c r="D209" s="115">
        <v>0.3</v>
      </c>
      <c r="E209" s="115">
        <v>0.22</v>
      </c>
      <c r="F209" s="115">
        <v>1</v>
      </c>
      <c r="G209" s="115">
        <v>7.0000000000000007E-2</v>
      </c>
      <c r="H209" s="115">
        <v>0.04</v>
      </c>
      <c r="I209" s="115">
        <v>0.15</v>
      </c>
      <c r="J209" s="115">
        <v>0.2</v>
      </c>
      <c r="K209" s="115">
        <v>0.23</v>
      </c>
      <c r="L209" s="115">
        <v>0.45</v>
      </c>
      <c r="M209" s="115" t="str">
        <f>VLOOKUP(A209,Product_Mapping!$B:$D,3,FALSE)</f>
        <v>Kitchen Fittings</v>
      </c>
      <c r="O209" s="147"/>
      <c r="P209" s="147"/>
    </row>
    <row r="210" spans="1:16" x14ac:dyDescent="0.3">
      <c r="A210" s="116">
        <v>8472</v>
      </c>
      <c r="B210" s="114" t="s">
        <v>241</v>
      </c>
      <c r="C210" s="115">
        <v>0.25</v>
      </c>
      <c r="D210" s="115">
        <v>0.53</v>
      </c>
      <c r="E210" s="115">
        <v>0.9</v>
      </c>
      <c r="F210" s="115">
        <v>0.44</v>
      </c>
      <c r="G210" s="115">
        <v>0.64</v>
      </c>
      <c r="H210" s="115">
        <v>0.56999999999999995</v>
      </c>
      <c r="I210" s="115">
        <v>0.45</v>
      </c>
      <c r="J210" s="115">
        <v>0.28000000000000003</v>
      </c>
      <c r="K210" s="115">
        <v>0.4</v>
      </c>
      <c r="L210" s="115">
        <v>0.41</v>
      </c>
      <c r="M210" s="115" t="str">
        <f>VLOOKUP(A210,Product_Mapping!$B:$D,3,FALSE)</f>
        <v>Kitchen Fittings</v>
      </c>
      <c r="O210" s="147"/>
      <c r="P210" s="147"/>
    </row>
    <row r="211" spans="1:16" x14ac:dyDescent="0.3">
      <c r="A211" s="116">
        <v>8441</v>
      </c>
      <c r="B211" s="114" t="s">
        <v>221</v>
      </c>
      <c r="C211" s="115">
        <v>2.08</v>
      </c>
      <c r="D211" s="115">
        <v>3.68</v>
      </c>
      <c r="E211" s="115">
        <v>3.17</v>
      </c>
      <c r="F211" s="115">
        <v>2.3199999999999998</v>
      </c>
      <c r="G211" s="115">
        <v>2.34</v>
      </c>
      <c r="H211" s="115">
        <v>2.0099999999999998</v>
      </c>
      <c r="I211" s="115">
        <v>7.0000000000000007E-2</v>
      </c>
      <c r="J211" s="115">
        <v>0.12</v>
      </c>
      <c r="K211" s="115">
        <v>0.38</v>
      </c>
      <c r="L211" s="115">
        <v>0.39</v>
      </c>
      <c r="M211" s="115" t="str">
        <f>VLOOKUP(A211,Product_Mapping!$B:$D,3,FALSE)</f>
        <v>Kitchen Fittings</v>
      </c>
      <c r="O211" s="147"/>
      <c r="P211" s="147"/>
    </row>
    <row r="212" spans="1:16" x14ac:dyDescent="0.3">
      <c r="A212" s="116">
        <v>8467</v>
      </c>
      <c r="B212" s="114" t="s">
        <v>220</v>
      </c>
      <c r="C212" s="115">
        <v>7.0000000000000007E-2</v>
      </c>
      <c r="D212" s="115">
        <v>0.23</v>
      </c>
      <c r="E212" s="115">
        <v>0.21</v>
      </c>
      <c r="F212" s="115">
        <v>0.21</v>
      </c>
      <c r="G212" s="115">
        <v>0.23</v>
      </c>
      <c r="H212" s="115">
        <v>0.2</v>
      </c>
      <c r="I212" s="115">
        <v>0.25</v>
      </c>
      <c r="J212" s="115">
        <v>0.28999999999999998</v>
      </c>
      <c r="K212" s="115">
        <v>0.28000000000000003</v>
      </c>
      <c r="L212" s="115">
        <v>0.33</v>
      </c>
      <c r="M212" s="115" t="str">
        <f>VLOOKUP(A212,Product_Mapping!$B:$D,3,FALSE)</f>
        <v>Kitchen Fittings</v>
      </c>
      <c r="O212" s="147"/>
      <c r="P212" s="147"/>
    </row>
    <row r="213" spans="1:16" x14ac:dyDescent="0.3">
      <c r="A213" s="116">
        <v>8407</v>
      </c>
      <c r="B213" s="114" t="s">
        <v>218</v>
      </c>
      <c r="C213" s="115">
        <v>6.34</v>
      </c>
      <c r="D213" s="115">
        <v>0.16</v>
      </c>
      <c r="E213" s="115">
        <v>0.14000000000000001</v>
      </c>
      <c r="F213" s="115">
        <v>7.0000000000000007E-2</v>
      </c>
      <c r="G213" s="115">
        <v>0.13</v>
      </c>
      <c r="H213" s="115">
        <v>0.21</v>
      </c>
      <c r="I213" s="115">
        <v>0.22</v>
      </c>
      <c r="J213" s="115">
        <v>0.09</v>
      </c>
      <c r="K213" s="115">
        <v>0.12</v>
      </c>
      <c r="L213" s="115">
        <v>0.27</v>
      </c>
      <c r="M213" s="115" t="str">
        <f>VLOOKUP(A213,Product_Mapping!$B:$D,3,FALSE)</f>
        <v>Kitchen Fittings</v>
      </c>
      <c r="O213" s="147"/>
      <c r="P213" s="147"/>
    </row>
    <row r="214" spans="1:16" x14ac:dyDescent="0.3">
      <c r="A214" s="116">
        <v>8417</v>
      </c>
      <c r="B214" s="114" t="s">
        <v>215</v>
      </c>
      <c r="C214" s="115">
        <v>0.01</v>
      </c>
      <c r="D214" s="115">
        <v>0.24</v>
      </c>
      <c r="E214" s="115">
        <v>0.22</v>
      </c>
      <c r="F214" s="115">
        <v>0.56000000000000005</v>
      </c>
      <c r="G214" s="115">
        <v>1.08</v>
      </c>
      <c r="H214" s="115">
        <v>0.26</v>
      </c>
      <c r="I214" s="115">
        <v>0.69</v>
      </c>
      <c r="J214" s="115">
        <v>0.5</v>
      </c>
      <c r="K214" s="115">
        <v>0</v>
      </c>
      <c r="L214" s="115">
        <v>0.19</v>
      </c>
      <c r="M214" s="115" t="str">
        <f>VLOOKUP(A214,Product_Mapping!$B:$D,3,FALSE)</f>
        <v>Kitchen Fittings</v>
      </c>
      <c r="O214" s="147"/>
      <c r="P214" s="147"/>
    </row>
    <row r="215" spans="1:16" x14ac:dyDescent="0.3">
      <c r="A215" s="116">
        <v>8424</v>
      </c>
      <c r="B215" s="114" t="s">
        <v>204</v>
      </c>
      <c r="C215" s="115">
        <v>0.14000000000000001</v>
      </c>
      <c r="D215" s="115">
        <v>0.16</v>
      </c>
      <c r="E215" s="115">
        <v>0.35</v>
      </c>
      <c r="F215" s="115">
        <v>0.37</v>
      </c>
      <c r="G215" s="115">
        <v>0.18</v>
      </c>
      <c r="H215" s="115">
        <v>0.17</v>
      </c>
      <c r="I215" s="115">
        <v>0.27</v>
      </c>
      <c r="J215" s="115">
        <v>0.15</v>
      </c>
      <c r="K215" s="115">
        <v>0.21</v>
      </c>
      <c r="L215" s="115">
        <v>0.17</v>
      </c>
      <c r="M215" s="115" t="str">
        <f>VLOOKUP(A215,Product_Mapping!$B:$D,3,FALSE)</f>
        <v>Kitchen Fittings</v>
      </c>
      <c r="O215" s="147"/>
      <c r="P215" s="147"/>
    </row>
    <row r="216" spans="1:16" x14ac:dyDescent="0.3">
      <c r="A216" s="116">
        <v>8425</v>
      </c>
      <c r="B216" s="114" t="s">
        <v>227</v>
      </c>
      <c r="C216" s="115">
        <v>1.49</v>
      </c>
      <c r="D216" s="115">
        <v>0.06</v>
      </c>
      <c r="E216" s="115">
        <v>0.01</v>
      </c>
      <c r="F216" s="115">
        <v>0.06</v>
      </c>
      <c r="G216" s="115">
        <v>0.53</v>
      </c>
      <c r="H216" s="115">
        <v>0.01</v>
      </c>
      <c r="I216" s="115">
        <v>0.04</v>
      </c>
      <c r="J216" s="115">
        <v>0.25</v>
      </c>
      <c r="K216" s="115">
        <v>0.1</v>
      </c>
      <c r="L216" s="115">
        <v>0.16</v>
      </c>
      <c r="M216" s="115" t="str">
        <f>VLOOKUP(A216,Product_Mapping!$B:$D,3,FALSE)</f>
        <v>Kitchen Fittings</v>
      </c>
      <c r="O216" s="147"/>
      <c r="P216" s="147"/>
    </row>
    <row r="217" spans="1:16" x14ac:dyDescent="0.3">
      <c r="A217" s="116">
        <v>8423</v>
      </c>
      <c r="B217" s="114" t="s">
        <v>214</v>
      </c>
      <c r="C217" s="115">
        <v>0.11</v>
      </c>
      <c r="D217" s="115">
        <v>0.51</v>
      </c>
      <c r="E217" s="115">
        <v>0.02</v>
      </c>
      <c r="F217" s="115">
        <v>0.15</v>
      </c>
      <c r="G217" s="115">
        <v>0.08</v>
      </c>
      <c r="H217" s="115">
        <v>0.01</v>
      </c>
      <c r="I217" s="115">
        <v>0.21</v>
      </c>
      <c r="J217" s="115">
        <v>0.21</v>
      </c>
      <c r="K217" s="115">
        <v>0.18</v>
      </c>
      <c r="L217" s="115">
        <v>0.16</v>
      </c>
      <c r="M217" s="115" t="str">
        <f>VLOOKUP(A217,Product_Mapping!$B:$D,3,FALSE)</f>
        <v>Kitchen Fittings</v>
      </c>
      <c r="O217" s="147"/>
      <c r="P217" s="147"/>
    </row>
    <row r="218" spans="1:16" x14ac:dyDescent="0.3">
      <c r="A218" s="116">
        <v>8416</v>
      </c>
      <c r="B218" s="114" t="s">
        <v>231</v>
      </c>
      <c r="C218" s="115">
        <v>0.02</v>
      </c>
      <c r="D218" s="115">
        <v>0.28999999999999998</v>
      </c>
      <c r="E218" s="115">
        <v>0.1</v>
      </c>
      <c r="F218" s="115">
        <v>0.02</v>
      </c>
      <c r="G218" s="115">
        <v>0.02</v>
      </c>
      <c r="H218" s="115">
        <v>0.01</v>
      </c>
      <c r="I218" s="115">
        <v>7.0000000000000007E-2</v>
      </c>
      <c r="J218" s="115">
        <v>0.14000000000000001</v>
      </c>
      <c r="K218" s="115">
        <v>0.05</v>
      </c>
      <c r="L218" s="115">
        <v>0.16</v>
      </c>
      <c r="M218" s="115" t="str">
        <f>VLOOKUP(A218,Product_Mapping!$B:$D,3,FALSE)</f>
        <v>Kitchen Fittings</v>
      </c>
      <c r="O218" s="147"/>
      <c r="P218" s="147"/>
    </row>
    <row r="219" spans="1:16" x14ac:dyDescent="0.3">
      <c r="A219" s="116">
        <v>8462</v>
      </c>
      <c r="B219" s="114" t="s">
        <v>186</v>
      </c>
      <c r="C219" s="115">
        <v>0.21</v>
      </c>
      <c r="D219" s="115">
        <v>0.35</v>
      </c>
      <c r="E219" s="115">
        <v>0.09</v>
      </c>
      <c r="F219" s="115">
        <v>0.04</v>
      </c>
      <c r="G219" s="115">
        <v>0.11</v>
      </c>
      <c r="H219" s="115">
        <v>0.03</v>
      </c>
      <c r="I219" s="115">
        <v>0.84</v>
      </c>
      <c r="J219" s="115">
        <v>7.0000000000000007E-2</v>
      </c>
      <c r="K219" s="115">
        <v>1.94</v>
      </c>
      <c r="L219" s="115">
        <v>0.15</v>
      </c>
      <c r="M219" s="115" t="str">
        <f>VLOOKUP(A219,Product_Mapping!$B:$D,3,FALSE)</f>
        <v>Kitchen Fittings</v>
      </c>
      <c r="O219" s="147"/>
      <c r="P219" s="147"/>
    </row>
    <row r="220" spans="1:16" x14ac:dyDescent="0.3">
      <c r="A220" s="116">
        <v>8468</v>
      </c>
      <c r="B220" s="114" t="s">
        <v>233</v>
      </c>
      <c r="C220" s="115">
        <v>0.01</v>
      </c>
      <c r="D220" s="115">
        <v>0.05</v>
      </c>
      <c r="E220" s="115">
        <v>0.01</v>
      </c>
      <c r="F220" s="115">
        <v>0.05</v>
      </c>
      <c r="G220" s="115">
        <v>7.0000000000000007E-2</v>
      </c>
      <c r="H220" s="115">
        <v>0.08</v>
      </c>
      <c r="I220" s="115">
        <v>0.13</v>
      </c>
      <c r="J220" s="115">
        <v>0.05</v>
      </c>
      <c r="K220" s="115">
        <v>0.1</v>
      </c>
      <c r="L220" s="115">
        <v>0.15</v>
      </c>
      <c r="M220" s="115" t="str">
        <f>VLOOKUP(A220,Product_Mapping!$B:$D,3,FALSE)</f>
        <v>Kitchen Fittings</v>
      </c>
      <c r="O220" s="147"/>
      <c r="P220" s="147"/>
    </row>
    <row r="221" spans="1:16" x14ac:dyDescent="0.3">
      <c r="A221" s="116">
        <v>8437</v>
      </c>
      <c r="B221" s="114" t="s">
        <v>247</v>
      </c>
      <c r="C221" s="115">
        <v>0</v>
      </c>
      <c r="D221" s="115" t="s">
        <v>48</v>
      </c>
      <c r="E221" s="115">
        <v>0.01</v>
      </c>
      <c r="F221" s="115">
        <v>0.03</v>
      </c>
      <c r="G221" s="115">
        <v>0.02</v>
      </c>
      <c r="H221" s="115">
        <v>0.2</v>
      </c>
      <c r="I221" s="115">
        <v>0.06</v>
      </c>
      <c r="J221" s="115">
        <v>0.05</v>
      </c>
      <c r="K221" s="115">
        <v>0.11</v>
      </c>
      <c r="L221" s="115">
        <v>0.12</v>
      </c>
      <c r="M221" s="115" t="str">
        <f>VLOOKUP(A221,Product_Mapping!$B:$D,3,FALSE)</f>
        <v>Kitchen Fittings</v>
      </c>
      <c r="O221" s="147"/>
      <c r="P221" s="147"/>
    </row>
    <row r="222" spans="1:16" x14ac:dyDescent="0.3">
      <c r="A222" s="116">
        <v>8405</v>
      </c>
      <c r="B222" s="114" t="s">
        <v>249</v>
      </c>
      <c r="C222" s="115">
        <v>0</v>
      </c>
      <c r="D222" s="115">
        <v>1.0900000000000001</v>
      </c>
      <c r="E222" s="115">
        <v>0</v>
      </c>
      <c r="F222" s="115">
        <v>0.01</v>
      </c>
      <c r="G222" s="115">
        <v>0.23</v>
      </c>
      <c r="H222" s="115">
        <v>0.05</v>
      </c>
      <c r="I222" s="115">
        <v>0</v>
      </c>
      <c r="J222" s="115">
        <v>0.24</v>
      </c>
      <c r="K222" s="115">
        <v>0.05</v>
      </c>
      <c r="L222" s="115">
        <v>0.12</v>
      </c>
      <c r="M222" s="115" t="str">
        <f>VLOOKUP(A222,Product_Mapping!$B:$D,3,FALSE)</f>
        <v>Kitchen Fittings</v>
      </c>
      <c r="O222" s="147"/>
      <c r="P222" s="147"/>
    </row>
    <row r="223" spans="1:16" x14ac:dyDescent="0.3">
      <c r="A223" s="116">
        <v>8461</v>
      </c>
      <c r="B223" s="114" t="s">
        <v>205</v>
      </c>
      <c r="C223" s="115">
        <v>0.11</v>
      </c>
      <c r="D223" s="115">
        <v>0</v>
      </c>
      <c r="E223" s="115">
        <v>0.02</v>
      </c>
      <c r="F223" s="115">
        <v>0</v>
      </c>
      <c r="G223" s="115">
        <v>0.13</v>
      </c>
      <c r="H223" s="115">
        <v>0.01</v>
      </c>
      <c r="I223" s="115">
        <v>0.02</v>
      </c>
      <c r="J223" s="115">
        <v>0.01</v>
      </c>
      <c r="K223" s="115">
        <v>0.1</v>
      </c>
      <c r="L223" s="115">
        <v>0.11</v>
      </c>
      <c r="M223" s="115" t="str">
        <f>VLOOKUP(A223,Product_Mapping!$B:$D,3,FALSE)</f>
        <v>Kitchen Fittings</v>
      </c>
      <c r="O223" s="147"/>
      <c r="P223" s="147"/>
    </row>
    <row r="224" spans="1:16" x14ac:dyDescent="0.3">
      <c r="A224" s="116">
        <v>8457</v>
      </c>
      <c r="B224" s="114" t="s">
        <v>176</v>
      </c>
      <c r="C224" s="115">
        <v>0.11</v>
      </c>
      <c r="D224" s="115">
        <v>0.24</v>
      </c>
      <c r="E224" s="115">
        <v>0.01</v>
      </c>
      <c r="F224" s="115">
        <v>0.56999999999999995</v>
      </c>
      <c r="G224" s="115">
        <v>0.33</v>
      </c>
      <c r="H224" s="115">
        <v>0.27</v>
      </c>
      <c r="I224" s="115">
        <v>0.04</v>
      </c>
      <c r="J224" s="115">
        <v>0.01</v>
      </c>
      <c r="K224" s="115">
        <v>0.1</v>
      </c>
      <c r="L224" s="115">
        <v>0.11</v>
      </c>
      <c r="M224" s="115" t="str">
        <f>VLOOKUP(A224,Product_Mapping!$B:$D,3,FALSE)</f>
        <v>Kitchen Fittings</v>
      </c>
      <c r="O224" s="147"/>
      <c r="P224" s="147"/>
    </row>
    <row r="225" spans="1:16" x14ac:dyDescent="0.3">
      <c r="A225" s="116">
        <v>8439</v>
      </c>
      <c r="B225" s="114" t="s">
        <v>238</v>
      </c>
      <c r="C225" s="115">
        <v>0.01</v>
      </c>
      <c r="D225" s="115">
        <v>0.1</v>
      </c>
      <c r="E225" s="115">
        <v>0.13</v>
      </c>
      <c r="F225" s="115">
        <v>0.36</v>
      </c>
      <c r="G225" s="115">
        <v>0.14000000000000001</v>
      </c>
      <c r="H225" s="115">
        <v>0.26</v>
      </c>
      <c r="I225" s="115">
        <v>0.02</v>
      </c>
      <c r="J225" s="115">
        <v>0.14000000000000001</v>
      </c>
      <c r="K225" s="115">
        <v>0.05</v>
      </c>
      <c r="L225" s="115">
        <v>0.1</v>
      </c>
      <c r="M225" s="115" t="str">
        <f>VLOOKUP(A225,Product_Mapping!$B:$D,3,FALSE)</f>
        <v>Kitchen Fittings</v>
      </c>
      <c r="O225" s="147"/>
      <c r="P225" s="147"/>
    </row>
    <row r="226" spans="1:16" x14ac:dyDescent="0.3">
      <c r="A226" s="116">
        <v>8426</v>
      </c>
      <c r="B226" s="114" t="s">
        <v>222</v>
      </c>
      <c r="C226" s="115">
        <v>0</v>
      </c>
      <c r="D226" s="115">
        <v>0</v>
      </c>
      <c r="E226" s="115">
        <v>0</v>
      </c>
      <c r="F226" s="115">
        <v>0</v>
      </c>
      <c r="G226" s="115">
        <v>0.66</v>
      </c>
      <c r="H226" s="115">
        <v>0.25</v>
      </c>
      <c r="I226" s="115">
        <v>0.03</v>
      </c>
      <c r="J226" s="115">
        <v>0</v>
      </c>
      <c r="K226" s="115">
        <v>0</v>
      </c>
      <c r="L226" s="115">
        <v>7.0000000000000007E-2</v>
      </c>
      <c r="M226" s="115" t="str">
        <f>VLOOKUP(A226,Product_Mapping!$B:$D,3,FALSE)</f>
        <v>Kitchen Fittings</v>
      </c>
      <c r="O226" s="147"/>
      <c r="P226" s="147"/>
    </row>
    <row r="227" spans="1:16" x14ac:dyDescent="0.3">
      <c r="A227" s="116">
        <v>8433</v>
      </c>
      <c r="B227" s="114" t="s">
        <v>200</v>
      </c>
      <c r="C227" s="115">
        <v>0.01</v>
      </c>
      <c r="D227" s="115">
        <v>0.02</v>
      </c>
      <c r="E227" s="115">
        <v>0.01</v>
      </c>
      <c r="F227" s="115">
        <v>0.01</v>
      </c>
      <c r="G227" s="115">
        <v>0.02</v>
      </c>
      <c r="H227" s="115">
        <v>0</v>
      </c>
      <c r="I227" s="115">
        <v>0.01</v>
      </c>
      <c r="J227" s="115">
        <v>0.01</v>
      </c>
      <c r="K227" s="115">
        <v>0.02</v>
      </c>
      <c r="L227" s="115">
        <v>0.06</v>
      </c>
      <c r="M227" s="115" t="str">
        <f>VLOOKUP(A227,Product_Mapping!$B:$D,3,FALSE)</f>
        <v>Kitchen Fittings</v>
      </c>
      <c r="O227" s="147"/>
      <c r="P227" s="147"/>
    </row>
    <row r="228" spans="1:16" x14ac:dyDescent="0.3">
      <c r="A228" s="116">
        <v>8434</v>
      </c>
      <c r="B228" s="114" t="s">
        <v>258</v>
      </c>
      <c r="C228" s="115">
        <v>0</v>
      </c>
      <c r="D228" s="115">
        <v>0</v>
      </c>
      <c r="E228" s="115">
        <v>0</v>
      </c>
      <c r="F228" s="115" t="s">
        <v>48</v>
      </c>
      <c r="G228" s="115">
        <v>0</v>
      </c>
      <c r="H228" s="115">
        <v>0</v>
      </c>
      <c r="I228" s="115">
        <v>0</v>
      </c>
      <c r="J228" s="115">
        <v>0</v>
      </c>
      <c r="K228" s="115">
        <v>0.11</v>
      </c>
      <c r="L228" s="115">
        <v>0.06</v>
      </c>
      <c r="M228" s="115" t="str">
        <f>VLOOKUP(A228,Product_Mapping!$B:$D,3,FALSE)</f>
        <v>Kitchen Fittings</v>
      </c>
      <c r="O228" s="147"/>
      <c r="P228" s="147"/>
    </row>
    <row r="229" spans="1:16" x14ac:dyDescent="0.3">
      <c r="A229" s="116">
        <v>8430</v>
      </c>
      <c r="B229" s="114" t="s">
        <v>235</v>
      </c>
      <c r="C229" s="115">
        <v>0</v>
      </c>
      <c r="D229" s="115">
        <v>0.17</v>
      </c>
      <c r="E229" s="115">
        <v>0.08</v>
      </c>
      <c r="F229" s="115">
        <v>0.03</v>
      </c>
      <c r="G229" s="115">
        <v>0</v>
      </c>
      <c r="H229" s="115">
        <v>0.28000000000000003</v>
      </c>
      <c r="I229" s="115">
        <v>0.09</v>
      </c>
      <c r="J229" s="115">
        <v>0.32</v>
      </c>
      <c r="K229" s="115">
        <v>0.01</v>
      </c>
      <c r="L229" s="115">
        <v>0.04</v>
      </c>
      <c r="M229" s="115" t="str">
        <f>VLOOKUP(A229,Product_Mapping!$B:$D,3,FALSE)</f>
        <v>Kitchen Fittings</v>
      </c>
      <c r="O229" s="147"/>
      <c r="P229" s="147"/>
    </row>
    <row r="230" spans="1:16" x14ac:dyDescent="0.3">
      <c r="A230" s="116">
        <v>8432</v>
      </c>
      <c r="B230" s="114" t="s">
        <v>242</v>
      </c>
      <c r="C230" s="115">
        <v>0.09</v>
      </c>
      <c r="D230" s="115">
        <v>0.1</v>
      </c>
      <c r="E230" s="115">
        <v>0.02</v>
      </c>
      <c r="F230" s="115">
        <v>0.02</v>
      </c>
      <c r="G230" s="115">
        <v>0.01</v>
      </c>
      <c r="H230" s="115">
        <v>0.02</v>
      </c>
      <c r="I230" s="115">
        <v>0.2</v>
      </c>
      <c r="J230" s="115">
        <v>0.03</v>
      </c>
      <c r="K230" s="115">
        <v>0.03</v>
      </c>
      <c r="L230" s="115">
        <v>0.03</v>
      </c>
      <c r="M230" s="115" t="str">
        <f>VLOOKUP(A230,Product_Mapping!$B:$D,3,FALSE)</f>
        <v>Kitchen Fittings</v>
      </c>
      <c r="O230" s="147"/>
      <c r="P230" s="147"/>
    </row>
    <row r="231" spans="1:16" x14ac:dyDescent="0.3">
      <c r="A231" s="116">
        <v>8404</v>
      </c>
      <c r="B231" s="114" t="s">
        <v>248</v>
      </c>
      <c r="C231" s="115">
        <v>0.3</v>
      </c>
      <c r="D231" s="115">
        <v>0.04</v>
      </c>
      <c r="E231" s="115">
        <v>0.01</v>
      </c>
      <c r="F231" s="115">
        <v>0.56000000000000005</v>
      </c>
      <c r="G231" s="115">
        <v>0.06</v>
      </c>
      <c r="H231" s="115">
        <v>0</v>
      </c>
      <c r="I231" s="115">
        <v>0.06</v>
      </c>
      <c r="J231" s="115">
        <v>0.37</v>
      </c>
      <c r="K231" s="115">
        <v>0.12</v>
      </c>
      <c r="L231" s="115">
        <v>0.03</v>
      </c>
      <c r="M231" s="115" t="str">
        <f>VLOOKUP(A231,Product_Mapping!$B:$D,3,FALSE)</f>
        <v>Kitchen Fittings</v>
      </c>
      <c r="O231" s="147"/>
      <c r="P231" s="147"/>
    </row>
    <row r="232" spans="1:16" x14ac:dyDescent="0.3">
      <c r="A232" s="116">
        <v>8460</v>
      </c>
      <c r="B232" s="114" t="s">
        <v>193</v>
      </c>
      <c r="C232" s="115">
        <v>0.24</v>
      </c>
      <c r="D232" s="115">
        <v>0.35</v>
      </c>
      <c r="E232" s="115">
        <v>0.13</v>
      </c>
      <c r="F232" s="115">
        <v>1.17</v>
      </c>
      <c r="G232" s="115">
        <v>0.53</v>
      </c>
      <c r="H232" s="115">
        <v>0.68</v>
      </c>
      <c r="I232" s="115">
        <v>0.19</v>
      </c>
      <c r="J232" s="115">
        <v>0.03</v>
      </c>
      <c r="K232" s="115">
        <v>0.21</v>
      </c>
      <c r="L232" s="115">
        <v>0.03</v>
      </c>
      <c r="M232" s="115" t="str">
        <f>VLOOKUP(A232,Product_Mapping!$B:$D,3,FALSE)</f>
        <v>Kitchen Fittings</v>
      </c>
      <c r="O232" s="147"/>
      <c r="P232" s="147"/>
    </row>
    <row r="233" spans="1:16" x14ac:dyDescent="0.3">
      <c r="A233" s="116">
        <v>8458</v>
      </c>
      <c r="B233" s="114" t="s">
        <v>194</v>
      </c>
      <c r="C233" s="115">
        <v>0.38</v>
      </c>
      <c r="D233" s="115">
        <v>0</v>
      </c>
      <c r="E233" s="115">
        <v>0.09</v>
      </c>
      <c r="F233" s="115">
        <v>0.21</v>
      </c>
      <c r="G233" s="115">
        <v>0.03</v>
      </c>
      <c r="H233" s="115">
        <v>0.02</v>
      </c>
      <c r="I233" s="115">
        <v>0</v>
      </c>
      <c r="J233" s="115">
        <v>0</v>
      </c>
      <c r="K233" s="115">
        <v>0.01</v>
      </c>
      <c r="L233" s="115">
        <v>0.03</v>
      </c>
      <c r="M233" s="115" t="str">
        <f>VLOOKUP(A233,Product_Mapping!$B:$D,3,FALSE)</f>
        <v>Kitchen Fittings</v>
      </c>
      <c r="O233" s="147"/>
      <c r="P233" s="147"/>
    </row>
    <row r="234" spans="1:16" x14ac:dyDescent="0.3">
      <c r="A234" s="116">
        <v>8451</v>
      </c>
      <c r="B234" s="114" t="s">
        <v>234</v>
      </c>
      <c r="C234" s="115">
        <v>0</v>
      </c>
      <c r="D234" s="115" t="s">
        <v>48</v>
      </c>
      <c r="E234" s="115">
        <v>0.01</v>
      </c>
      <c r="F234" s="115">
        <v>0.04</v>
      </c>
      <c r="G234" s="115">
        <v>0</v>
      </c>
      <c r="H234" s="115">
        <v>0.03</v>
      </c>
      <c r="I234" s="115">
        <v>0.01</v>
      </c>
      <c r="J234" s="115">
        <v>0</v>
      </c>
      <c r="K234" s="115">
        <v>0</v>
      </c>
      <c r="L234" s="115">
        <v>0.03</v>
      </c>
      <c r="M234" s="115" t="str">
        <f>VLOOKUP(A234,Product_Mapping!$B:$D,3,FALSE)</f>
        <v>Kitchen Fittings</v>
      </c>
      <c r="O234" s="147"/>
      <c r="P234" s="147"/>
    </row>
    <row r="235" spans="1:16" x14ac:dyDescent="0.3">
      <c r="A235" s="116">
        <v>8442</v>
      </c>
      <c r="B235" s="114" t="s">
        <v>245</v>
      </c>
      <c r="C235" s="115">
        <v>0</v>
      </c>
      <c r="D235" s="115" t="s">
        <v>48</v>
      </c>
      <c r="E235" s="115" t="s">
        <v>48</v>
      </c>
      <c r="F235" s="115" t="s">
        <v>48</v>
      </c>
      <c r="G235" s="115">
        <v>0</v>
      </c>
      <c r="H235" s="115" t="s">
        <v>48</v>
      </c>
      <c r="I235" s="115" t="s">
        <v>48</v>
      </c>
      <c r="J235" s="115">
        <v>0</v>
      </c>
      <c r="K235" s="115">
        <v>0.01</v>
      </c>
      <c r="L235" s="115">
        <v>0.03</v>
      </c>
      <c r="M235" s="115" t="str">
        <f>VLOOKUP(A235,Product_Mapping!$B:$D,3,FALSE)</f>
        <v>Kitchen Fittings</v>
      </c>
      <c r="O235" s="147"/>
      <c r="P235" s="147"/>
    </row>
    <row r="236" spans="1:16" x14ac:dyDescent="0.3">
      <c r="A236" s="116">
        <v>8402</v>
      </c>
      <c r="B236" s="114" t="s">
        <v>251</v>
      </c>
      <c r="C236" s="115">
        <v>6.37</v>
      </c>
      <c r="D236" s="115">
        <v>13.43</v>
      </c>
      <c r="E236" s="115">
        <v>16.760000000000002</v>
      </c>
      <c r="F236" s="115">
        <v>14.77</v>
      </c>
      <c r="G236" s="115">
        <v>15.76</v>
      </c>
      <c r="H236" s="115">
        <v>21.65</v>
      </c>
      <c r="I236" s="115">
        <v>4.47</v>
      </c>
      <c r="J236" s="115">
        <v>22.79</v>
      </c>
      <c r="K236" s="115">
        <v>0.4</v>
      </c>
      <c r="L236" s="115">
        <v>0.03</v>
      </c>
      <c r="M236" s="115" t="str">
        <f>VLOOKUP(A236,Product_Mapping!$B:$D,3,FALSE)</f>
        <v>Kitchen Fittings</v>
      </c>
      <c r="O236" s="147"/>
      <c r="P236" s="147"/>
    </row>
    <row r="237" spans="1:16" x14ac:dyDescent="0.3">
      <c r="A237" s="116">
        <v>8459</v>
      </c>
      <c r="B237" s="114" t="s">
        <v>212</v>
      </c>
      <c r="C237" s="115">
        <v>0.01</v>
      </c>
      <c r="D237" s="115">
        <v>0.25</v>
      </c>
      <c r="E237" s="115">
        <v>0.19</v>
      </c>
      <c r="F237" s="115">
        <v>0.32</v>
      </c>
      <c r="G237" s="115">
        <v>0.16</v>
      </c>
      <c r="H237" s="115">
        <v>0.1</v>
      </c>
      <c r="I237" s="115">
        <v>0.19</v>
      </c>
      <c r="J237" s="115">
        <v>0</v>
      </c>
      <c r="K237" s="115">
        <v>0.01</v>
      </c>
      <c r="L237" s="115">
        <v>0.02</v>
      </c>
      <c r="M237" s="115" t="str">
        <f>VLOOKUP(A237,Product_Mapping!$B:$D,3,FALSE)</f>
        <v>Kitchen Fittings</v>
      </c>
      <c r="O237" s="147"/>
      <c r="P237" s="147"/>
    </row>
    <row r="238" spans="1:16" x14ac:dyDescent="0.3">
      <c r="A238" s="116">
        <v>8464</v>
      </c>
      <c r="B238" s="114" t="s">
        <v>228</v>
      </c>
      <c r="C238" s="115">
        <v>0.02</v>
      </c>
      <c r="D238" s="115">
        <v>0.01</v>
      </c>
      <c r="E238" s="115">
        <v>0</v>
      </c>
      <c r="F238" s="115">
        <v>0.02</v>
      </c>
      <c r="G238" s="115">
        <v>0</v>
      </c>
      <c r="H238" s="115">
        <v>0.01</v>
      </c>
      <c r="I238" s="115">
        <v>0</v>
      </c>
      <c r="J238" s="115">
        <v>0.2</v>
      </c>
      <c r="K238" s="115">
        <v>0.01</v>
      </c>
      <c r="L238" s="115">
        <v>0.01</v>
      </c>
      <c r="M238" s="115" t="str">
        <f>VLOOKUP(A238,Product_Mapping!$B:$D,3,FALSE)</f>
        <v>Kitchen Fittings</v>
      </c>
      <c r="O238" s="147"/>
      <c r="P238" s="147"/>
    </row>
    <row r="239" spans="1:16" x14ac:dyDescent="0.3">
      <c r="A239" s="116">
        <v>8452</v>
      </c>
      <c r="B239" s="114" t="s">
        <v>223</v>
      </c>
      <c r="C239" s="115">
        <v>0.04</v>
      </c>
      <c r="D239" s="115">
        <v>0.16</v>
      </c>
      <c r="E239" s="115">
        <v>0.01</v>
      </c>
      <c r="F239" s="115">
        <v>0.02</v>
      </c>
      <c r="G239" s="115">
        <v>0</v>
      </c>
      <c r="H239" s="115">
        <v>0.03</v>
      </c>
      <c r="I239" s="115">
        <v>0</v>
      </c>
      <c r="J239" s="115">
        <v>0.01</v>
      </c>
      <c r="K239" s="115">
        <v>0.14000000000000001</v>
      </c>
      <c r="L239" s="115">
        <v>0.01</v>
      </c>
      <c r="M239" s="115" t="str">
        <f>VLOOKUP(A239,Product_Mapping!$B:$D,3,FALSE)</f>
        <v>Kitchen Fittings</v>
      </c>
      <c r="O239" s="147"/>
      <c r="P239" s="147"/>
    </row>
    <row r="240" spans="1:16" x14ac:dyDescent="0.3">
      <c r="A240" s="116">
        <v>8436</v>
      </c>
      <c r="B240" s="114" t="s">
        <v>253</v>
      </c>
      <c r="C240" s="115">
        <v>0</v>
      </c>
      <c r="D240" s="115">
        <v>0</v>
      </c>
      <c r="E240" s="115">
        <v>0</v>
      </c>
      <c r="F240" s="115">
        <v>0</v>
      </c>
      <c r="G240" s="115">
        <v>0</v>
      </c>
      <c r="H240" s="115">
        <v>0</v>
      </c>
      <c r="I240" s="115">
        <v>0</v>
      </c>
      <c r="J240" s="115">
        <v>0</v>
      </c>
      <c r="K240" s="115">
        <v>0.02</v>
      </c>
      <c r="L240" s="115">
        <v>0.01</v>
      </c>
      <c r="M240" s="115" t="str">
        <f>VLOOKUP(A240,Product_Mapping!$B:$D,3,FALSE)</f>
        <v>Kitchen Fittings</v>
      </c>
      <c r="O240" s="147"/>
      <c r="P240" s="147"/>
    </row>
    <row r="241" spans="1:16" x14ac:dyDescent="0.3">
      <c r="A241" s="116">
        <v>8446</v>
      </c>
      <c r="B241" s="114" t="s">
        <v>187</v>
      </c>
      <c r="C241" s="115">
        <v>0.19</v>
      </c>
      <c r="D241" s="115">
        <v>0.01</v>
      </c>
      <c r="E241" s="115">
        <v>0</v>
      </c>
      <c r="F241" s="115">
        <v>0</v>
      </c>
      <c r="G241" s="115">
        <v>0</v>
      </c>
      <c r="H241" s="115">
        <v>0.03</v>
      </c>
      <c r="I241" s="115">
        <v>0.12</v>
      </c>
      <c r="J241" s="115">
        <v>0.03</v>
      </c>
      <c r="K241" s="115">
        <v>0.01</v>
      </c>
      <c r="L241" s="115">
        <v>0.01</v>
      </c>
      <c r="M241" s="115" t="str">
        <f>VLOOKUP(A241,Product_Mapping!$B:$D,3,FALSE)</f>
        <v>Kitchen Fittings</v>
      </c>
      <c r="O241" s="147"/>
      <c r="P241" s="147"/>
    </row>
    <row r="242" spans="1:16" x14ac:dyDescent="0.3">
      <c r="A242" s="116">
        <v>8427</v>
      </c>
      <c r="B242" s="114" t="s">
        <v>213</v>
      </c>
      <c r="C242" s="115">
        <v>0.35</v>
      </c>
      <c r="D242" s="115">
        <v>0.13</v>
      </c>
      <c r="E242" s="115">
        <v>0.11</v>
      </c>
      <c r="F242" s="115">
        <v>0</v>
      </c>
      <c r="G242" s="115">
        <v>0.11</v>
      </c>
      <c r="H242" s="115">
        <v>0.01</v>
      </c>
      <c r="I242" s="115">
        <v>0.44</v>
      </c>
      <c r="J242" s="115">
        <v>0</v>
      </c>
      <c r="K242" s="115">
        <v>0.08</v>
      </c>
      <c r="L242" s="115">
        <v>0</v>
      </c>
      <c r="M242" s="115" t="str">
        <f>VLOOKUP(A242,Product_Mapping!$B:$D,3,FALSE)</f>
        <v>Kitchen Fittings</v>
      </c>
      <c r="O242" s="147"/>
      <c r="P242" s="147"/>
    </row>
    <row r="243" spans="1:16" x14ac:dyDescent="0.3">
      <c r="A243" s="116">
        <v>8476</v>
      </c>
      <c r="B243" s="114" t="s">
        <v>236</v>
      </c>
      <c r="C243" s="115">
        <v>0</v>
      </c>
      <c r="D243" s="115">
        <v>0.03</v>
      </c>
      <c r="E243" s="115">
        <v>0</v>
      </c>
      <c r="F243" s="115">
        <v>0</v>
      </c>
      <c r="G243" s="115">
        <v>0</v>
      </c>
      <c r="H243" s="115">
        <v>0</v>
      </c>
      <c r="I243" s="115">
        <v>0</v>
      </c>
      <c r="J243" s="115">
        <v>0</v>
      </c>
      <c r="K243" s="115">
        <v>0</v>
      </c>
      <c r="L243" s="115">
        <v>0</v>
      </c>
      <c r="M243" s="115" t="str">
        <f>VLOOKUP(A243,Product_Mapping!$B:$D,3,FALSE)</f>
        <v>Kitchen Fittings</v>
      </c>
      <c r="O243" s="147"/>
      <c r="P243" s="147"/>
    </row>
    <row r="244" spans="1:16" x14ac:dyDescent="0.3">
      <c r="A244" s="116">
        <v>8450</v>
      </c>
      <c r="B244" s="114" t="s">
        <v>250</v>
      </c>
      <c r="C244" s="115">
        <v>0.22</v>
      </c>
      <c r="D244" s="115">
        <v>0.39</v>
      </c>
      <c r="E244" s="115">
        <v>0.4</v>
      </c>
      <c r="F244" s="115">
        <v>0.36</v>
      </c>
      <c r="G244" s="115">
        <v>0.32</v>
      </c>
      <c r="H244" s="115">
        <v>0.27</v>
      </c>
      <c r="I244" s="115" t="s">
        <v>48</v>
      </c>
      <c r="J244" s="115">
        <v>0</v>
      </c>
      <c r="K244" s="115">
        <v>0</v>
      </c>
      <c r="L244" s="115">
        <v>0</v>
      </c>
      <c r="M244" s="115" t="str">
        <f>VLOOKUP(A244,Product_Mapping!$B:$D,3,FALSE)</f>
        <v>Kitchen Fittings</v>
      </c>
      <c r="O244" s="147"/>
      <c r="P244" s="147"/>
    </row>
    <row r="245" spans="1:16" x14ac:dyDescent="0.3">
      <c r="A245" s="116">
        <v>8470</v>
      </c>
      <c r="B245" s="114" t="s">
        <v>261</v>
      </c>
      <c r="C245" s="115">
        <v>0.04</v>
      </c>
      <c r="D245" s="115">
        <v>0</v>
      </c>
      <c r="E245" s="115" t="s">
        <v>48</v>
      </c>
      <c r="F245" s="115" t="s">
        <v>48</v>
      </c>
      <c r="G245" s="115">
        <v>0.09</v>
      </c>
      <c r="H245" s="115" t="s">
        <v>48</v>
      </c>
      <c r="I245" s="115" t="s">
        <v>48</v>
      </c>
      <c r="J245" s="115">
        <v>0.01</v>
      </c>
      <c r="K245" s="115">
        <v>0</v>
      </c>
      <c r="L245" s="115">
        <v>0</v>
      </c>
      <c r="M245" s="115" t="str">
        <f>VLOOKUP(A245,Product_Mapping!$B:$D,3,FALSE)</f>
        <v>Kitchen Fittings</v>
      </c>
      <c r="O245" s="147"/>
      <c r="P245" s="147"/>
    </row>
    <row r="246" spans="1:16" x14ac:dyDescent="0.3">
      <c r="A246" s="116">
        <v>8485</v>
      </c>
      <c r="B246" s="114" t="s">
        <v>246</v>
      </c>
      <c r="C246" s="115">
        <v>0</v>
      </c>
      <c r="D246" s="115">
        <v>0</v>
      </c>
      <c r="E246" s="115">
        <v>0</v>
      </c>
      <c r="F246" s="115">
        <v>0</v>
      </c>
      <c r="G246" s="115">
        <v>0</v>
      </c>
      <c r="H246" s="115">
        <v>0</v>
      </c>
      <c r="I246" s="115">
        <v>0</v>
      </c>
      <c r="J246" s="115">
        <v>0</v>
      </c>
      <c r="K246" s="115">
        <v>0</v>
      </c>
      <c r="L246" s="115">
        <v>0</v>
      </c>
      <c r="M246" s="115" t="str">
        <f>VLOOKUP(A246,Product_Mapping!$B:$D,3,FALSE)</f>
        <v>Kitchen Fittings</v>
      </c>
      <c r="O246" s="147"/>
      <c r="P246" s="147"/>
    </row>
    <row r="247" spans="1:16" x14ac:dyDescent="0.3">
      <c r="A247" s="116">
        <v>8403</v>
      </c>
      <c r="B247" s="114" t="s">
        <v>257</v>
      </c>
      <c r="C247" s="115">
        <v>0</v>
      </c>
      <c r="D247" s="115">
        <v>0</v>
      </c>
      <c r="E247" s="115">
        <v>0.02</v>
      </c>
      <c r="F247" s="115">
        <v>0</v>
      </c>
      <c r="G247" s="115">
        <v>0</v>
      </c>
      <c r="H247" s="115">
        <v>0</v>
      </c>
      <c r="I247" s="115">
        <v>0</v>
      </c>
      <c r="J247" s="115">
        <v>0</v>
      </c>
      <c r="K247" s="115">
        <v>0</v>
      </c>
      <c r="L247" s="115">
        <v>0</v>
      </c>
      <c r="M247" s="115" t="str">
        <f>VLOOKUP(A247,Product_Mapping!$B:$D,3,FALSE)</f>
        <v>Kitchen Fittings</v>
      </c>
      <c r="O247" s="147"/>
      <c r="P247" s="147"/>
    </row>
    <row r="248" spans="1:16" x14ac:dyDescent="0.3">
      <c r="A248" s="116">
        <v>8435</v>
      </c>
      <c r="B248" s="114" t="s">
        <v>259</v>
      </c>
      <c r="C248" s="115">
        <v>0</v>
      </c>
      <c r="D248" s="115" t="s">
        <v>48</v>
      </c>
      <c r="E248" s="115">
        <v>0</v>
      </c>
      <c r="F248" s="115">
        <v>0</v>
      </c>
      <c r="G248" s="115">
        <v>0</v>
      </c>
      <c r="H248" s="115">
        <v>0</v>
      </c>
      <c r="I248" s="115">
        <v>0</v>
      </c>
      <c r="J248" s="115">
        <v>0</v>
      </c>
      <c r="K248" s="115">
        <v>0</v>
      </c>
      <c r="L248" s="115">
        <v>0</v>
      </c>
      <c r="M248" s="115" t="str">
        <f>VLOOKUP(A248,Product_Mapping!$B:$D,3,FALSE)</f>
        <v>Kitchen Fittings</v>
      </c>
      <c r="O248" s="147"/>
      <c r="P248" s="147"/>
    </row>
    <row r="249" spans="1:16" x14ac:dyDescent="0.3">
      <c r="A249" s="116">
        <v>8440</v>
      </c>
      <c r="B249" s="114" t="s">
        <v>239</v>
      </c>
      <c r="C249" s="115">
        <v>0</v>
      </c>
      <c r="D249" s="115">
        <v>0.01</v>
      </c>
      <c r="E249" s="115">
        <v>0</v>
      </c>
      <c r="F249" s="115">
        <v>0</v>
      </c>
      <c r="G249" s="115">
        <v>0</v>
      </c>
      <c r="H249" s="115">
        <v>0</v>
      </c>
      <c r="I249" s="115">
        <v>0</v>
      </c>
      <c r="J249" s="115">
        <v>0</v>
      </c>
      <c r="K249" s="115">
        <v>0.01</v>
      </c>
      <c r="L249" s="115">
        <v>0</v>
      </c>
      <c r="M249" s="115" t="str">
        <f>VLOOKUP(A249,Product_Mapping!$B:$D,3,FALSE)</f>
        <v>Kitchen Fittings</v>
      </c>
      <c r="O249" s="147"/>
      <c r="P249" s="147"/>
    </row>
    <row r="250" spans="1:16" x14ac:dyDescent="0.3">
      <c r="A250" s="116">
        <v>8444</v>
      </c>
      <c r="B250" s="114" t="s">
        <v>230</v>
      </c>
      <c r="C250" s="115">
        <v>0</v>
      </c>
      <c r="D250" s="115">
        <v>0</v>
      </c>
      <c r="E250" s="115">
        <v>0</v>
      </c>
      <c r="F250" s="115">
        <v>0</v>
      </c>
      <c r="G250" s="115">
        <v>0</v>
      </c>
      <c r="H250" s="115">
        <v>0</v>
      </c>
      <c r="I250" s="115">
        <v>0</v>
      </c>
      <c r="J250" s="115">
        <v>0</v>
      </c>
      <c r="K250" s="115">
        <v>0</v>
      </c>
      <c r="L250" s="115">
        <v>0</v>
      </c>
      <c r="M250" s="115" t="str">
        <f>VLOOKUP(A250,Product_Mapping!$B:$D,3,FALSE)</f>
        <v>Kitchen Fittings</v>
      </c>
      <c r="O250" s="147"/>
      <c r="P250" s="147"/>
    </row>
    <row r="251" spans="1:16" x14ac:dyDescent="0.3">
      <c r="A251" s="116">
        <v>8447</v>
      </c>
      <c r="B251" s="114" t="s">
        <v>209</v>
      </c>
      <c r="C251" s="115" t="s">
        <v>48</v>
      </c>
      <c r="D251" s="115">
        <v>0</v>
      </c>
      <c r="E251" s="115">
        <v>0</v>
      </c>
      <c r="F251" s="115">
        <v>0.45</v>
      </c>
      <c r="G251" s="115">
        <v>0.15</v>
      </c>
      <c r="H251" s="115">
        <v>0.16</v>
      </c>
      <c r="I251" s="115">
        <v>0</v>
      </c>
      <c r="J251" s="115">
        <v>0</v>
      </c>
      <c r="K251" s="115">
        <v>0</v>
      </c>
      <c r="L251" s="115">
        <v>0</v>
      </c>
      <c r="M251" s="115" t="str">
        <f>VLOOKUP(A251,Product_Mapping!$B:$D,3,FALSE)</f>
        <v>Kitchen Fittings</v>
      </c>
      <c r="O251" s="147"/>
      <c r="P251" s="147"/>
    </row>
    <row r="252" spans="1:16" x14ac:dyDescent="0.3">
      <c r="A252" s="116">
        <v>8449</v>
      </c>
      <c r="B252" s="114" t="s">
        <v>254</v>
      </c>
      <c r="C252" s="115">
        <v>0</v>
      </c>
      <c r="D252" s="115">
        <v>0</v>
      </c>
      <c r="E252" s="115">
        <v>0</v>
      </c>
      <c r="F252" s="115">
        <v>0.01</v>
      </c>
      <c r="G252" s="115">
        <v>0</v>
      </c>
      <c r="H252" s="115">
        <v>0</v>
      </c>
      <c r="I252" s="115">
        <v>0.02</v>
      </c>
      <c r="J252" s="115">
        <v>0.01</v>
      </c>
      <c r="K252" s="115">
        <v>0</v>
      </c>
      <c r="L252" s="115">
        <v>0</v>
      </c>
      <c r="M252" s="115" t="str">
        <f>VLOOKUP(A252,Product_Mapping!$B:$D,3,FALSE)</f>
        <v>Kitchen Fittings</v>
      </c>
      <c r="O252" s="147"/>
      <c r="P252" s="147"/>
    </row>
    <row r="253" spans="1:16" x14ac:dyDescent="0.3">
      <c r="A253" s="116">
        <v>8453</v>
      </c>
      <c r="B253" s="114" t="s">
        <v>237</v>
      </c>
      <c r="C253" s="115">
        <v>0.11</v>
      </c>
      <c r="D253" s="115">
        <v>0.01</v>
      </c>
      <c r="E253" s="115">
        <v>0</v>
      </c>
      <c r="F253" s="115" t="s">
        <v>48</v>
      </c>
      <c r="G253" s="115" t="s">
        <v>48</v>
      </c>
      <c r="H253" s="115">
        <v>0</v>
      </c>
      <c r="I253" s="115">
        <v>0</v>
      </c>
      <c r="J253" s="115">
        <v>0</v>
      </c>
      <c r="K253" s="115">
        <v>0</v>
      </c>
      <c r="L253" s="115">
        <v>0</v>
      </c>
      <c r="M253" s="115" t="str">
        <f>VLOOKUP(A253,Product_Mapping!$B:$D,3,FALSE)</f>
        <v>Kitchen Fittings</v>
      </c>
      <c r="O253" s="147"/>
      <c r="P253" s="147"/>
    </row>
    <row r="254" spans="1:16" x14ac:dyDescent="0.3">
      <c r="A254" s="116">
        <v>8463</v>
      </c>
      <c r="B254" s="114" t="s">
        <v>229</v>
      </c>
      <c r="C254" s="115">
        <v>0.16</v>
      </c>
      <c r="D254" s="115" t="s">
        <v>48</v>
      </c>
      <c r="E254" s="115">
        <v>0</v>
      </c>
      <c r="F254" s="115">
        <v>0</v>
      </c>
      <c r="G254" s="115">
        <v>0.01</v>
      </c>
      <c r="H254" s="115">
        <v>0</v>
      </c>
      <c r="I254" s="115">
        <v>0</v>
      </c>
      <c r="J254" s="115">
        <v>0.01</v>
      </c>
      <c r="K254" s="115">
        <v>0.02</v>
      </c>
      <c r="L254" s="115">
        <v>0</v>
      </c>
      <c r="M254" s="115" t="str">
        <f>VLOOKUP(A254,Product_Mapping!$B:$D,3,FALSE)</f>
        <v>Kitchen Fittings</v>
      </c>
      <c r="O254" s="147"/>
      <c r="P254" s="14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0"/>
  <sheetViews>
    <sheetView workbookViewId="0">
      <selection activeCell="C9" sqref="C9"/>
    </sheetView>
  </sheetViews>
  <sheetFormatPr defaultRowHeight="14.4" x14ac:dyDescent="0.3"/>
  <cols>
    <col min="1" max="1" width="15" style="2" bestFit="1" customWidth="1"/>
    <col min="2" max="2" width="24.33203125" style="2" bestFit="1" customWidth="1"/>
    <col min="3" max="3" width="35.77734375" style="4" bestFit="1" customWidth="1"/>
    <col min="4" max="4" width="13.6640625" style="4" bestFit="1" customWidth="1"/>
    <col min="5" max="5" width="10.44140625" bestFit="1" customWidth="1"/>
    <col min="6" max="6" width="12.33203125" style="3" customWidth="1"/>
    <col min="7" max="7" width="10.44140625" customWidth="1"/>
    <col min="8" max="8" width="32.33203125" style="9" bestFit="1" customWidth="1"/>
    <col min="9" max="9" width="44.6640625" style="4" bestFit="1" customWidth="1"/>
    <col min="10" max="10" width="42.5546875" style="3" bestFit="1" customWidth="1"/>
  </cols>
  <sheetData>
    <row r="1" spans="1:10" ht="15" thickBot="1" x14ac:dyDescent="0.35">
      <c r="A1" s="121" t="s">
        <v>273</v>
      </c>
      <c r="B1" s="121" t="s">
        <v>276</v>
      </c>
      <c r="C1" s="122" t="s">
        <v>277</v>
      </c>
      <c r="D1" s="122" t="s">
        <v>282</v>
      </c>
      <c r="E1" s="123" t="s">
        <v>283</v>
      </c>
      <c r="F1" s="124" t="s">
        <v>290</v>
      </c>
      <c r="G1" s="125" t="s">
        <v>588</v>
      </c>
      <c r="H1" s="126" t="s">
        <v>274</v>
      </c>
      <c r="I1" s="122" t="s">
        <v>275</v>
      </c>
      <c r="J1" s="127" t="s">
        <v>49</v>
      </c>
    </row>
    <row r="2" spans="1:10" ht="15" thickBot="1" x14ac:dyDescent="0.35">
      <c r="A2" s="128">
        <v>8542</v>
      </c>
      <c r="B2" s="129" t="s">
        <v>0</v>
      </c>
      <c r="C2" s="130">
        <v>445839</v>
      </c>
      <c r="D2" s="130">
        <v>645673690</v>
      </c>
      <c r="E2" s="131" t="s">
        <v>283</v>
      </c>
      <c r="F2" s="132" t="s">
        <v>291</v>
      </c>
      <c r="G2" s="133" t="s">
        <v>292</v>
      </c>
      <c r="H2" s="134">
        <v>1.56</v>
      </c>
      <c r="I2" s="130">
        <v>33</v>
      </c>
      <c r="J2" s="135" t="s">
        <v>50</v>
      </c>
    </row>
    <row r="3" spans="1:10" ht="15" thickBot="1" x14ac:dyDescent="0.35">
      <c r="A3" s="128">
        <v>8536</v>
      </c>
      <c r="B3" s="129" t="s">
        <v>1</v>
      </c>
      <c r="C3" s="130">
        <v>247932</v>
      </c>
      <c r="D3" s="130">
        <v>6522195392</v>
      </c>
      <c r="E3" s="131" t="s">
        <v>283</v>
      </c>
      <c r="F3" s="132" t="s">
        <v>293</v>
      </c>
      <c r="G3" s="133" t="s">
        <v>292</v>
      </c>
      <c r="H3" s="134">
        <v>7.25</v>
      </c>
      <c r="I3" s="130">
        <v>10</v>
      </c>
      <c r="J3" s="135" t="s">
        <v>50</v>
      </c>
    </row>
    <row r="4" spans="1:10" ht="15" thickBot="1" x14ac:dyDescent="0.35">
      <c r="A4" s="128">
        <v>8541</v>
      </c>
      <c r="B4" s="129" t="s">
        <v>2</v>
      </c>
      <c r="C4" s="130">
        <v>219166</v>
      </c>
      <c r="D4" s="130">
        <v>1712779972</v>
      </c>
      <c r="E4" s="131" t="s">
        <v>283</v>
      </c>
      <c r="F4" s="132" t="s">
        <v>294</v>
      </c>
      <c r="G4" s="133" t="s">
        <v>292</v>
      </c>
      <c r="H4" s="134">
        <v>3.62</v>
      </c>
      <c r="I4" s="130">
        <v>17</v>
      </c>
      <c r="J4" s="135" t="s">
        <v>50</v>
      </c>
    </row>
    <row r="5" spans="1:10" ht="15" thickBot="1" x14ac:dyDescent="0.35">
      <c r="A5" s="128">
        <v>8504</v>
      </c>
      <c r="B5" s="129" t="s">
        <v>3</v>
      </c>
      <c r="C5" s="130">
        <v>161210</v>
      </c>
      <c r="D5" s="130">
        <v>0</v>
      </c>
      <c r="E5" s="131" t="s">
        <v>287</v>
      </c>
      <c r="F5" s="132" t="s">
        <v>50</v>
      </c>
      <c r="G5" s="133" t="s">
        <v>50</v>
      </c>
      <c r="H5" s="134">
        <v>3.76</v>
      </c>
      <c r="I5" s="130">
        <v>14</v>
      </c>
      <c r="J5" s="135" t="s">
        <v>50</v>
      </c>
    </row>
    <row r="6" spans="1:10" ht="15" thickBot="1" x14ac:dyDescent="0.35">
      <c r="A6" s="128">
        <v>8537</v>
      </c>
      <c r="B6" s="129" t="s">
        <v>4</v>
      </c>
      <c r="C6" s="130">
        <v>132106</v>
      </c>
      <c r="D6" s="130">
        <v>3324</v>
      </c>
      <c r="E6" s="131" t="s">
        <v>284</v>
      </c>
      <c r="F6" s="132" t="s">
        <v>295</v>
      </c>
      <c r="G6" s="133" t="s">
        <v>296</v>
      </c>
      <c r="H6" s="134">
        <v>9.33</v>
      </c>
      <c r="I6" s="130">
        <v>2</v>
      </c>
      <c r="J6" s="136">
        <v>44</v>
      </c>
    </row>
    <row r="7" spans="1:10" ht="15" thickBot="1" x14ac:dyDescent="0.35">
      <c r="A7" s="128">
        <v>8515</v>
      </c>
      <c r="B7" s="129" t="s">
        <v>5</v>
      </c>
      <c r="C7" s="130">
        <v>115284</v>
      </c>
      <c r="D7" s="130">
        <v>0</v>
      </c>
      <c r="E7" s="131" t="s">
        <v>287</v>
      </c>
      <c r="F7" s="132" t="s">
        <v>50</v>
      </c>
      <c r="G7" s="133" t="s">
        <v>50</v>
      </c>
      <c r="H7" s="134">
        <v>21.57</v>
      </c>
      <c r="I7" s="130">
        <v>20</v>
      </c>
      <c r="J7" s="135" t="s">
        <v>50</v>
      </c>
    </row>
    <row r="8" spans="1:10" ht="15" thickBot="1" x14ac:dyDescent="0.35">
      <c r="A8" s="128">
        <v>8532</v>
      </c>
      <c r="B8" s="129" t="s">
        <v>6</v>
      </c>
      <c r="C8" s="130">
        <v>115102</v>
      </c>
      <c r="D8" s="130">
        <v>42430156939</v>
      </c>
      <c r="E8" s="131" t="s">
        <v>283</v>
      </c>
      <c r="F8" s="132" t="s">
        <v>297</v>
      </c>
      <c r="G8" s="133" t="s">
        <v>292</v>
      </c>
      <c r="H8" s="134">
        <v>9.2799999999999994</v>
      </c>
      <c r="I8" s="130">
        <v>37</v>
      </c>
      <c r="J8" s="135" t="s">
        <v>50</v>
      </c>
    </row>
    <row r="9" spans="1:10" ht="15" thickBot="1" x14ac:dyDescent="0.35">
      <c r="A9" s="128">
        <v>8511</v>
      </c>
      <c r="B9" s="129" t="s">
        <v>7</v>
      </c>
      <c r="C9" s="130">
        <v>107023</v>
      </c>
      <c r="D9" s="130">
        <v>0</v>
      </c>
      <c r="E9" s="131" t="s">
        <v>287</v>
      </c>
      <c r="F9" s="132" t="s">
        <v>50</v>
      </c>
      <c r="G9" s="133" t="s">
        <v>50</v>
      </c>
      <c r="H9" s="134">
        <v>28.84</v>
      </c>
      <c r="I9" s="130">
        <v>25</v>
      </c>
      <c r="J9" s="135" t="s">
        <v>50</v>
      </c>
    </row>
    <row r="10" spans="1:10" ht="15" thickBot="1" x14ac:dyDescent="0.35">
      <c r="A10" s="128">
        <v>8507</v>
      </c>
      <c r="B10" s="129" t="s">
        <v>8</v>
      </c>
      <c r="C10" s="130">
        <v>105776</v>
      </c>
      <c r="D10" s="130">
        <v>0</v>
      </c>
      <c r="E10" s="131" t="s">
        <v>287</v>
      </c>
      <c r="F10" s="132" t="s">
        <v>50</v>
      </c>
      <c r="G10" s="133" t="s">
        <v>50</v>
      </c>
      <c r="H10" s="134">
        <v>2.13</v>
      </c>
      <c r="I10" s="130">
        <v>10</v>
      </c>
      <c r="J10" s="135" t="s">
        <v>50</v>
      </c>
    </row>
    <row r="11" spans="1:10" ht="15" thickBot="1" x14ac:dyDescent="0.35">
      <c r="A11" s="128">
        <v>8501</v>
      </c>
      <c r="B11" s="129" t="s">
        <v>9</v>
      </c>
      <c r="C11" s="130">
        <v>79776</v>
      </c>
      <c r="D11" s="130">
        <v>7419809</v>
      </c>
      <c r="E11" s="131" t="s">
        <v>283</v>
      </c>
      <c r="F11" s="132" t="s">
        <v>298</v>
      </c>
      <c r="G11" s="133" t="s">
        <v>292</v>
      </c>
      <c r="H11" s="134">
        <v>4.4800000000000004</v>
      </c>
      <c r="I11" s="130">
        <v>5</v>
      </c>
      <c r="J11" s="135" t="s">
        <v>50</v>
      </c>
    </row>
    <row r="12" spans="1:10" ht="15" thickBot="1" x14ac:dyDescent="0.35">
      <c r="A12" s="128">
        <v>8525</v>
      </c>
      <c r="B12" s="129" t="s">
        <v>10</v>
      </c>
      <c r="C12" s="130">
        <v>76798</v>
      </c>
      <c r="D12" s="130">
        <v>857591</v>
      </c>
      <c r="E12" s="131" t="s">
        <v>283</v>
      </c>
      <c r="F12" s="132" t="s">
        <v>299</v>
      </c>
      <c r="G12" s="133" t="s">
        <v>292</v>
      </c>
      <c r="H12" s="134">
        <v>3.64</v>
      </c>
      <c r="I12" s="130">
        <v>0</v>
      </c>
      <c r="J12" s="135" t="s">
        <v>50</v>
      </c>
    </row>
    <row r="13" spans="1:10" ht="15" thickBot="1" x14ac:dyDescent="0.35">
      <c r="A13" s="128">
        <v>8538</v>
      </c>
      <c r="B13" s="129" t="s">
        <v>11</v>
      </c>
      <c r="C13" s="130">
        <v>74464</v>
      </c>
      <c r="D13" s="130">
        <v>0</v>
      </c>
      <c r="E13" s="131" t="s">
        <v>288</v>
      </c>
      <c r="F13" s="132" t="s">
        <v>50</v>
      </c>
      <c r="G13" s="133" t="s">
        <v>50</v>
      </c>
      <c r="H13" s="134">
        <v>4.71</v>
      </c>
      <c r="I13" s="130">
        <v>6</v>
      </c>
      <c r="J13" s="135" t="s">
        <v>50</v>
      </c>
    </row>
    <row r="14" spans="1:10" ht="15" thickBot="1" x14ac:dyDescent="0.35">
      <c r="A14" s="128">
        <v>8544</v>
      </c>
      <c r="B14" s="129" t="s">
        <v>12</v>
      </c>
      <c r="C14" s="130">
        <v>72371</v>
      </c>
      <c r="D14" s="130">
        <v>2506501000</v>
      </c>
      <c r="E14" s="131" t="s">
        <v>285</v>
      </c>
      <c r="F14" s="132" t="s">
        <v>300</v>
      </c>
      <c r="G14" s="133" t="s">
        <v>301</v>
      </c>
      <c r="H14" s="134">
        <v>4.26</v>
      </c>
      <c r="I14" s="130">
        <v>20</v>
      </c>
      <c r="J14" s="135" t="s">
        <v>50</v>
      </c>
    </row>
    <row r="15" spans="1:10" ht="15" thickBot="1" x14ac:dyDescent="0.35">
      <c r="A15" s="128">
        <v>8517</v>
      </c>
      <c r="B15" s="129" t="s">
        <v>14</v>
      </c>
      <c r="C15" s="130">
        <v>71474</v>
      </c>
      <c r="D15" s="130">
        <v>191096444</v>
      </c>
      <c r="E15" s="131" t="s">
        <v>283</v>
      </c>
      <c r="F15" s="132" t="s">
        <v>302</v>
      </c>
      <c r="G15" s="133" t="s">
        <v>292</v>
      </c>
      <c r="H15" s="134">
        <v>0.31</v>
      </c>
      <c r="I15" s="130">
        <v>10</v>
      </c>
      <c r="J15" s="135" t="s">
        <v>50</v>
      </c>
    </row>
    <row r="16" spans="1:10" ht="15" thickBot="1" x14ac:dyDescent="0.35">
      <c r="A16" s="128">
        <v>8543</v>
      </c>
      <c r="B16" s="129" t="s">
        <v>16</v>
      </c>
      <c r="C16" s="130">
        <v>59854</v>
      </c>
      <c r="D16" s="130">
        <v>0</v>
      </c>
      <c r="E16" s="131" t="s">
        <v>287</v>
      </c>
      <c r="F16" s="132" t="s">
        <v>50</v>
      </c>
      <c r="G16" s="133" t="s">
        <v>50</v>
      </c>
      <c r="H16" s="134">
        <v>5.19</v>
      </c>
      <c r="I16" s="130">
        <v>10</v>
      </c>
      <c r="J16" s="135" t="s">
        <v>50</v>
      </c>
    </row>
    <row r="17" spans="1:10" ht="15" thickBot="1" x14ac:dyDescent="0.35">
      <c r="A17" s="128">
        <v>8547</v>
      </c>
      <c r="B17" s="129" t="s">
        <v>15</v>
      </c>
      <c r="C17" s="130">
        <v>56868</v>
      </c>
      <c r="D17" s="130">
        <v>1922</v>
      </c>
      <c r="E17" s="131" t="s">
        <v>284</v>
      </c>
      <c r="F17" s="132" t="s">
        <v>303</v>
      </c>
      <c r="G17" s="133" t="s">
        <v>296</v>
      </c>
      <c r="H17" s="134">
        <v>19.82</v>
      </c>
      <c r="I17" s="130">
        <v>8</v>
      </c>
      <c r="J17" s="137">
        <v>-19</v>
      </c>
    </row>
    <row r="18" spans="1:10" ht="15" thickBot="1" x14ac:dyDescent="0.35">
      <c r="A18" s="128">
        <v>8533</v>
      </c>
      <c r="B18" s="129" t="s">
        <v>17</v>
      </c>
      <c r="C18" s="130">
        <v>36678</v>
      </c>
      <c r="D18" s="130">
        <v>4802087742</v>
      </c>
      <c r="E18" s="131" t="s">
        <v>283</v>
      </c>
      <c r="F18" s="132" t="s">
        <v>304</v>
      </c>
      <c r="G18" s="133" t="s">
        <v>292</v>
      </c>
      <c r="H18" s="134">
        <v>7.61</v>
      </c>
      <c r="I18" s="130">
        <v>21</v>
      </c>
      <c r="J18" s="135" t="s">
        <v>50</v>
      </c>
    </row>
    <row r="19" spans="1:10" ht="15" thickBot="1" x14ac:dyDescent="0.35">
      <c r="A19" s="128">
        <v>8512</v>
      </c>
      <c r="B19" s="129" t="s">
        <v>18</v>
      </c>
      <c r="C19" s="130">
        <v>34344</v>
      </c>
      <c r="D19" s="130">
        <v>0</v>
      </c>
      <c r="E19" s="131" t="s">
        <v>287</v>
      </c>
      <c r="F19" s="132" t="s">
        <v>50</v>
      </c>
      <c r="G19" s="133" t="s">
        <v>50</v>
      </c>
      <c r="H19" s="134">
        <v>5.82</v>
      </c>
      <c r="I19" s="130">
        <v>17</v>
      </c>
      <c r="J19" s="135" t="s">
        <v>50</v>
      </c>
    </row>
    <row r="20" spans="1:10" ht="15" thickBot="1" x14ac:dyDescent="0.35">
      <c r="A20" s="128">
        <v>8523</v>
      </c>
      <c r="B20" s="129" t="s">
        <v>19</v>
      </c>
      <c r="C20" s="130">
        <v>33255</v>
      </c>
      <c r="D20" s="130">
        <v>1283038</v>
      </c>
      <c r="E20" s="131" t="s">
        <v>283</v>
      </c>
      <c r="F20" s="132" t="s">
        <v>305</v>
      </c>
      <c r="G20" s="133" t="s">
        <v>292</v>
      </c>
      <c r="H20" s="134">
        <v>2.35</v>
      </c>
      <c r="I20" s="130">
        <v>17</v>
      </c>
      <c r="J20" s="135" t="s">
        <v>50</v>
      </c>
    </row>
    <row r="21" spans="1:10" ht="15" thickBot="1" x14ac:dyDescent="0.35">
      <c r="A21" s="128">
        <v>8503</v>
      </c>
      <c r="B21" s="129" t="s">
        <v>20</v>
      </c>
      <c r="C21" s="130">
        <v>29591</v>
      </c>
      <c r="D21" s="130">
        <v>59891730</v>
      </c>
      <c r="E21" s="131" t="s">
        <v>283</v>
      </c>
      <c r="F21" s="132" t="s">
        <v>306</v>
      </c>
      <c r="G21" s="133" t="s">
        <v>292</v>
      </c>
      <c r="H21" s="134">
        <v>2.38</v>
      </c>
      <c r="I21" s="138">
        <v>-5</v>
      </c>
      <c r="J21" s="135" t="s">
        <v>50</v>
      </c>
    </row>
    <row r="22" spans="1:10" ht="15" thickBot="1" x14ac:dyDescent="0.35">
      <c r="A22" s="128">
        <v>8505</v>
      </c>
      <c r="B22" s="129" t="s">
        <v>21</v>
      </c>
      <c r="C22" s="130">
        <v>26216</v>
      </c>
      <c r="D22" s="130">
        <v>954</v>
      </c>
      <c r="E22" s="131" t="s">
        <v>284</v>
      </c>
      <c r="F22" s="132" t="s">
        <v>307</v>
      </c>
      <c r="G22" s="133" t="s">
        <v>296</v>
      </c>
      <c r="H22" s="134">
        <v>5.9</v>
      </c>
      <c r="I22" s="130">
        <v>16</v>
      </c>
      <c r="J22" s="137">
        <v>-20</v>
      </c>
    </row>
    <row r="23" spans="1:10" ht="15" thickBot="1" x14ac:dyDescent="0.35">
      <c r="A23" s="128">
        <v>8534</v>
      </c>
      <c r="B23" s="129" t="s">
        <v>23</v>
      </c>
      <c r="C23" s="130">
        <v>12117</v>
      </c>
      <c r="D23" s="130">
        <v>5636050</v>
      </c>
      <c r="E23" s="131" t="s">
        <v>283</v>
      </c>
      <c r="F23" s="132" t="s">
        <v>308</v>
      </c>
      <c r="G23" s="133" t="s">
        <v>292</v>
      </c>
      <c r="H23" s="134">
        <v>0.75</v>
      </c>
      <c r="I23" s="130">
        <v>11</v>
      </c>
      <c r="J23" s="135" t="s">
        <v>50</v>
      </c>
    </row>
    <row r="24" spans="1:10" ht="15" thickBot="1" x14ac:dyDescent="0.35">
      <c r="A24" s="128">
        <v>8514</v>
      </c>
      <c r="B24" s="129" t="s">
        <v>24</v>
      </c>
      <c r="C24" s="130">
        <v>11440</v>
      </c>
      <c r="D24" s="130">
        <v>0</v>
      </c>
      <c r="E24" s="131" t="s">
        <v>287</v>
      </c>
      <c r="F24" s="132" t="s">
        <v>50</v>
      </c>
      <c r="G24" s="133" t="s">
        <v>50</v>
      </c>
      <c r="H24" s="134">
        <v>3.91</v>
      </c>
      <c r="I24" s="130">
        <v>21</v>
      </c>
      <c r="J24" s="135" t="s">
        <v>50</v>
      </c>
    </row>
    <row r="25" spans="1:10" ht="15" thickBot="1" x14ac:dyDescent="0.35">
      <c r="A25" s="128">
        <v>8516</v>
      </c>
      <c r="B25" s="129" t="s">
        <v>27</v>
      </c>
      <c r="C25" s="130">
        <v>10107</v>
      </c>
      <c r="D25" s="130">
        <v>0</v>
      </c>
      <c r="E25" s="131" t="s">
        <v>288</v>
      </c>
      <c r="F25" s="132" t="s">
        <v>50</v>
      </c>
      <c r="G25" s="133" t="s">
        <v>50</v>
      </c>
      <c r="H25" s="134">
        <v>1.41</v>
      </c>
      <c r="I25" s="130">
        <v>11</v>
      </c>
      <c r="J25" s="135" t="s">
        <v>50</v>
      </c>
    </row>
    <row r="26" spans="1:10" ht="15" thickBot="1" x14ac:dyDescent="0.35">
      <c r="A26" s="128">
        <v>8540</v>
      </c>
      <c r="B26" s="129" t="s">
        <v>26</v>
      </c>
      <c r="C26" s="130">
        <v>9365</v>
      </c>
      <c r="D26" s="130">
        <v>3644</v>
      </c>
      <c r="E26" s="131" t="s">
        <v>283</v>
      </c>
      <c r="F26" s="132" t="s">
        <v>309</v>
      </c>
      <c r="G26" s="133" t="s">
        <v>292</v>
      </c>
      <c r="H26" s="134">
        <v>21.56</v>
      </c>
      <c r="I26" s="130">
        <v>21</v>
      </c>
      <c r="J26" s="135" t="s">
        <v>50</v>
      </c>
    </row>
    <row r="27" spans="1:10" ht="15" thickBot="1" x14ac:dyDescent="0.35">
      <c r="A27" s="128">
        <v>8545</v>
      </c>
      <c r="B27" s="129" t="s">
        <v>28</v>
      </c>
      <c r="C27" s="130">
        <v>8380</v>
      </c>
      <c r="D27" s="130">
        <v>1632</v>
      </c>
      <c r="E27" s="131" t="s">
        <v>284</v>
      </c>
      <c r="F27" s="132" t="s">
        <v>310</v>
      </c>
      <c r="G27" s="133" t="s">
        <v>296</v>
      </c>
      <c r="H27" s="134">
        <v>2.7</v>
      </c>
      <c r="I27" s="138">
        <v>-9</v>
      </c>
      <c r="J27" s="137">
        <v>-5</v>
      </c>
    </row>
    <row r="28" spans="1:10" ht="15" thickBot="1" x14ac:dyDescent="0.35">
      <c r="A28" s="128">
        <v>8528</v>
      </c>
      <c r="B28" s="129" t="s">
        <v>29</v>
      </c>
      <c r="C28" s="130">
        <v>8188</v>
      </c>
      <c r="D28" s="130">
        <v>18783</v>
      </c>
      <c r="E28" s="131" t="s">
        <v>283</v>
      </c>
      <c r="F28" s="132" t="s">
        <v>311</v>
      </c>
      <c r="G28" s="133" t="s">
        <v>292</v>
      </c>
      <c r="H28" s="134">
        <v>0.78</v>
      </c>
      <c r="I28" s="130">
        <v>5</v>
      </c>
      <c r="J28" s="135" t="s">
        <v>50</v>
      </c>
    </row>
    <row r="29" spans="1:10" ht="15" thickBot="1" x14ac:dyDescent="0.35">
      <c r="A29" s="128">
        <v>8530</v>
      </c>
      <c r="B29" s="129" t="s">
        <v>30</v>
      </c>
      <c r="C29" s="130">
        <v>8012</v>
      </c>
      <c r="D29" s="130">
        <v>0</v>
      </c>
      <c r="E29" s="131" t="s">
        <v>287</v>
      </c>
      <c r="F29" s="132" t="s">
        <v>50</v>
      </c>
      <c r="G29" s="133" t="s">
        <v>50</v>
      </c>
      <c r="H29" s="134">
        <v>7.55</v>
      </c>
      <c r="I29" s="130">
        <v>2</v>
      </c>
      <c r="J29" s="135" t="s">
        <v>50</v>
      </c>
    </row>
    <row r="30" spans="1:10" ht="15" thickBot="1" x14ac:dyDescent="0.35">
      <c r="A30" s="128">
        <v>8518</v>
      </c>
      <c r="B30" s="129" t="s">
        <v>31</v>
      </c>
      <c r="C30" s="130">
        <v>7806</v>
      </c>
      <c r="D30" s="130">
        <v>0</v>
      </c>
      <c r="E30" s="131" t="s">
        <v>288</v>
      </c>
      <c r="F30" s="132" t="s">
        <v>50</v>
      </c>
      <c r="G30" s="133" t="s">
        <v>50</v>
      </c>
      <c r="H30" s="134">
        <v>0.4</v>
      </c>
      <c r="I30" s="130">
        <v>18</v>
      </c>
      <c r="J30" s="135" t="s">
        <v>50</v>
      </c>
    </row>
    <row r="31" spans="1:10" ht="15" thickBot="1" x14ac:dyDescent="0.35">
      <c r="A31" s="128">
        <v>8539</v>
      </c>
      <c r="B31" s="129" t="s">
        <v>22</v>
      </c>
      <c r="C31" s="130">
        <v>7029</v>
      </c>
      <c r="D31" s="130">
        <v>0</v>
      </c>
      <c r="E31" s="131" t="s">
        <v>288</v>
      </c>
      <c r="F31" s="132" t="s">
        <v>50</v>
      </c>
      <c r="G31" s="133" t="s">
        <v>50</v>
      </c>
      <c r="H31" s="134">
        <v>5.59</v>
      </c>
      <c r="I31" s="138">
        <v>-8</v>
      </c>
      <c r="J31" s="135" t="s">
        <v>50</v>
      </c>
    </row>
    <row r="32" spans="1:10" ht="15" thickBot="1" x14ac:dyDescent="0.35">
      <c r="A32" s="128">
        <v>8506</v>
      </c>
      <c r="B32" s="129" t="s">
        <v>32</v>
      </c>
      <c r="C32" s="130">
        <v>6550</v>
      </c>
      <c r="D32" s="130">
        <v>28652225</v>
      </c>
      <c r="E32" s="131" t="s">
        <v>283</v>
      </c>
      <c r="F32" s="132" t="s">
        <v>312</v>
      </c>
      <c r="G32" s="133" t="s">
        <v>292</v>
      </c>
      <c r="H32" s="134">
        <v>5.68</v>
      </c>
      <c r="I32" s="130">
        <v>21</v>
      </c>
      <c r="J32" s="135" t="s">
        <v>50</v>
      </c>
    </row>
    <row r="33" spans="1:10" ht="15" thickBot="1" x14ac:dyDescent="0.35">
      <c r="A33" s="128">
        <v>8531</v>
      </c>
      <c r="B33" s="129" t="s">
        <v>33</v>
      </c>
      <c r="C33" s="130">
        <v>2966</v>
      </c>
      <c r="D33" s="130">
        <v>0</v>
      </c>
      <c r="E33" s="131" t="s">
        <v>288</v>
      </c>
      <c r="F33" s="132" t="s">
        <v>50</v>
      </c>
      <c r="G33" s="133" t="s">
        <v>50</v>
      </c>
      <c r="H33" s="134">
        <v>0.9</v>
      </c>
      <c r="I33" s="130">
        <v>2</v>
      </c>
      <c r="J33" s="135" t="s">
        <v>50</v>
      </c>
    </row>
    <row r="34" spans="1:10" ht="15" thickBot="1" x14ac:dyDescent="0.35">
      <c r="A34" s="128">
        <v>8546</v>
      </c>
      <c r="B34" s="129" t="s">
        <v>34</v>
      </c>
      <c r="C34" s="130">
        <v>2286</v>
      </c>
      <c r="D34" s="130">
        <v>119</v>
      </c>
      <c r="E34" s="131" t="s">
        <v>284</v>
      </c>
      <c r="F34" s="132" t="s">
        <v>313</v>
      </c>
      <c r="G34" s="133" t="s">
        <v>296</v>
      </c>
      <c r="H34" s="134">
        <v>1.46</v>
      </c>
      <c r="I34" s="130">
        <v>22</v>
      </c>
      <c r="J34" s="136">
        <v>61</v>
      </c>
    </row>
    <row r="35" spans="1:10" ht="15" thickBot="1" x14ac:dyDescent="0.35">
      <c r="A35" s="128">
        <v>8529</v>
      </c>
      <c r="B35" s="129" t="s">
        <v>25</v>
      </c>
      <c r="C35" s="130">
        <v>2109</v>
      </c>
      <c r="D35" s="130">
        <v>722026</v>
      </c>
      <c r="E35" s="131" t="s">
        <v>283</v>
      </c>
      <c r="F35" s="132" t="s">
        <v>314</v>
      </c>
      <c r="G35" s="133" t="s">
        <v>292</v>
      </c>
      <c r="H35" s="134">
        <v>0.82</v>
      </c>
      <c r="I35" s="138">
        <v>-41</v>
      </c>
      <c r="J35" s="135" t="s">
        <v>50</v>
      </c>
    </row>
    <row r="36" spans="1:10" ht="15" thickBot="1" x14ac:dyDescent="0.35">
      <c r="A36" s="128">
        <v>8535</v>
      </c>
      <c r="B36" s="129" t="s">
        <v>35</v>
      </c>
      <c r="C36" s="130">
        <v>1463</v>
      </c>
      <c r="D36" s="130">
        <v>6695052</v>
      </c>
      <c r="E36" s="131" t="s">
        <v>283</v>
      </c>
      <c r="F36" s="132" t="s">
        <v>315</v>
      </c>
      <c r="G36" s="133" t="s">
        <v>292</v>
      </c>
      <c r="H36" s="134">
        <v>0.4</v>
      </c>
      <c r="I36" s="130">
        <v>1</v>
      </c>
      <c r="J36" s="135" t="s">
        <v>50</v>
      </c>
    </row>
    <row r="37" spans="1:10" ht="15" thickBot="1" x14ac:dyDescent="0.35">
      <c r="A37" s="128">
        <v>8527</v>
      </c>
      <c r="B37" s="129" t="s">
        <v>36</v>
      </c>
      <c r="C37" s="130">
        <v>1398</v>
      </c>
      <c r="D37" s="130">
        <v>3373</v>
      </c>
      <c r="E37" s="131" t="s">
        <v>283</v>
      </c>
      <c r="F37" s="132" t="s">
        <v>316</v>
      </c>
      <c r="G37" s="133" t="s">
        <v>292</v>
      </c>
      <c r="H37" s="134">
        <v>0.47</v>
      </c>
      <c r="I37" s="130">
        <v>47</v>
      </c>
      <c r="J37" s="135" t="s">
        <v>50</v>
      </c>
    </row>
    <row r="38" spans="1:10" ht="15" thickBot="1" x14ac:dyDescent="0.35">
      <c r="A38" s="128">
        <v>8526</v>
      </c>
      <c r="B38" s="129" t="s">
        <v>37</v>
      </c>
      <c r="C38" s="130">
        <v>653</v>
      </c>
      <c r="D38" s="130">
        <v>2273</v>
      </c>
      <c r="E38" s="131" t="s">
        <v>283</v>
      </c>
      <c r="F38" s="132" t="s">
        <v>317</v>
      </c>
      <c r="G38" s="133" t="s">
        <v>292</v>
      </c>
      <c r="H38" s="134">
        <v>0.33</v>
      </c>
      <c r="I38" s="130">
        <v>48</v>
      </c>
      <c r="J38" s="135" t="s">
        <v>50</v>
      </c>
    </row>
    <row r="39" spans="1:10" ht="15" thickBot="1" x14ac:dyDescent="0.35">
      <c r="A39" s="128">
        <v>8521</v>
      </c>
      <c r="B39" s="129" t="s">
        <v>38</v>
      </c>
      <c r="C39" s="130">
        <v>607</v>
      </c>
      <c r="D39" s="130">
        <v>496</v>
      </c>
      <c r="E39" s="131" t="s">
        <v>283</v>
      </c>
      <c r="F39" s="132" t="s">
        <v>318</v>
      </c>
      <c r="G39" s="133" t="s">
        <v>292</v>
      </c>
      <c r="H39" s="134">
        <v>1.55</v>
      </c>
      <c r="I39" s="130">
        <v>12</v>
      </c>
      <c r="J39" s="137">
        <v>-80</v>
      </c>
    </row>
    <row r="40" spans="1:10" ht="15" thickBot="1" x14ac:dyDescent="0.35">
      <c r="A40" s="128">
        <v>8508</v>
      </c>
      <c r="B40" s="129" t="s">
        <v>41</v>
      </c>
      <c r="C40" s="130">
        <v>469</v>
      </c>
      <c r="D40" s="130">
        <v>0</v>
      </c>
      <c r="E40" s="131" t="s">
        <v>288</v>
      </c>
      <c r="F40" s="132" t="s">
        <v>50</v>
      </c>
      <c r="G40" s="133" t="s">
        <v>50</v>
      </c>
      <c r="H40" s="134">
        <v>0.26</v>
      </c>
      <c r="I40" s="130">
        <v>60</v>
      </c>
      <c r="J40" s="135" t="s">
        <v>50</v>
      </c>
    </row>
    <row r="41" spans="1:10" ht="15" thickBot="1" x14ac:dyDescent="0.35">
      <c r="A41" s="128">
        <v>8509</v>
      </c>
      <c r="B41" s="129" t="s">
        <v>44</v>
      </c>
      <c r="C41" s="130">
        <v>360</v>
      </c>
      <c r="D41" s="130">
        <v>0</v>
      </c>
      <c r="E41" s="131" t="s">
        <v>288</v>
      </c>
      <c r="F41" s="132" t="s">
        <v>50</v>
      </c>
      <c r="G41" s="133" t="s">
        <v>50</v>
      </c>
      <c r="H41" s="134">
        <v>0.37</v>
      </c>
      <c r="I41" s="130">
        <v>37</v>
      </c>
      <c r="J41" s="135" t="s">
        <v>50</v>
      </c>
    </row>
    <row r="42" spans="1:10" ht="15" thickBot="1" x14ac:dyDescent="0.35">
      <c r="A42" s="128">
        <v>8548</v>
      </c>
      <c r="B42" s="129" t="s">
        <v>45</v>
      </c>
      <c r="C42" s="130">
        <v>182</v>
      </c>
      <c r="D42" s="130">
        <v>42833</v>
      </c>
      <c r="E42" s="131" t="s">
        <v>283</v>
      </c>
      <c r="F42" s="132" t="s">
        <v>319</v>
      </c>
      <c r="G42" s="133" t="s">
        <v>292</v>
      </c>
      <c r="H42" s="134">
        <v>0.03</v>
      </c>
      <c r="I42" s="130">
        <v>234</v>
      </c>
      <c r="J42" s="135" t="s">
        <v>50</v>
      </c>
    </row>
    <row r="43" spans="1:10" ht="15" thickBot="1" x14ac:dyDescent="0.35">
      <c r="A43" s="128">
        <v>8522</v>
      </c>
      <c r="B43" s="129" t="s">
        <v>40</v>
      </c>
      <c r="C43" s="130">
        <v>119</v>
      </c>
      <c r="D43" s="130">
        <v>0</v>
      </c>
      <c r="E43" s="131" t="s">
        <v>288</v>
      </c>
      <c r="F43" s="132" t="s">
        <v>50</v>
      </c>
      <c r="G43" s="133" t="s">
        <v>50</v>
      </c>
      <c r="H43" s="134">
        <v>0.19</v>
      </c>
      <c r="I43" s="130">
        <v>84</v>
      </c>
      <c r="J43" s="135" t="s">
        <v>50</v>
      </c>
    </row>
    <row r="44" spans="1:10" ht="15" thickBot="1" x14ac:dyDescent="0.35">
      <c r="A44" s="128">
        <v>8502</v>
      </c>
      <c r="B44" s="129" t="s">
        <v>39</v>
      </c>
      <c r="C44" s="130">
        <v>118</v>
      </c>
      <c r="D44" s="130">
        <v>4</v>
      </c>
      <c r="E44" s="131" t="s">
        <v>283</v>
      </c>
      <c r="F44" s="132" t="s">
        <v>320</v>
      </c>
      <c r="G44" s="133" t="s">
        <v>292</v>
      </c>
      <c r="H44" s="134">
        <v>0.05</v>
      </c>
      <c r="I44" s="138">
        <v>-14</v>
      </c>
      <c r="J44" s="135" t="s">
        <v>50</v>
      </c>
    </row>
    <row r="45" spans="1:10" ht="15" thickBot="1" x14ac:dyDescent="0.35">
      <c r="A45" s="128">
        <v>8510</v>
      </c>
      <c r="B45" s="129" t="s">
        <v>47</v>
      </c>
      <c r="C45" s="130">
        <v>117</v>
      </c>
      <c r="D45" s="130">
        <v>0</v>
      </c>
      <c r="E45" s="131" t="s">
        <v>288</v>
      </c>
      <c r="F45" s="132" t="s">
        <v>50</v>
      </c>
      <c r="G45" s="133" t="s">
        <v>50</v>
      </c>
      <c r="H45" s="134">
        <v>0.13</v>
      </c>
      <c r="I45" s="130">
        <v>219</v>
      </c>
      <c r="J45" s="135" t="s">
        <v>50</v>
      </c>
    </row>
    <row r="46" spans="1:10" ht="15" thickBot="1" x14ac:dyDescent="0.35">
      <c r="A46" s="128">
        <v>8513</v>
      </c>
      <c r="B46" s="129" t="s">
        <v>42</v>
      </c>
      <c r="C46" s="130">
        <v>47</v>
      </c>
      <c r="D46" s="130">
        <v>0</v>
      </c>
      <c r="E46" s="131" t="s">
        <v>287</v>
      </c>
      <c r="F46" s="132" t="s">
        <v>50</v>
      </c>
      <c r="G46" s="133" t="s">
        <v>50</v>
      </c>
      <c r="H46" s="134">
        <v>0.17</v>
      </c>
      <c r="I46" s="130">
        <v>15</v>
      </c>
      <c r="J46" s="135" t="s">
        <v>50</v>
      </c>
    </row>
    <row r="47" spans="1:10" ht="15" thickBot="1" x14ac:dyDescent="0.35">
      <c r="A47" s="128">
        <v>8519</v>
      </c>
      <c r="B47" s="129" t="s">
        <v>43</v>
      </c>
      <c r="C47" s="130">
        <v>42</v>
      </c>
      <c r="D47" s="130">
        <v>409</v>
      </c>
      <c r="E47" s="131" t="s">
        <v>283</v>
      </c>
      <c r="F47" s="132" t="s">
        <v>321</v>
      </c>
      <c r="G47" s="133" t="s">
        <v>292</v>
      </c>
      <c r="H47" s="134">
        <v>0.23</v>
      </c>
      <c r="I47" s="138">
        <v>-28</v>
      </c>
      <c r="J47" s="135" t="s">
        <v>50</v>
      </c>
    </row>
    <row r="48" spans="1:10" ht="15" thickBot="1" x14ac:dyDescent="0.35">
      <c r="A48" s="139">
        <v>3904</v>
      </c>
      <c r="B48" s="140" t="s">
        <v>51</v>
      </c>
      <c r="C48" s="130">
        <v>456607</v>
      </c>
      <c r="D48" s="130">
        <v>485840</v>
      </c>
      <c r="E48" s="131" t="s">
        <v>284</v>
      </c>
      <c r="F48" s="132" t="s">
        <v>322</v>
      </c>
      <c r="G48" s="133" t="s">
        <v>296</v>
      </c>
      <c r="H48" s="134">
        <v>16.329999999999998</v>
      </c>
      <c r="I48" s="138">
        <v>-9</v>
      </c>
      <c r="J48" s="136">
        <v>5</v>
      </c>
    </row>
    <row r="49" spans="1:10" ht="15" thickBot="1" x14ac:dyDescent="0.35">
      <c r="A49" s="128">
        <v>3906</v>
      </c>
      <c r="B49" s="129" t="s">
        <v>52</v>
      </c>
      <c r="C49" s="130">
        <v>123426</v>
      </c>
      <c r="D49" s="130">
        <v>63003</v>
      </c>
      <c r="E49" s="131" t="s">
        <v>284</v>
      </c>
      <c r="F49" s="132" t="s">
        <v>323</v>
      </c>
      <c r="G49" s="133" t="s">
        <v>296</v>
      </c>
      <c r="H49" s="134">
        <v>15.49</v>
      </c>
      <c r="I49" s="130">
        <v>3</v>
      </c>
      <c r="J49" s="136">
        <v>7</v>
      </c>
    </row>
    <row r="50" spans="1:10" ht="15" thickBot="1" x14ac:dyDescent="0.35">
      <c r="A50" s="128">
        <v>3926</v>
      </c>
      <c r="B50" s="129" t="s">
        <v>53</v>
      </c>
      <c r="C50" s="130">
        <v>82059</v>
      </c>
      <c r="D50" s="130">
        <v>7203</v>
      </c>
      <c r="E50" s="131" t="s">
        <v>284</v>
      </c>
      <c r="F50" s="132" t="s">
        <v>324</v>
      </c>
      <c r="G50" s="133" t="s">
        <v>296</v>
      </c>
      <c r="H50" s="134">
        <v>5.73</v>
      </c>
      <c r="I50" s="130">
        <v>9</v>
      </c>
      <c r="J50" s="136">
        <v>10</v>
      </c>
    </row>
    <row r="51" spans="1:10" ht="15" thickBot="1" x14ac:dyDescent="0.35">
      <c r="A51" s="128">
        <v>3909</v>
      </c>
      <c r="B51" s="129" t="s">
        <v>54</v>
      </c>
      <c r="C51" s="130">
        <v>80258</v>
      </c>
      <c r="D51" s="130">
        <v>36678</v>
      </c>
      <c r="E51" s="131" t="s">
        <v>284</v>
      </c>
      <c r="F51" s="132" t="s">
        <v>325</v>
      </c>
      <c r="G51" s="133" t="s">
        <v>296</v>
      </c>
      <c r="H51" s="134">
        <v>8.65</v>
      </c>
      <c r="I51" s="130">
        <v>13</v>
      </c>
      <c r="J51" s="136">
        <v>20</v>
      </c>
    </row>
    <row r="52" spans="1:10" ht="15" thickBot="1" x14ac:dyDescent="0.35">
      <c r="A52" s="128">
        <v>3901</v>
      </c>
      <c r="B52" s="129" t="s">
        <v>55</v>
      </c>
      <c r="C52" s="130">
        <v>67337</v>
      </c>
      <c r="D52" s="130">
        <v>37170</v>
      </c>
      <c r="E52" s="131" t="s">
        <v>284</v>
      </c>
      <c r="F52" s="132" t="s">
        <v>326</v>
      </c>
      <c r="G52" s="133" t="s">
        <v>296</v>
      </c>
      <c r="H52" s="134">
        <v>1.96</v>
      </c>
      <c r="I52" s="130">
        <v>4</v>
      </c>
      <c r="J52" s="136">
        <v>9</v>
      </c>
    </row>
    <row r="53" spans="1:10" ht="15" thickBot="1" x14ac:dyDescent="0.35">
      <c r="A53" s="128">
        <v>3912</v>
      </c>
      <c r="B53" s="129" t="s">
        <v>56</v>
      </c>
      <c r="C53" s="130">
        <v>62320</v>
      </c>
      <c r="D53" s="130">
        <v>3565</v>
      </c>
      <c r="E53" s="131" t="s">
        <v>284</v>
      </c>
      <c r="F53" s="132" t="s">
        <v>327</v>
      </c>
      <c r="G53" s="133" t="s">
        <v>296</v>
      </c>
      <c r="H53" s="134">
        <v>9.7100000000000009</v>
      </c>
      <c r="I53" s="130">
        <v>5</v>
      </c>
      <c r="J53" s="136">
        <v>6</v>
      </c>
    </row>
    <row r="54" spans="1:10" ht="15" thickBot="1" x14ac:dyDescent="0.35">
      <c r="A54" s="128">
        <v>3907</v>
      </c>
      <c r="B54" s="129" t="s">
        <v>57</v>
      </c>
      <c r="C54" s="130">
        <v>61001</v>
      </c>
      <c r="D54" s="130">
        <v>14420</v>
      </c>
      <c r="E54" s="131" t="s">
        <v>284</v>
      </c>
      <c r="F54" s="132" t="s">
        <v>328</v>
      </c>
      <c r="G54" s="133" t="s">
        <v>296</v>
      </c>
      <c r="H54" s="134">
        <v>2.2599999999999998</v>
      </c>
      <c r="I54" s="130">
        <v>5</v>
      </c>
      <c r="J54" s="136">
        <v>6</v>
      </c>
    </row>
    <row r="55" spans="1:10" ht="15" thickBot="1" x14ac:dyDescent="0.35">
      <c r="A55" s="128">
        <v>3902</v>
      </c>
      <c r="B55" s="129" t="s">
        <v>58</v>
      </c>
      <c r="C55" s="130">
        <v>45103</v>
      </c>
      <c r="D55" s="130">
        <v>32307</v>
      </c>
      <c r="E55" s="131" t="s">
        <v>284</v>
      </c>
      <c r="F55" s="132" t="s">
        <v>329</v>
      </c>
      <c r="G55" s="133" t="s">
        <v>296</v>
      </c>
      <c r="H55" s="134">
        <v>2.17</v>
      </c>
      <c r="I55" s="130">
        <v>16</v>
      </c>
      <c r="J55" s="136">
        <v>28</v>
      </c>
    </row>
    <row r="56" spans="1:10" ht="15" thickBot="1" x14ac:dyDescent="0.35">
      <c r="A56" s="128">
        <v>3919</v>
      </c>
      <c r="B56" s="129" t="s">
        <v>59</v>
      </c>
      <c r="C56" s="130">
        <v>36089</v>
      </c>
      <c r="D56" s="130">
        <v>2538</v>
      </c>
      <c r="E56" s="131" t="s">
        <v>284</v>
      </c>
      <c r="F56" s="132" t="s">
        <v>330</v>
      </c>
      <c r="G56" s="133" t="s">
        <v>296</v>
      </c>
      <c r="H56" s="134">
        <v>4.58</v>
      </c>
      <c r="I56" s="130">
        <v>7</v>
      </c>
      <c r="J56" s="136">
        <v>5</v>
      </c>
    </row>
    <row r="57" spans="1:10" ht="15" thickBot="1" x14ac:dyDescent="0.35">
      <c r="A57" s="128">
        <v>3920</v>
      </c>
      <c r="B57" s="129" t="s">
        <v>60</v>
      </c>
      <c r="C57" s="130">
        <v>35979</v>
      </c>
      <c r="D57" s="130">
        <v>7058</v>
      </c>
      <c r="E57" s="131" t="s">
        <v>284</v>
      </c>
      <c r="F57" s="132" t="s">
        <v>331</v>
      </c>
      <c r="G57" s="133" t="s">
        <v>296</v>
      </c>
      <c r="H57" s="134">
        <v>1.78</v>
      </c>
      <c r="I57" s="130">
        <v>5</v>
      </c>
      <c r="J57" s="136">
        <v>1</v>
      </c>
    </row>
    <row r="58" spans="1:10" ht="15" thickBot="1" x14ac:dyDescent="0.35">
      <c r="A58" s="128">
        <v>3905</v>
      </c>
      <c r="B58" s="129" t="s">
        <v>61</v>
      </c>
      <c r="C58" s="130">
        <v>21650</v>
      </c>
      <c r="D58" s="130">
        <v>6298</v>
      </c>
      <c r="E58" s="131" t="s">
        <v>284</v>
      </c>
      <c r="F58" s="132" t="s">
        <v>332</v>
      </c>
      <c r="G58" s="133" t="s">
        <v>296</v>
      </c>
      <c r="H58" s="134">
        <v>4.8600000000000003</v>
      </c>
      <c r="I58" s="138">
        <v>-8</v>
      </c>
      <c r="J58" s="137">
        <v>-8</v>
      </c>
    </row>
    <row r="59" spans="1:10" ht="15" thickBot="1" x14ac:dyDescent="0.35">
      <c r="A59" s="128">
        <v>3911</v>
      </c>
      <c r="B59" s="129" t="s">
        <v>62</v>
      </c>
      <c r="C59" s="130">
        <v>20285</v>
      </c>
      <c r="D59" s="130">
        <v>5817</v>
      </c>
      <c r="E59" s="131" t="s">
        <v>284</v>
      </c>
      <c r="F59" s="132" t="s">
        <v>333</v>
      </c>
      <c r="G59" s="133" t="s">
        <v>296</v>
      </c>
      <c r="H59" s="134">
        <v>7.89</v>
      </c>
      <c r="I59" s="138">
        <v>-5</v>
      </c>
      <c r="J59" s="137">
        <v>-6</v>
      </c>
    </row>
    <row r="60" spans="1:10" ht="15" thickBot="1" x14ac:dyDescent="0.35">
      <c r="A60" s="128">
        <v>3903</v>
      </c>
      <c r="B60" s="129" t="s">
        <v>63</v>
      </c>
      <c r="C60" s="130">
        <v>19911</v>
      </c>
      <c r="D60" s="130">
        <v>13083</v>
      </c>
      <c r="E60" s="131" t="s">
        <v>284</v>
      </c>
      <c r="F60" s="132" t="s">
        <v>334</v>
      </c>
      <c r="G60" s="133" t="s">
        <v>296</v>
      </c>
      <c r="H60" s="134">
        <v>3.59</v>
      </c>
      <c r="I60" s="138">
        <v>-4</v>
      </c>
      <c r="J60" s="136">
        <v>3</v>
      </c>
    </row>
    <row r="61" spans="1:10" ht="15" thickBot="1" x14ac:dyDescent="0.35">
      <c r="A61" s="128">
        <v>3908</v>
      </c>
      <c r="B61" s="129" t="s">
        <v>64</v>
      </c>
      <c r="C61" s="130">
        <v>15432</v>
      </c>
      <c r="D61" s="130">
        <v>2124</v>
      </c>
      <c r="E61" s="131" t="s">
        <v>284</v>
      </c>
      <c r="F61" s="132" t="s">
        <v>335</v>
      </c>
      <c r="G61" s="133" t="s">
        <v>296</v>
      </c>
      <c r="H61" s="134">
        <v>2.14</v>
      </c>
      <c r="I61" s="138">
        <v>-6</v>
      </c>
      <c r="J61" s="137">
        <v>-10</v>
      </c>
    </row>
    <row r="62" spans="1:10" ht="15" thickBot="1" x14ac:dyDescent="0.35">
      <c r="A62" s="128">
        <v>3923</v>
      </c>
      <c r="B62" s="129" t="s">
        <v>65</v>
      </c>
      <c r="C62" s="130">
        <v>14811</v>
      </c>
      <c r="D62" s="130">
        <v>2122</v>
      </c>
      <c r="E62" s="131" t="s">
        <v>284</v>
      </c>
      <c r="F62" s="132" t="s">
        <v>336</v>
      </c>
      <c r="G62" s="133" t="s">
        <v>296</v>
      </c>
      <c r="H62" s="134">
        <v>3.47</v>
      </c>
      <c r="I62" s="130">
        <v>13</v>
      </c>
      <c r="J62" s="136">
        <v>10</v>
      </c>
    </row>
    <row r="63" spans="1:10" ht="15" thickBot="1" x14ac:dyDescent="0.35">
      <c r="A63" s="128">
        <v>3910</v>
      </c>
      <c r="B63" s="129" t="s">
        <v>66</v>
      </c>
      <c r="C63" s="130">
        <v>14394</v>
      </c>
      <c r="D63" s="130">
        <v>1403</v>
      </c>
      <c r="E63" s="131" t="s">
        <v>284</v>
      </c>
      <c r="F63" s="132" t="s">
        <v>337</v>
      </c>
      <c r="G63" s="133" t="s">
        <v>296</v>
      </c>
      <c r="H63" s="134">
        <v>3.85</v>
      </c>
      <c r="I63" s="130">
        <v>3</v>
      </c>
      <c r="J63" s="137">
        <v>-2</v>
      </c>
    </row>
    <row r="64" spans="1:10" ht="15" thickBot="1" x14ac:dyDescent="0.35">
      <c r="A64" s="128">
        <v>3917</v>
      </c>
      <c r="B64" s="129" t="s">
        <v>67</v>
      </c>
      <c r="C64" s="130">
        <v>11174</v>
      </c>
      <c r="D64" s="130">
        <v>380</v>
      </c>
      <c r="E64" s="131" t="s">
        <v>284</v>
      </c>
      <c r="F64" s="132" t="s">
        <v>338</v>
      </c>
      <c r="G64" s="133" t="s">
        <v>296</v>
      </c>
      <c r="H64" s="134">
        <v>3.26</v>
      </c>
      <c r="I64" s="138">
        <v>-4</v>
      </c>
      <c r="J64" s="137">
        <v>-11</v>
      </c>
    </row>
    <row r="65" spans="1:10" ht="15" thickBot="1" x14ac:dyDescent="0.35">
      <c r="A65" s="128">
        <v>3921</v>
      </c>
      <c r="B65" s="129" t="s">
        <v>68</v>
      </c>
      <c r="C65" s="130">
        <v>10241</v>
      </c>
      <c r="D65" s="130">
        <v>763</v>
      </c>
      <c r="E65" s="131" t="s">
        <v>284</v>
      </c>
      <c r="F65" s="132" t="s">
        <v>339</v>
      </c>
      <c r="G65" s="133" t="s">
        <v>296</v>
      </c>
      <c r="H65" s="134">
        <v>1.95</v>
      </c>
      <c r="I65" s="130">
        <v>10</v>
      </c>
      <c r="J65" s="136">
        <v>6</v>
      </c>
    </row>
    <row r="66" spans="1:10" ht="15" thickBot="1" x14ac:dyDescent="0.35">
      <c r="A66" s="128">
        <v>3914</v>
      </c>
      <c r="B66" s="129" t="s">
        <v>69</v>
      </c>
      <c r="C66" s="130">
        <v>2967</v>
      </c>
      <c r="D66" s="130">
        <v>26</v>
      </c>
      <c r="E66" s="131" t="s">
        <v>284</v>
      </c>
      <c r="F66" s="132" t="s">
        <v>340</v>
      </c>
      <c r="G66" s="133" t="s">
        <v>296</v>
      </c>
      <c r="H66" s="134">
        <v>4.08</v>
      </c>
      <c r="I66" s="130">
        <v>10</v>
      </c>
      <c r="J66" s="137">
        <v>-6</v>
      </c>
    </row>
    <row r="67" spans="1:10" ht="15" thickBot="1" x14ac:dyDescent="0.35">
      <c r="A67" s="128">
        <v>3913</v>
      </c>
      <c r="B67" s="129" t="s">
        <v>70</v>
      </c>
      <c r="C67" s="130">
        <v>2178</v>
      </c>
      <c r="D67" s="130">
        <v>83</v>
      </c>
      <c r="E67" s="131" t="s">
        <v>284</v>
      </c>
      <c r="F67" s="132" t="s">
        <v>341</v>
      </c>
      <c r="G67" s="133" t="s">
        <v>296</v>
      </c>
      <c r="H67" s="134">
        <v>2.1800000000000002</v>
      </c>
      <c r="I67" s="130">
        <v>36</v>
      </c>
      <c r="J67" s="136">
        <v>45</v>
      </c>
    </row>
    <row r="68" spans="1:10" ht="15" thickBot="1" x14ac:dyDescent="0.35">
      <c r="A68" s="128">
        <v>3916</v>
      </c>
      <c r="B68" s="129" t="s">
        <v>71</v>
      </c>
      <c r="C68" s="130">
        <v>840</v>
      </c>
      <c r="D68" s="130">
        <v>147</v>
      </c>
      <c r="E68" s="131" t="s">
        <v>284</v>
      </c>
      <c r="F68" s="132" t="s">
        <v>342</v>
      </c>
      <c r="G68" s="133" t="s">
        <v>296</v>
      </c>
      <c r="H68" s="134">
        <v>0.56999999999999995</v>
      </c>
      <c r="I68" s="130">
        <v>45</v>
      </c>
      <c r="J68" s="136">
        <v>66</v>
      </c>
    </row>
    <row r="69" spans="1:10" ht="15" thickBot="1" x14ac:dyDescent="0.35">
      <c r="A69" s="128">
        <v>3924</v>
      </c>
      <c r="B69" s="129" t="s">
        <v>72</v>
      </c>
      <c r="C69" s="130">
        <v>434</v>
      </c>
      <c r="D69" s="130">
        <v>123</v>
      </c>
      <c r="E69" s="131" t="s">
        <v>284</v>
      </c>
      <c r="F69" s="132" t="s">
        <v>343</v>
      </c>
      <c r="G69" s="133" t="s">
        <v>296</v>
      </c>
      <c r="H69" s="134">
        <v>0.51</v>
      </c>
      <c r="I69" s="130">
        <v>57</v>
      </c>
      <c r="J69" s="136">
        <v>103</v>
      </c>
    </row>
    <row r="70" spans="1:10" ht="15" thickBot="1" x14ac:dyDescent="0.35">
      <c r="A70" s="128">
        <v>3925</v>
      </c>
      <c r="B70" s="129" t="s">
        <v>73</v>
      </c>
      <c r="C70" s="130">
        <v>227</v>
      </c>
      <c r="D70" s="130">
        <v>7</v>
      </c>
      <c r="E70" s="131" t="s">
        <v>284</v>
      </c>
      <c r="F70" s="132" t="s">
        <v>344</v>
      </c>
      <c r="G70" s="133" t="s">
        <v>296</v>
      </c>
      <c r="H70" s="134">
        <v>0.19</v>
      </c>
      <c r="I70" s="130">
        <v>10</v>
      </c>
      <c r="J70" s="136">
        <v>18</v>
      </c>
    </row>
    <row r="71" spans="1:10" ht="15" thickBot="1" x14ac:dyDescent="0.35">
      <c r="A71" s="128">
        <v>3922</v>
      </c>
      <c r="B71" s="129" t="s">
        <v>74</v>
      </c>
      <c r="C71" s="130">
        <v>57</v>
      </c>
      <c r="D71" s="130">
        <v>2</v>
      </c>
      <c r="E71" s="131" t="s">
        <v>284</v>
      </c>
      <c r="F71" s="132" t="s">
        <v>345</v>
      </c>
      <c r="G71" s="133" t="s">
        <v>296</v>
      </c>
      <c r="H71" s="134">
        <v>0.05</v>
      </c>
      <c r="I71" s="138">
        <v>-44</v>
      </c>
      <c r="J71" s="137">
        <v>-40</v>
      </c>
    </row>
    <row r="72" spans="1:10" ht="15" thickBot="1" x14ac:dyDescent="0.35">
      <c r="A72" s="128">
        <v>3918</v>
      </c>
      <c r="B72" s="129" t="s">
        <v>75</v>
      </c>
      <c r="C72" s="130">
        <v>49</v>
      </c>
      <c r="D72" s="130">
        <v>4</v>
      </c>
      <c r="E72" s="131" t="s">
        <v>284</v>
      </c>
      <c r="F72" s="132" t="s">
        <v>346</v>
      </c>
      <c r="G72" s="133" t="s">
        <v>296</v>
      </c>
      <c r="H72" s="134">
        <v>0.06</v>
      </c>
      <c r="I72" s="130">
        <v>66</v>
      </c>
      <c r="J72" s="136">
        <v>18</v>
      </c>
    </row>
    <row r="73" spans="1:10" ht="15" thickBot="1" x14ac:dyDescent="0.35">
      <c r="A73" s="128">
        <v>3915</v>
      </c>
      <c r="B73" s="129" t="s">
        <v>76</v>
      </c>
      <c r="C73" s="130">
        <v>22</v>
      </c>
      <c r="D73" s="130">
        <v>45</v>
      </c>
      <c r="E73" s="131" t="s">
        <v>284</v>
      </c>
      <c r="F73" s="132" t="s">
        <v>347</v>
      </c>
      <c r="G73" s="133" t="s">
        <v>296</v>
      </c>
      <c r="H73" s="134">
        <v>0.09</v>
      </c>
      <c r="I73" s="141" t="s">
        <v>50</v>
      </c>
      <c r="J73" s="135" t="s">
        <v>50</v>
      </c>
    </row>
    <row r="74" spans="1:10" ht="15" thickBot="1" x14ac:dyDescent="0.35">
      <c r="A74" s="139">
        <v>6813</v>
      </c>
      <c r="B74" s="140" t="s">
        <v>81</v>
      </c>
      <c r="C74" s="130">
        <v>22837</v>
      </c>
      <c r="D74" s="130">
        <v>519</v>
      </c>
      <c r="E74" s="131" t="s">
        <v>284</v>
      </c>
      <c r="F74" s="132" t="s">
        <v>348</v>
      </c>
      <c r="G74" s="133" t="s">
        <v>296</v>
      </c>
      <c r="H74" s="134">
        <v>31.34</v>
      </c>
      <c r="I74" s="130">
        <v>4</v>
      </c>
      <c r="J74" s="137">
        <v>-1</v>
      </c>
    </row>
    <row r="75" spans="1:10" ht="15" thickBot="1" x14ac:dyDescent="0.35">
      <c r="A75" s="128">
        <v>6804</v>
      </c>
      <c r="B75" s="129" t="s">
        <v>82</v>
      </c>
      <c r="C75" s="130">
        <v>18353</v>
      </c>
      <c r="D75" s="130">
        <v>667</v>
      </c>
      <c r="E75" s="131" t="s">
        <v>284</v>
      </c>
      <c r="F75" s="132" t="s">
        <v>349</v>
      </c>
      <c r="G75" s="133" t="s">
        <v>296</v>
      </c>
      <c r="H75" s="134">
        <v>6.42</v>
      </c>
      <c r="I75" s="130">
        <v>1</v>
      </c>
      <c r="J75" s="136">
        <v>7</v>
      </c>
    </row>
    <row r="76" spans="1:10" ht="15" thickBot="1" x14ac:dyDescent="0.35">
      <c r="A76" s="128">
        <v>6815</v>
      </c>
      <c r="B76" s="129" t="s">
        <v>80</v>
      </c>
      <c r="C76" s="130">
        <v>11090</v>
      </c>
      <c r="D76" s="130">
        <v>336</v>
      </c>
      <c r="E76" s="131" t="s">
        <v>284</v>
      </c>
      <c r="F76" s="132" t="s">
        <v>350</v>
      </c>
      <c r="G76" s="133" t="s">
        <v>296</v>
      </c>
      <c r="H76" s="134">
        <v>3.1</v>
      </c>
      <c r="I76" s="130">
        <v>4</v>
      </c>
      <c r="J76" s="137">
        <v>-19</v>
      </c>
    </row>
    <row r="77" spans="1:10" ht="15" thickBot="1" x14ac:dyDescent="0.35">
      <c r="A77" s="128">
        <v>6806</v>
      </c>
      <c r="B77" s="129" t="s">
        <v>79</v>
      </c>
      <c r="C77" s="130">
        <v>8757</v>
      </c>
      <c r="D77" s="130">
        <v>557</v>
      </c>
      <c r="E77" s="131" t="s">
        <v>284</v>
      </c>
      <c r="F77" s="132" t="s">
        <v>351</v>
      </c>
      <c r="G77" s="133" t="s">
        <v>296</v>
      </c>
      <c r="H77" s="134">
        <v>9.9499999999999993</v>
      </c>
      <c r="I77" s="130">
        <v>25</v>
      </c>
      <c r="J77" s="136">
        <v>2</v>
      </c>
    </row>
    <row r="78" spans="1:10" ht="15" thickBot="1" x14ac:dyDescent="0.35">
      <c r="A78" s="128">
        <v>6805</v>
      </c>
      <c r="B78" s="129" t="s">
        <v>85</v>
      </c>
      <c r="C78" s="130">
        <v>4277</v>
      </c>
      <c r="D78" s="130">
        <v>254</v>
      </c>
      <c r="E78" s="131" t="s">
        <v>284</v>
      </c>
      <c r="F78" s="132" t="s">
        <v>352</v>
      </c>
      <c r="G78" s="133" t="s">
        <v>296</v>
      </c>
      <c r="H78" s="134">
        <v>2.94</v>
      </c>
      <c r="I78" s="130">
        <v>6</v>
      </c>
      <c r="J78" s="136">
        <v>6</v>
      </c>
    </row>
    <row r="79" spans="1:10" ht="15" thickBot="1" x14ac:dyDescent="0.35">
      <c r="A79" s="128">
        <v>6814</v>
      </c>
      <c r="B79" s="129" t="s">
        <v>78</v>
      </c>
      <c r="C79" s="130">
        <v>1717</v>
      </c>
      <c r="D79" s="130">
        <v>82</v>
      </c>
      <c r="E79" s="131" t="s">
        <v>284</v>
      </c>
      <c r="F79" s="132" t="s">
        <v>353</v>
      </c>
      <c r="G79" s="133" t="s">
        <v>296</v>
      </c>
      <c r="H79" s="134">
        <v>6.01</v>
      </c>
      <c r="I79" s="138">
        <v>-4</v>
      </c>
      <c r="J79" s="136">
        <v>3</v>
      </c>
    </row>
    <row r="80" spans="1:10" ht="15" thickBot="1" x14ac:dyDescent="0.35">
      <c r="A80" s="128">
        <v>6812</v>
      </c>
      <c r="B80" s="129" t="s">
        <v>91</v>
      </c>
      <c r="C80" s="130">
        <v>148</v>
      </c>
      <c r="D80" s="130">
        <v>5</v>
      </c>
      <c r="E80" s="131" t="s">
        <v>284</v>
      </c>
      <c r="F80" s="132" t="s">
        <v>354</v>
      </c>
      <c r="G80" s="133" t="s">
        <v>296</v>
      </c>
      <c r="H80" s="134">
        <v>8.66</v>
      </c>
      <c r="I80" s="138">
        <v>-12</v>
      </c>
      <c r="J80" s="137">
        <v>-4</v>
      </c>
    </row>
    <row r="81" spans="1:10" ht="15" thickBot="1" x14ac:dyDescent="0.35">
      <c r="A81" s="128">
        <v>6811</v>
      </c>
      <c r="B81" s="129" t="s">
        <v>90</v>
      </c>
      <c r="C81" s="130">
        <v>112</v>
      </c>
      <c r="D81" s="130">
        <v>88</v>
      </c>
      <c r="E81" s="131" t="s">
        <v>284</v>
      </c>
      <c r="F81" s="132" t="s">
        <v>355</v>
      </c>
      <c r="G81" s="133" t="s">
        <v>296</v>
      </c>
      <c r="H81" s="134">
        <v>1.44</v>
      </c>
      <c r="I81" s="138">
        <v>-4</v>
      </c>
      <c r="J81" s="136">
        <v>47</v>
      </c>
    </row>
    <row r="82" spans="1:10" ht="15" thickBot="1" x14ac:dyDescent="0.35">
      <c r="A82" s="128">
        <v>6810</v>
      </c>
      <c r="B82" s="129" t="s">
        <v>89</v>
      </c>
      <c r="C82" s="130">
        <v>98</v>
      </c>
      <c r="D82" s="130">
        <v>63</v>
      </c>
      <c r="E82" s="131" t="s">
        <v>284</v>
      </c>
      <c r="F82" s="132" t="s">
        <v>356</v>
      </c>
      <c r="G82" s="133" t="s">
        <v>296</v>
      </c>
      <c r="H82" s="134">
        <v>0.51</v>
      </c>
      <c r="I82" s="141" t="s">
        <v>50</v>
      </c>
      <c r="J82" s="135" t="s">
        <v>50</v>
      </c>
    </row>
    <row r="83" spans="1:10" ht="15" thickBot="1" x14ac:dyDescent="0.35">
      <c r="A83" s="139">
        <v>6909</v>
      </c>
      <c r="B83" s="140" t="s">
        <v>92</v>
      </c>
      <c r="C83" s="130">
        <v>21444</v>
      </c>
      <c r="D83" s="130">
        <v>561</v>
      </c>
      <c r="E83" s="131" t="s">
        <v>284</v>
      </c>
      <c r="F83" s="132" t="s">
        <v>357</v>
      </c>
      <c r="G83" s="133" t="s">
        <v>296</v>
      </c>
      <c r="H83" s="134">
        <v>6.26</v>
      </c>
      <c r="I83" s="130">
        <v>15</v>
      </c>
      <c r="J83" s="136">
        <v>7</v>
      </c>
    </row>
    <row r="84" spans="1:10" ht="15" thickBot="1" x14ac:dyDescent="0.35">
      <c r="A84" s="128">
        <v>6903</v>
      </c>
      <c r="B84" s="129" t="s">
        <v>93</v>
      </c>
      <c r="C84" s="130">
        <v>11405</v>
      </c>
      <c r="D84" s="130">
        <v>3714</v>
      </c>
      <c r="E84" s="131" t="s">
        <v>284</v>
      </c>
      <c r="F84" s="132" t="s">
        <v>358</v>
      </c>
      <c r="G84" s="133" t="s">
        <v>296</v>
      </c>
      <c r="H84" s="134">
        <v>14.81</v>
      </c>
      <c r="I84" s="138">
        <v>-3</v>
      </c>
      <c r="J84" s="137">
        <v>-26</v>
      </c>
    </row>
    <row r="85" spans="1:10" ht="15" thickBot="1" x14ac:dyDescent="0.35">
      <c r="A85" s="128">
        <v>6902</v>
      </c>
      <c r="B85" s="129" t="s">
        <v>94</v>
      </c>
      <c r="C85" s="130">
        <v>9301</v>
      </c>
      <c r="D85" s="130">
        <v>4570</v>
      </c>
      <c r="E85" s="131" t="s">
        <v>284</v>
      </c>
      <c r="F85" s="132" t="s">
        <v>359</v>
      </c>
      <c r="G85" s="133" t="s">
        <v>296</v>
      </c>
      <c r="H85" s="134">
        <v>2.84</v>
      </c>
      <c r="I85" s="130">
        <v>60</v>
      </c>
      <c r="J85" s="136">
        <v>55</v>
      </c>
    </row>
    <row r="86" spans="1:10" ht="15" thickBot="1" x14ac:dyDescent="0.35">
      <c r="A86" s="128">
        <v>6914</v>
      </c>
      <c r="B86" s="129" t="s">
        <v>95</v>
      </c>
      <c r="C86" s="130">
        <v>2107</v>
      </c>
      <c r="D86" s="130">
        <v>285</v>
      </c>
      <c r="E86" s="131" t="s">
        <v>284</v>
      </c>
      <c r="F86" s="132" t="s">
        <v>360</v>
      </c>
      <c r="G86" s="133" t="s">
        <v>296</v>
      </c>
      <c r="H86" s="134">
        <v>4.3899999999999997</v>
      </c>
      <c r="I86" s="138">
        <v>-2</v>
      </c>
      <c r="J86" s="137">
        <v>-19</v>
      </c>
    </row>
    <row r="87" spans="1:10" ht="15" thickBot="1" x14ac:dyDescent="0.35">
      <c r="A87" s="128">
        <v>6910</v>
      </c>
      <c r="B87" s="129" t="s">
        <v>96</v>
      </c>
      <c r="C87" s="130">
        <v>516</v>
      </c>
      <c r="D87" s="130">
        <v>55</v>
      </c>
      <c r="E87" s="131" t="s">
        <v>284</v>
      </c>
      <c r="F87" s="132" t="s">
        <v>361</v>
      </c>
      <c r="G87" s="133" t="s">
        <v>296</v>
      </c>
      <c r="H87" s="134">
        <v>0.66</v>
      </c>
      <c r="I87" s="130">
        <v>10</v>
      </c>
      <c r="J87" s="136">
        <v>31</v>
      </c>
    </row>
    <row r="88" spans="1:10" ht="15" thickBot="1" x14ac:dyDescent="0.35">
      <c r="A88" s="128">
        <v>6911</v>
      </c>
      <c r="B88" s="129" t="s">
        <v>97</v>
      </c>
      <c r="C88" s="130">
        <v>139</v>
      </c>
      <c r="D88" s="130">
        <v>17</v>
      </c>
      <c r="E88" s="131" t="s">
        <v>284</v>
      </c>
      <c r="F88" s="132" t="s">
        <v>362</v>
      </c>
      <c r="G88" s="133" t="s">
        <v>296</v>
      </c>
      <c r="H88" s="134">
        <v>0.49</v>
      </c>
      <c r="I88" s="138">
        <v>-27</v>
      </c>
      <c r="J88" s="137">
        <v>-28</v>
      </c>
    </row>
    <row r="89" spans="1:10" ht="15" thickBot="1" x14ac:dyDescent="0.35">
      <c r="A89" s="128">
        <v>6912</v>
      </c>
      <c r="B89" s="129" t="s">
        <v>98</v>
      </c>
      <c r="C89" s="130">
        <v>68</v>
      </c>
      <c r="D89" s="130">
        <v>6</v>
      </c>
      <c r="E89" s="131" t="s">
        <v>284</v>
      </c>
      <c r="F89" s="132" t="s">
        <v>363</v>
      </c>
      <c r="G89" s="133" t="s">
        <v>296</v>
      </c>
      <c r="H89" s="134">
        <v>0.41</v>
      </c>
      <c r="I89" s="138">
        <v>-5</v>
      </c>
      <c r="J89" s="136">
        <v>16</v>
      </c>
    </row>
    <row r="90" spans="1:10" ht="15" thickBot="1" x14ac:dyDescent="0.35">
      <c r="A90" s="128">
        <v>6907</v>
      </c>
      <c r="B90" s="129" t="s">
        <v>99</v>
      </c>
      <c r="C90" s="130">
        <v>32</v>
      </c>
      <c r="D90" s="130">
        <v>1000</v>
      </c>
      <c r="E90" s="131" t="s">
        <v>286</v>
      </c>
      <c r="F90" s="132" t="s">
        <v>50</v>
      </c>
      <c r="G90" s="133" t="s">
        <v>50</v>
      </c>
      <c r="H90" s="134">
        <v>0.09</v>
      </c>
      <c r="I90" s="130">
        <v>20</v>
      </c>
      <c r="J90" s="135" t="s">
        <v>50</v>
      </c>
    </row>
    <row r="91" spans="1:10" ht="15" thickBot="1" x14ac:dyDescent="0.35">
      <c r="A91" s="128">
        <v>6905</v>
      </c>
      <c r="B91" s="129" t="s">
        <v>100</v>
      </c>
      <c r="C91" s="130">
        <v>26</v>
      </c>
      <c r="D91" s="130">
        <v>92</v>
      </c>
      <c r="E91" s="131" t="s">
        <v>284</v>
      </c>
      <c r="F91" s="132" t="s">
        <v>364</v>
      </c>
      <c r="G91" s="133" t="s">
        <v>296</v>
      </c>
      <c r="H91" s="134">
        <v>0.14000000000000001</v>
      </c>
      <c r="I91" s="138">
        <v>-25</v>
      </c>
      <c r="J91" s="137">
        <v>-34</v>
      </c>
    </row>
    <row r="92" spans="1:10" ht="15" thickBot="1" x14ac:dyDescent="0.35">
      <c r="A92" s="128">
        <v>6906</v>
      </c>
      <c r="B92" s="129" t="s">
        <v>101</v>
      </c>
      <c r="C92" s="130">
        <v>10</v>
      </c>
      <c r="D92" s="130">
        <v>1</v>
      </c>
      <c r="E92" s="131" t="s">
        <v>284</v>
      </c>
      <c r="F92" s="132" t="s">
        <v>365</v>
      </c>
      <c r="G92" s="133" t="s">
        <v>296</v>
      </c>
      <c r="H92" s="134">
        <v>0.3</v>
      </c>
      <c r="I92" s="138">
        <v>-25</v>
      </c>
      <c r="J92" s="137">
        <v>-82</v>
      </c>
    </row>
    <row r="93" spans="1:10" ht="15" thickBot="1" x14ac:dyDescent="0.35">
      <c r="A93" s="128">
        <v>6904</v>
      </c>
      <c r="B93" s="129" t="s">
        <v>102</v>
      </c>
      <c r="C93" s="130">
        <v>5</v>
      </c>
      <c r="D93" s="130">
        <v>2</v>
      </c>
      <c r="E93" s="131" t="s">
        <v>289</v>
      </c>
      <c r="F93" s="132" t="s">
        <v>366</v>
      </c>
      <c r="G93" s="133" t="s">
        <v>367</v>
      </c>
      <c r="H93" s="134">
        <v>0.15</v>
      </c>
      <c r="I93" s="141" t="s">
        <v>50</v>
      </c>
      <c r="J93" s="135" t="s">
        <v>50</v>
      </c>
    </row>
    <row r="94" spans="1:10" ht="15" thickBot="1" x14ac:dyDescent="0.35">
      <c r="A94" s="128">
        <v>6913</v>
      </c>
      <c r="B94" s="129" t="s">
        <v>103</v>
      </c>
      <c r="C94" s="130">
        <v>3</v>
      </c>
      <c r="D94" s="130">
        <v>0</v>
      </c>
      <c r="E94" s="131" t="s">
        <v>284</v>
      </c>
      <c r="F94" s="132" t="s">
        <v>50</v>
      </c>
      <c r="G94" s="133" t="s">
        <v>50</v>
      </c>
      <c r="H94" s="134">
        <v>0.03</v>
      </c>
      <c r="I94" s="141" t="s">
        <v>50</v>
      </c>
      <c r="J94" s="135" t="s">
        <v>50</v>
      </c>
    </row>
    <row r="95" spans="1:10" ht="15" thickBot="1" x14ac:dyDescent="0.35">
      <c r="A95" s="139">
        <v>7318</v>
      </c>
      <c r="B95" s="140" t="s">
        <v>113</v>
      </c>
      <c r="C95" s="130">
        <v>149954</v>
      </c>
      <c r="D95" s="130">
        <v>20560</v>
      </c>
      <c r="E95" s="131" t="s">
        <v>284</v>
      </c>
      <c r="F95" s="132" t="s">
        <v>368</v>
      </c>
      <c r="G95" s="133" t="s">
        <v>296</v>
      </c>
      <c r="H95" s="134">
        <v>12.3</v>
      </c>
      <c r="I95" s="130">
        <v>9</v>
      </c>
      <c r="J95" s="137">
        <v>-19</v>
      </c>
    </row>
    <row r="96" spans="1:10" ht="15" thickBot="1" x14ac:dyDescent="0.35">
      <c r="A96" s="128">
        <v>7302</v>
      </c>
      <c r="B96" s="129" t="s">
        <v>121</v>
      </c>
      <c r="C96" s="130">
        <v>91282</v>
      </c>
      <c r="D96" s="130">
        <v>44144</v>
      </c>
      <c r="E96" s="131" t="s">
        <v>284</v>
      </c>
      <c r="F96" s="132" t="s">
        <v>369</v>
      </c>
      <c r="G96" s="133" t="s">
        <v>296</v>
      </c>
      <c r="H96" s="134">
        <v>84.7</v>
      </c>
      <c r="I96" s="130">
        <v>16</v>
      </c>
      <c r="J96" s="137">
        <v>-4</v>
      </c>
    </row>
    <row r="97" spans="1:10" ht="15" thickBot="1" x14ac:dyDescent="0.35">
      <c r="A97" s="128">
        <v>7326</v>
      </c>
      <c r="B97" s="129" t="s">
        <v>106</v>
      </c>
      <c r="C97" s="130">
        <v>79331</v>
      </c>
      <c r="D97" s="130">
        <v>17365</v>
      </c>
      <c r="E97" s="131" t="s">
        <v>284</v>
      </c>
      <c r="F97" s="132" t="s">
        <v>370</v>
      </c>
      <c r="G97" s="133" t="s">
        <v>296</v>
      </c>
      <c r="H97" s="134">
        <v>6.53</v>
      </c>
      <c r="I97" s="130">
        <v>9</v>
      </c>
      <c r="J97" s="136">
        <v>23</v>
      </c>
    </row>
    <row r="98" spans="1:10" ht="15" thickBot="1" x14ac:dyDescent="0.35">
      <c r="A98" s="128">
        <v>7304</v>
      </c>
      <c r="B98" s="129" t="s">
        <v>116</v>
      </c>
      <c r="C98" s="130">
        <v>26710</v>
      </c>
      <c r="D98" s="130">
        <v>6773</v>
      </c>
      <c r="E98" s="131" t="s">
        <v>284</v>
      </c>
      <c r="F98" s="132" t="s">
        <v>371</v>
      </c>
      <c r="G98" s="133" t="s">
        <v>296</v>
      </c>
      <c r="H98" s="134">
        <v>2.76</v>
      </c>
      <c r="I98" s="130">
        <v>10</v>
      </c>
      <c r="J98" s="136">
        <v>4</v>
      </c>
    </row>
    <row r="99" spans="1:10" ht="15" thickBot="1" x14ac:dyDescent="0.35">
      <c r="A99" s="128">
        <v>7307</v>
      </c>
      <c r="B99" s="129" t="s">
        <v>111</v>
      </c>
      <c r="C99" s="130">
        <v>14932</v>
      </c>
      <c r="D99" s="130">
        <v>864</v>
      </c>
      <c r="E99" s="131" t="s">
        <v>284</v>
      </c>
      <c r="F99" s="132" t="s">
        <v>372</v>
      </c>
      <c r="G99" s="133" t="s">
        <v>296</v>
      </c>
      <c r="H99" s="134">
        <v>3.5</v>
      </c>
      <c r="I99" s="130">
        <v>7</v>
      </c>
      <c r="J99" s="136">
        <v>13</v>
      </c>
    </row>
    <row r="100" spans="1:10" ht="15" thickBot="1" x14ac:dyDescent="0.35">
      <c r="A100" s="128">
        <v>7320</v>
      </c>
      <c r="B100" s="129" t="s">
        <v>112</v>
      </c>
      <c r="C100" s="130">
        <v>14455</v>
      </c>
      <c r="D100" s="130">
        <v>1010</v>
      </c>
      <c r="E100" s="131" t="s">
        <v>284</v>
      </c>
      <c r="F100" s="132" t="s">
        <v>373</v>
      </c>
      <c r="G100" s="133" t="s">
        <v>296</v>
      </c>
      <c r="H100" s="134">
        <v>8.31</v>
      </c>
      <c r="I100" s="130">
        <v>3</v>
      </c>
      <c r="J100" s="137">
        <v>-2</v>
      </c>
    </row>
    <row r="101" spans="1:10" ht="15" thickBot="1" x14ac:dyDescent="0.35">
      <c r="A101" s="128">
        <v>7315</v>
      </c>
      <c r="B101" s="129" t="s">
        <v>115</v>
      </c>
      <c r="C101" s="130">
        <v>12304</v>
      </c>
      <c r="D101" s="130">
        <v>1201</v>
      </c>
      <c r="E101" s="131" t="s">
        <v>284</v>
      </c>
      <c r="F101" s="132" t="s">
        <v>374</v>
      </c>
      <c r="G101" s="133" t="s">
        <v>296</v>
      </c>
      <c r="H101" s="134">
        <v>13.84</v>
      </c>
      <c r="I101" s="130">
        <v>14</v>
      </c>
      <c r="J101" s="136">
        <v>23</v>
      </c>
    </row>
    <row r="102" spans="1:10" ht="15" thickBot="1" x14ac:dyDescent="0.35">
      <c r="A102" s="128">
        <v>7308</v>
      </c>
      <c r="B102" s="129" t="s">
        <v>107</v>
      </c>
      <c r="C102" s="130">
        <v>7342</v>
      </c>
      <c r="D102" s="130">
        <v>454825</v>
      </c>
      <c r="E102" s="131" t="s">
        <v>283</v>
      </c>
      <c r="F102" s="132" t="s">
        <v>375</v>
      </c>
      <c r="G102" s="133" t="s">
        <v>292</v>
      </c>
      <c r="H102" s="134">
        <v>1.48</v>
      </c>
      <c r="I102" s="138">
        <v>-37</v>
      </c>
      <c r="J102" s="135" t="s">
        <v>50</v>
      </c>
    </row>
    <row r="103" spans="1:10" ht="15" thickBot="1" x14ac:dyDescent="0.35">
      <c r="A103" s="128">
        <v>7306</v>
      </c>
      <c r="B103" s="129" t="s">
        <v>118</v>
      </c>
      <c r="C103" s="130">
        <v>6059</v>
      </c>
      <c r="D103" s="130">
        <v>1339</v>
      </c>
      <c r="E103" s="131" t="s">
        <v>284</v>
      </c>
      <c r="F103" s="132" t="s">
        <v>376</v>
      </c>
      <c r="G103" s="133" t="s">
        <v>296</v>
      </c>
      <c r="H103" s="134">
        <v>3.07</v>
      </c>
      <c r="I103" s="138">
        <v>-10</v>
      </c>
      <c r="J103" s="137">
        <v>-8</v>
      </c>
    </row>
    <row r="104" spans="1:10" ht="15" thickBot="1" x14ac:dyDescent="0.35">
      <c r="A104" s="128">
        <v>7325</v>
      </c>
      <c r="B104" s="129" t="s">
        <v>108</v>
      </c>
      <c r="C104" s="130">
        <v>4609</v>
      </c>
      <c r="D104" s="130">
        <v>957</v>
      </c>
      <c r="E104" s="131" t="s">
        <v>284</v>
      </c>
      <c r="F104" s="132" t="s">
        <v>377</v>
      </c>
      <c r="G104" s="133" t="s">
        <v>296</v>
      </c>
      <c r="H104" s="134">
        <v>6.12</v>
      </c>
      <c r="I104" s="130">
        <v>31</v>
      </c>
      <c r="J104" s="136">
        <v>60</v>
      </c>
    </row>
    <row r="105" spans="1:10" ht="15" thickBot="1" x14ac:dyDescent="0.35">
      <c r="A105" s="128">
        <v>7319</v>
      </c>
      <c r="B105" s="129" t="s">
        <v>119</v>
      </c>
      <c r="C105" s="130">
        <v>4167</v>
      </c>
      <c r="D105" s="130">
        <v>263</v>
      </c>
      <c r="E105" s="131" t="s">
        <v>284</v>
      </c>
      <c r="F105" s="132" t="s">
        <v>378</v>
      </c>
      <c r="G105" s="133" t="s">
        <v>296</v>
      </c>
      <c r="H105" s="134">
        <v>17.78</v>
      </c>
      <c r="I105" s="130">
        <v>2</v>
      </c>
      <c r="J105" s="136">
        <v>3</v>
      </c>
    </row>
    <row r="106" spans="1:10" ht="15" thickBot="1" x14ac:dyDescent="0.35">
      <c r="A106" s="128">
        <v>7310</v>
      </c>
      <c r="B106" s="129" t="s">
        <v>110</v>
      </c>
      <c r="C106" s="130">
        <v>2617</v>
      </c>
      <c r="D106" s="130">
        <v>1329</v>
      </c>
      <c r="E106" s="131" t="s">
        <v>284</v>
      </c>
      <c r="F106" s="132" t="s">
        <v>379</v>
      </c>
      <c r="G106" s="133" t="s">
        <v>296</v>
      </c>
      <c r="H106" s="134">
        <v>4.3899999999999997</v>
      </c>
      <c r="I106" s="130">
        <v>4</v>
      </c>
      <c r="J106" s="136">
        <v>0</v>
      </c>
    </row>
    <row r="107" spans="1:10" ht="15" thickBot="1" x14ac:dyDescent="0.35">
      <c r="A107" s="128">
        <v>7314</v>
      </c>
      <c r="B107" s="129" t="s">
        <v>129</v>
      </c>
      <c r="C107" s="130">
        <v>1135</v>
      </c>
      <c r="D107" s="130">
        <v>12</v>
      </c>
      <c r="E107" s="131" t="s">
        <v>284</v>
      </c>
      <c r="F107" s="132" t="s">
        <v>380</v>
      </c>
      <c r="G107" s="133" t="s">
        <v>296</v>
      </c>
      <c r="H107" s="134">
        <v>2.02</v>
      </c>
      <c r="I107" s="138">
        <v>-18</v>
      </c>
      <c r="J107" s="137">
        <v>-33</v>
      </c>
    </row>
    <row r="108" spans="1:10" ht="15" thickBot="1" x14ac:dyDescent="0.35">
      <c r="A108" s="128">
        <v>7312</v>
      </c>
      <c r="B108" s="129" t="s">
        <v>122</v>
      </c>
      <c r="C108" s="130">
        <v>1012</v>
      </c>
      <c r="D108" s="130">
        <v>122</v>
      </c>
      <c r="E108" s="131" t="s">
        <v>284</v>
      </c>
      <c r="F108" s="132" t="s">
        <v>381</v>
      </c>
      <c r="G108" s="133" t="s">
        <v>296</v>
      </c>
      <c r="H108" s="134">
        <v>0.33</v>
      </c>
      <c r="I108" s="130">
        <v>1</v>
      </c>
      <c r="J108" s="137">
        <v>-3</v>
      </c>
    </row>
    <row r="109" spans="1:10" ht="15" thickBot="1" x14ac:dyDescent="0.35">
      <c r="A109" s="128">
        <v>7309</v>
      </c>
      <c r="B109" s="129" t="s">
        <v>120</v>
      </c>
      <c r="C109" s="130">
        <v>427</v>
      </c>
      <c r="D109" s="130">
        <v>322</v>
      </c>
      <c r="E109" s="131" t="s">
        <v>284</v>
      </c>
      <c r="F109" s="132" t="s">
        <v>382</v>
      </c>
      <c r="G109" s="133" t="s">
        <v>296</v>
      </c>
      <c r="H109" s="134">
        <v>1.17</v>
      </c>
      <c r="I109" s="130">
        <v>17</v>
      </c>
      <c r="J109" s="136">
        <v>15</v>
      </c>
    </row>
    <row r="110" spans="1:10" ht="15" thickBot="1" x14ac:dyDescent="0.35">
      <c r="A110" s="128">
        <v>7322</v>
      </c>
      <c r="B110" s="129" t="s">
        <v>130</v>
      </c>
      <c r="C110" s="130">
        <v>417</v>
      </c>
      <c r="D110" s="130">
        <v>43</v>
      </c>
      <c r="E110" s="131" t="s">
        <v>284</v>
      </c>
      <c r="F110" s="132" t="s">
        <v>383</v>
      </c>
      <c r="G110" s="133" t="s">
        <v>296</v>
      </c>
      <c r="H110" s="134">
        <v>14.69</v>
      </c>
      <c r="I110" s="130">
        <v>16</v>
      </c>
      <c r="J110" s="136">
        <v>26</v>
      </c>
    </row>
    <row r="111" spans="1:10" ht="15" thickBot="1" x14ac:dyDescent="0.35">
      <c r="A111" s="128">
        <v>7311</v>
      </c>
      <c r="B111" s="129" t="s">
        <v>123</v>
      </c>
      <c r="C111" s="130">
        <v>267</v>
      </c>
      <c r="D111" s="130">
        <v>30</v>
      </c>
      <c r="E111" s="131" t="s">
        <v>284</v>
      </c>
      <c r="F111" s="132" t="s">
        <v>384</v>
      </c>
      <c r="G111" s="133" t="s">
        <v>296</v>
      </c>
      <c r="H111" s="134">
        <v>0.37</v>
      </c>
      <c r="I111" s="138">
        <v>-17</v>
      </c>
      <c r="J111" s="137">
        <v>-5</v>
      </c>
    </row>
    <row r="112" spans="1:10" ht="15" thickBot="1" x14ac:dyDescent="0.35">
      <c r="A112" s="128">
        <v>7321</v>
      </c>
      <c r="B112" s="129" t="s">
        <v>117</v>
      </c>
      <c r="C112" s="130">
        <v>158</v>
      </c>
      <c r="D112" s="130">
        <v>1717</v>
      </c>
      <c r="E112" s="131" t="s">
        <v>283</v>
      </c>
      <c r="F112" s="132" t="s">
        <v>385</v>
      </c>
      <c r="G112" s="133" t="s">
        <v>292</v>
      </c>
      <c r="H112" s="134">
        <v>0.37</v>
      </c>
      <c r="I112" s="141" t="s">
        <v>50</v>
      </c>
      <c r="J112" s="135" t="s">
        <v>50</v>
      </c>
    </row>
    <row r="113" spans="1:10" ht="15" thickBot="1" x14ac:dyDescent="0.35">
      <c r="A113" s="128">
        <v>7317</v>
      </c>
      <c r="B113" s="129" t="s">
        <v>124</v>
      </c>
      <c r="C113" s="130">
        <v>58</v>
      </c>
      <c r="D113" s="130">
        <v>0</v>
      </c>
      <c r="E113" s="131" t="s">
        <v>288</v>
      </c>
      <c r="F113" s="132" t="s">
        <v>50</v>
      </c>
      <c r="G113" s="133" t="s">
        <v>50</v>
      </c>
      <c r="H113" s="134">
        <v>0.13</v>
      </c>
      <c r="I113" s="138">
        <v>-14</v>
      </c>
      <c r="J113" s="135" t="s">
        <v>50</v>
      </c>
    </row>
    <row r="114" spans="1:10" ht="15" thickBot="1" x14ac:dyDescent="0.35">
      <c r="A114" s="128">
        <v>7323</v>
      </c>
      <c r="B114" s="129" t="s">
        <v>109</v>
      </c>
      <c r="C114" s="130">
        <v>57</v>
      </c>
      <c r="D114" s="130">
        <v>9409</v>
      </c>
      <c r="E114" s="131" t="s">
        <v>283</v>
      </c>
      <c r="F114" s="132" t="s">
        <v>386</v>
      </c>
      <c r="G114" s="133" t="s">
        <v>292</v>
      </c>
      <c r="H114" s="134">
        <v>0.08</v>
      </c>
      <c r="I114" s="130">
        <v>0</v>
      </c>
      <c r="J114" s="135" t="s">
        <v>50</v>
      </c>
    </row>
    <row r="115" spans="1:10" ht="15" thickBot="1" x14ac:dyDescent="0.35">
      <c r="A115" s="128">
        <v>7324</v>
      </c>
      <c r="B115" s="129" t="s">
        <v>125</v>
      </c>
      <c r="C115" s="130">
        <v>31</v>
      </c>
      <c r="D115" s="130">
        <v>1860</v>
      </c>
      <c r="E115" s="131" t="s">
        <v>283</v>
      </c>
      <c r="F115" s="132" t="s">
        <v>387</v>
      </c>
      <c r="G115" s="133" t="s">
        <v>292</v>
      </c>
      <c r="H115" s="134">
        <v>0.05</v>
      </c>
      <c r="I115" s="138">
        <v>-38</v>
      </c>
      <c r="J115" s="135" t="s">
        <v>50</v>
      </c>
    </row>
    <row r="116" spans="1:10" ht="15" thickBot="1" x14ac:dyDescent="0.35">
      <c r="A116" s="128">
        <v>7303</v>
      </c>
      <c r="B116" s="129" t="s">
        <v>127</v>
      </c>
      <c r="C116" s="130">
        <v>30</v>
      </c>
      <c r="D116" s="130">
        <v>0</v>
      </c>
      <c r="E116" s="131" t="s">
        <v>284</v>
      </c>
      <c r="F116" s="132" t="s">
        <v>50</v>
      </c>
      <c r="G116" s="133" t="s">
        <v>50</v>
      </c>
      <c r="H116" s="134">
        <v>1.54</v>
      </c>
      <c r="I116" s="138">
        <v>-4</v>
      </c>
      <c r="J116" s="135" t="s">
        <v>50</v>
      </c>
    </row>
    <row r="117" spans="1:10" ht="15" thickBot="1" x14ac:dyDescent="0.35">
      <c r="A117" s="128">
        <v>7316</v>
      </c>
      <c r="B117" s="129" t="s">
        <v>126</v>
      </c>
      <c r="C117" s="130">
        <v>1</v>
      </c>
      <c r="D117" s="130">
        <v>0</v>
      </c>
      <c r="E117" s="131" t="s">
        <v>284</v>
      </c>
      <c r="F117" s="132" t="s">
        <v>50</v>
      </c>
      <c r="G117" s="133" t="s">
        <v>50</v>
      </c>
      <c r="H117" s="134">
        <v>0.04</v>
      </c>
      <c r="I117" s="138">
        <v>-19</v>
      </c>
      <c r="J117" s="135" t="s">
        <v>50</v>
      </c>
    </row>
    <row r="118" spans="1:10" ht="15" thickBot="1" x14ac:dyDescent="0.35">
      <c r="A118" s="139">
        <v>7403</v>
      </c>
      <c r="B118" s="140" t="s">
        <v>132</v>
      </c>
      <c r="C118" s="130">
        <v>1970108</v>
      </c>
      <c r="D118" s="130">
        <v>202858</v>
      </c>
      <c r="E118" s="131" t="s">
        <v>284</v>
      </c>
      <c r="F118" s="132" t="s">
        <v>388</v>
      </c>
      <c r="G118" s="133" t="s">
        <v>296</v>
      </c>
      <c r="H118" s="134">
        <v>83.45</v>
      </c>
      <c r="I118" s="130">
        <v>21</v>
      </c>
      <c r="J118" s="136">
        <v>14</v>
      </c>
    </row>
    <row r="119" spans="1:10" ht="15" thickBot="1" x14ac:dyDescent="0.35">
      <c r="A119" s="128">
        <v>7408</v>
      </c>
      <c r="B119" s="129" t="s">
        <v>133</v>
      </c>
      <c r="C119" s="130">
        <v>108770</v>
      </c>
      <c r="D119" s="130">
        <v>10296</v>
      </c>
      <c r="E119" s="131" t="s">
        <v>284</v>
      </c>
      <c r="F119" s="132" t="s">
        <v>389</v>
      </c>
      <c r="G119" s="133" t="s">
        <v>296</v>
      </c>
      <c r="H119" s="134">
        <v>6.34</v>
      </c>
      <c r="I119" s="130">
        <v>5</v>
      </c>
      <c r="J119" s="137">
        <v>-10</v>
      </c>
    </row>
    <row r="120" spans="1:10" ht="15" thickBot="1" x14ac:dyDescent="0.35">
      <c r="A120" s="128">
        <v>7409</v>
      </c>
      <c r="B120" s="129" t="s">
        <v>134</v>
      </c>
      <c r="C120" s="130">
        <v>25643</v>
      </c>
      <c r="D120" s="130">
        <v>2032</v>
      </c>
      <c r="E120" s="131" t="s">
        <v>284</v>
      </c>
      <c r="F120" s="132" t="s">
        <v>390</v>
      </c>
      <c r="G120" s="133" t="s">
        <v>296</v>
      </c>
      <c r="H120" s="134">
        <v>5.74</v>
      </c>
      <c r="I120" s="130">
        <v>14</v>
      </c>
      <c r="J120" s="136">
        <v>19</v>
      </c>
    </row>
    <row r="121" spans="1:10" ht="15" thickBot="1" x14ac:dyDescent="0.35">
      <c r="A121" s="128">
        <v>7419</v>
      </c>
      <c r="B121" s="129" t="s">
        <v>135</v>
      </c>
      <c r="C121" s="130">
        <v>14465</v>
      </c>
      <c r="D121" s="130">
        <v>1298</v>
      </c>
      <c r="E121" s="131" t="s">
        <v>284</v>
      </c>
      <c r="F121" s="132" t="s">
        <v>391</v>
      </c>
      <c r="G121" s="133" t="s">
        <v>296</v>
      </c>
      <c r="H121" s="134">
        <v>15.91</v>
      </c>
      <c r="I121" s="138">
        <v>-1</v>
      </c>
      <c r="J121" s="136">
        <v>1</v>
      </c>
    </row>
    <row r="122" spans="1:10" ht="15" thickBot="1" x14ac:dyDescent="0.35">
      <c r="A122" s="128">
        <v>7407</v>
      </c>
      <c r="B122" s="129" t="s">
        <v>136</v>
      </c>
      <c r="C122" s="130">
        <v>14079</v>
      </c>
      <c r="D122" s="130">
        <v>1181</v>
      </c>
      <c r="E122" s="131" t="s">
        <v>284</v>
      </c>
      <c r="F122" s="132" t="s">
        <v>392</v>
      </c>
      <c r="G122" s="133" t="s">
        <v>296</v>
      </c>
      <c r="H122" s="134">
        <v>8.59</v>
      </c>
      <c r="I122" s="138">
        <v>-10</v>
      </c>
      <c r="J122" s="137">
        <v>-13</v>
      </c>
    </row>
    <row r="123" spans="1:10" ht="15" thickBot="1" x14ac:dyDescent="0.35">
      <c r="A123" s="128">
        <v>7404</v>
      </c>
      <c r="B123" s="129" t="s">
        <v>137</v>
      </c>
      <c r="C123" s="130">
        <v>5119</v>
      </c>
      <c r="D123" s="130">
        <v>667</v>
      </c>
      <c r="E123" s="131" t="s">
        <v>284</v>
      </c>
      <c r="F123" s="132" t="s">
        <v>393</v>
      </c>
      <c r="G123" s="133" t="s">
        <v>296</v>
      </c>
      <c r="H123" s="134">
        <v>0.17</v>
      </c>
      <c r="I123" s="130">
        <v>11</v>
      </c>
      <c r="J123" s="136">
        <v>5</v>
      </c>
    </row>
    <row r="124" spans="1:10" ht="15" thickBot="1" x14ac:dyDescent="0.35">
      <c r="A124" s="128">
        <v>7402</v>
      </c>
      <c r="B124" s="129" t="s">
        <v>138</v>
      </c>
      <c r="C124" s="130">
        <v>4512</v>
      </c>
      <c r="D124" s="130">
        <v>504</v>
      </c>
      <c r="E124" s="131" t="s">
        <v>284</v>
      </c>
      <c r="F124" s="132" t="s">
        <v>394</v>
      </c>
      <c r="G124" s="133" t="s">
        <v>296</v>
      </c>
      <c r="H124" s="134">
        <v>0.17</v>
      </c>
      <c r="I124" s="130">
        <v>76</v>
      </c>
      <c r="J124" s="136">
        <v>150</v>
      </c>
    </row>
    <row r="125" spans="1:10" ht="15" thickBot="1" x14ac:dyDescent="0.35">
      <c r="A125" s="128">
        <v>7410</v>
      </c>
      <c r="B125" s="129" t="s">
        <v>139</v>
      </c>
      <c r="C125" s="130">
        <v>3669</v>
      </c>
      <c r="D125" s="130">
        <v>210</v>
      </c>
      <c r="E125" s="131" t="s">
        <v>284</v>
      </c>
      <c r="F125" s="132" t="s">
        <v>395</v>
      </c>
      <c r="G125" s="133" t="s">
        <v>296</v>
      </c>
      <c r="H125" s="134">
        <v>3.45</v>
      </c>
      <c r="I125" s="130">
        <v>34</v>
      </c>
      <c r="J125" s="136">
        <v>20</v>
      </c>
    </row>
    <row r="126" spans="1:10" ht="15" thickBot="1" x14ac:dyDescent="0.35">
      <c r="A126" s="128">
        <v>7412</v>
      </c>
      <c r="B126" s="129" t="s">
        <v>140</v>
      </c>
      <c r="C126" s="130">
        <v>2318</v>
      </c>
      <c r="D126" s="130">
        <v>40</v>
      </c>
      <c r="E126" s="131" t="s">
        <v>284</v>
      </c>
      <c r="F126" s="132" t="s">
        <v>396</v>
      </c>
      <c r="G126" s="133" t="s">
        <v>296</v>
      </c>
      <c r="H126" s="134">
        <v>6.07</v>
      </c>
      <c r="I126" s="130">
        <v>6</v>
      </c>
      <c r="J126" s="136">
        <v>12</v>
      </c>
    </row>
    <row r="127" spans="1:10" ht="15" thickBot="1" x14ac:dyDescent="0.35">
      <c r="A127" s="128">
        <v>7406</v>
      </c>
      <c r="B127" s="129" t="s">
        <v>141</v>
      </c>
      <c r="C127" s="130">
        <v>1764</v>
      </c>
      <c r="D127" s="130">
        <v>99</v>
      </c>
      <c r="E127" s="131" t="s">
        <v>284</v>
      </c>
      <c r="F127" s="132" t="s">
        <v>397</v>
      </c>
      <c r="G127" s="133" t="s">
        <v>296</v>
      </c>
      <c r="H127" s="134">
        <v>8.57</v>
      </c>
      <c r="I127" s="130">
        <v>13</v>
      </c>
      <c r="J127" s="136">
        <v>12</v>
      </c>
    </row>
    <row r="128" spans="1:10" ht="15" thickBot="1" x14ac:dyDescent="0.35">
      <c r="A128" s="128">
        <v>7411</v>
      </c>
      <c r="B128" s="129" t="s">
        <v>142</v>
      </c>
      <c r="C128" s="130">
        <v>1373</v>
      </c>
      <c r="D128" s="130">
        <v>113</v>
      </c>
      <c r="E128" s="131" t="s">
        <v>284</v>
      </c>
      <c r="F128" s="132" t="s">
        <v>398</v>
      </c>
      <c r="G128" s="133" t="s">
        <v>296</v>
      </c>
      <c r="H128" s="134">
        <v>0.12</v>
      </c>
      <c r="I128" s="130">
        <v>9</v>
      </c>
      <c r="J128" s="136">
        <v>16</v>
      </c>
    </row>
    <row r="129" spans="1:10" ht="15" thickBot="1" x14ac:dyDescent="0.35">
      <c r="A129" s="128">
        <v>7413</v>
      </c>
      <c r="B129" s="129" t="s">
        <v>143</v>
      </c>
      <c r="C129" s="130">
        <v>1175</v>
      </c>
      <c r="D129" s="130">
        <v>73</v>
      </c>
      <c r="E129" s="131" t="s">
        <v>284</v>
      </c>
      <c r="F129" s="132" t="s">
        <v>399</v>
      </c>
      <c r="G129" s="133" t="s">
        <v>296</v>
      </c>
      <c r="H129" s="134">
        <v>8.3699999999999992</v>
      </c>
      <c r="I129" s="130">
        <v>42</v>
      </c>
      <c r="J129" s="136">
        <v>33</v>
      </c>
    </row>
    <row r="130" spans="1:10" ht="15" thickBot="1" x14ac:dyDescent="0.35">
      <c r="A130" s="128">
        <v>7415</v>
      </c>
      <c r="B130" s="129" t="s">
        <v>144</v>
      </c>
      <c r="C130" s="130">
        <v>741</v>
      </c>
      <c r="D130" s="130">
        <v>31</v>
      </c>
      <c r="E130" s="131" t="s">
        <v>284</v>
      </c>
      <c r="F130" s="132" t="s">
        <v>400</v>
      </c>
      <c r="G130" s="133" t="s">
        <v>296</v>
      </c>
      <c r="H130" s="134">
        <v>1.81</v>
      </c>
      <c r="I130" s="130">
        <v>64</v>
      </c>
      <c r="J130" s="136">
        <v>44</v>
      </c>
    </row>
    <row r="131" spans="1:10" ht="15" thickBot="1" x14ac:dyDescent="0.35">
      <c r="A131" s="128">
        <v>7418</v>
      </c>
      <c r="B131" s="129" t="s">
        <v>145</v>
      </c>
      <c r="C131" s="130">
        <v>50</v>
      </c>
      <c r="D131" s="130">
        <v>1</v>
      </c>
      <c r="E131" s="131" t="s">
        <v>284</v>
      </c>
      <c r="F131" s="132" t="s">
        <v>401</v>
      </c>
      <c r="G131" s="133" t="s">
        <v>296</v>
      </c>
      <c r="H131" s="134">
        <v>0.18</v>
      </c>
      <c r="I131" s="130">
        <v>7</v>
      </c>
      <c r="J131" s="136">
        <v>0</v>
      </c>
    </row>
    <row r="132" spans="1:10" ht="15" thickBot="1" x14ac:dyDescent="0.35">
      <c r="A132" s="128">
        <v>7401</v>
      </c>
      <c r="B132" s="129" t="s">
        <v>146</v>
      </c>
      <c r="C132" s="130">
        <v>9</v>
      </c>
      <c r="D132" s="130">
        <v>0</v>
      </c>
      <c r="E132" s="131" t="s">
        <v>284</v>
      </c>
      <c r="F132" s="132" t="s">
        <v>50</v>
      </c>
      <c r="G132" s="133" t="s">
        <v>50</v>
      </c>
      <c r="H132" s="134">
        <v>1.61</v>
      </c>
      <c r="I132" s="141" t="s">
        <v>50</v>
      </c>
      <c r="J132" s="135" t="s">
        <v>50</v>
      </c>
    </row>
    <row r="133" spans="1:10" ht="15" thickBot="1" x14ac:dyDescent="0.35">
      <c r="A133" s="128">
        <v>7405</v>
      </c>
      <c r="B133" s="129" t="s">
        <v>147</v>
      </c>
      <c r="C133" s="130">
        <v>9</v>
      </c>
      <c r="D133" s="130">
        <v>1</v>
      </c>
      <c r="E133" s="131" t="s">
        <v>284</v>
      </c>
      <c r="F133" s="132" t="s">
        <v>402</v>
      </c>
      <c r="G133" s="133" t="s">
        <v>296</v>
      </c>
      <c r="H133" s="134">
        <v>0.19</v>
      </c>
      <c r="I133" s="130">
        <v>5</v>
      </c>
      <c r="J133" s="136">
        <v>0</v>
      </c>
    </row>
    <row r="134" spans="1:10" ht="15" thickBot="1" x14ac:dyDescent="0.35">
      <c r="A134" s="139">
        <v>7602</v>
      </c>
      <c r="B134" s="140" t="s">
        <v>148</v>
      </c>
      <c r="C134" s="130">
        <v>28468</v>
      </c>
      <c r="D134" s="130">
        <v>12454</v>
      </c>
      <c r="E134" s="131" t="s">
        <v>284</v>
      </c>
      <c r="F134" s="132" t="s">
        <v>403</v>
      </c>
      <c r="G134" s="133" t="s">
        <v>296</v>
      </c>
      <c r="H134" s="134">
        <v>0.64</v>
      </c>
      <c r="I134" s="130">
        <v>23</v>
      </c>
      <c r="J134" s="136">
        <v>22</v>
      </c>
    </row>
    <row r="135" spans="1:10" ht="15" thickBot="1" x14ac:dyDescent="0.35">
      <c r="A135" s="128">
        <v>7606</v>
      </c>
      <c r="B135" s="129" t="s">
        <v>149</v>
      </c>
      <c r="C135" s="130">
        <v>8131</v>
      </c>
      <c r="D135" s="130">
        <v>1271</v>
      </c>
      <c r="E135" s="131" t="s">
        <v>284</v>
      </c>
      <c r="F135" s="132" t="s">
        <v>404</v>
      </c>
      <c r="G135" s="133" t="s">
        <v>296</v>
      </c>
      <c r="H135" s="134">
        <v>0.91</v>
      </c>
      <c r="I135" s="130">
        <v>9</v>
      </c>
      <c r="J135" s="136">
        <v>10</v>
      </c>
    </row>
    <row r="136" spans="1:10" ht="15" thickBot="1" x14ac:dyDescent="0.35">
      <c r="A136" s="128">
        <v>7616</v>
      </c>
      <c r="B136" s="129" t="s">
        <v>150</v>
      </c>
      <c r="C136" s="130">
        <v>7685</v>
      </c>
      <c r="D136" s="130">
        <v>360</v>
      </c>
      <c r="E136" s="131" t="s">
        <v>284</v>
      </c>
      <c r="F136" s="132" t="s">
        <v>405</v>
      </c>
      <c r="G136" s="133" t="s">
        <v>296</v>
      </c>
      <c r="H136" s="134">
        <v>1.03</v>
      </c>
      <c r="I136" s="138">
        <v>-10</v>
      </c>
      <c r="J136" s="137">
        <v>-9</v>
      </c>
    </row>
    <row r="137" spans="1:10" ht="15" thickBot="1" x14ac:dyDescent="0.35">
      <c r="A137" s="128">
        <v>7607</v>
      </c>
      <c r="B137" s="129" t="s">
        <v>151</v>
      </c>
      <c r="C137" s="130">
        <v>1783</v>
      </c>
      <c r="D137" s="130">
        <v>90</v>
      </c>
      <c r="E137" s="131" t="s">
        <v>284</v>
      </c>
      <c r="F137" s="132" t="s">
        <v>406</v>
      </c>
      <c r="G137" s="133" t="s">
        <v>296</v>
      </c>
      <c r="H137" s="134">
        <v>0.23</v>
      </c>
      <c r="I137" s="130">
        <v>15</v>
      </c>
      <c r="J137" s="136">
        <v>19</v>
      </c>
    </row>
    <row r="138" spans="1:10" ht="15" thickBot="1" x14ac:dyDescent="0.35">
      <c r="A138" s="128">
        <v>7604</v>
      </c>
      <c r="B138" s="129" t="s">
        <v>152</v>
      </c>
      <c r="C138" s="130">
        <v>1561</v>
      </c>
      <c r="D138" s="130">
        <v>204</v>
      </c>
      <c r="E138" s="131" t="s">
        <v>284</v>
      </c>
      <c r="F138" s="132" t="s">
        <v>407</v>
      </c>
      <c r="G138" s="133" t="s">
        <v>296</v>
      </c>
      <c r="H138" s="134">
        <v>0.77</v>
      </c>
      <c r="I138" s="138">
        <v>-9</v>
      </c>
      <c r="J138" s="137">
        <v>-4</v>
      </c>
    </row>
    <row r="139" spans="1:10" ht="15" thickBot="1" x14ac:dyDescent="0.35">
      <c r="A139" s="128">
        <v>7605</v>
      </c>
      <c r="B139" s="129" t="s">
        <v>153</v>
      </c>
      <c r="C139" s="130">
        <v>1067</v>
      </c>
      <c r="D139" s="130">
        <v>204</v>
      </c>
      <c r="E139" s="131" t="s">
        <v>284</v>
      </c>
      <c r="F139" s="132" t="s">
        <v>408</v>
      </c>
      <c r="G139" s="133" t="s">
        <v>296</v>
      </c>
      <c r="H139" s="134">
        <v>0.36</v>
      </c>
      <c r="I139" s="130">
        <v>39</v>
      </c>
      <c r="J139" s="136">
        <v>94</v>
      </c>
    </row>
    <row r="140" spans="1:10" ht="15" thickBot="1" x14ac:dyDescent="0.35">
      <c r="A140" s="128">
        <v>7608</v>
      </c>
      <c r="B140" s="129" t="s">
        <v>154</v>
      </c>
      <c r="C140" s="130">
        <v>874</v>
      </c>
      <c r="D140" s="130">
        <v>82</v>
      </c>
      <c r="E140" s="131" t="s">
        <v>284</v>
      </c>
      <c r="F140" s="132" t="s">
        <v>409</v>
      </c>
      <c r="G140" s="133" t="s">
        <v>296</v>
      </c>
      <c r="H140" s="134">
        <v>0.97</v>
      </c>
      <c r="I140" s="130">
        <v>4</v>
      </c>
      <c r="J140" s="136">
        <v>9</v>
      </c>
    </row>
    <row r="141" spans="1:10" ht="15" thickBot="1" x14ac:dyDescent="0.35">
      <c r="A141" s="128">
        <v>7610</v>
      </c>
      <c r="B141" s="129" t="s">
        <v>155</v>
      </c>
      <c r="C141" s="130">
        <v>642</v>
      </c>
      <c r="D141" s="130">
        <v>24</v>
      </c>
      <c r="E141" s="131" t="s">
        <v>284</v>
      </c>
      <c r="F141" s="132" t="s">
        <v>410</v>
      </c>
      <c r="G141" s="133" t="s">
        <v>296</v>
      </c>
      <c r="H141" s="134">
        <v>0.09</v>
      </c>
      <c r="I141" s="130">
        <v>17</v>
      </c>
      <c r="J141" s="136">
        <v>12</v>
      </c>
    </row>
    <row r="142" spans="1:10" ht="15" thickBot="1" x14ac:dyDescent="0.35">
      <c r="A142" s="128">
        <v>7603</v>
      </c>
      <c r="B142" s="129" t="s">
        <v>156</v>
      </c>
      <c r="C142" s="130">
        <v>607</v>
      </c>
      <c r="D142" s="130">
        <v>114</v>
      </c>
      <c r="E142" s="131" t="s">
        <v>284</v>
      </c>
      <c r="F142" s="132" t="s">
        <v>411</v>
      </c>
      <c r="G142" s="133" t="s">
        <v>296</v>
      </c>
      <c r="H142" s="134">
        <v>3.95</v>
      </c>
      <c r="I142" s="130">
        <v>4</v>
      </c>
      <c r="J142" s="136">
        <v>7</v>
      </c>
    </row>
    <row r="143" spans="1:10" ht="15" thickBot="1" x14ac:dyDescent="0.35">
      <c r="A143" s="128">
        <v>7609</v>
      </c>
      <c r="B143" s="129" t="s">
        <v>157</v>
      </c>
      <c r="C143" s="130">
        <v>224</v>
      </c>
      <c r="D143" s="130">
        <v>6</v>
      </c>
      <c r="E143" s="131" t="s">
        <v>284</v>
      </c>
      <c r="F143" s="132" t="s">
        <v>412</v>
      </c>
      <c r="G143" s="133" t="s">
        <v>296</v>
      </c>
      <c r="H143" s="134">
        <v>1.33</v>
      </c>
      <c r="I143" s="138">
        <v>-1</v>
      </c>
      <c r="J143" s="137">
        <v>-7</v>
      </c>
    </row>
    <row r="144" spans="1:10" ht="15" thickBot="1" x14ac:dyDescent="0.35">
      <c r="A144" s="128">
        <v>7612</v>
      </c>
      <c r="B144" s="129" t="s">
        <v>158</v>
      </c>
      <c r="C144" s="130">
        <v>86</v>
      </c>
      <c r="D144" s="130">
        <v>9</v>
      </c>
      <c r="E144" s="131" t="s">
        <v>284</v>
      </c>
      <c r="F144" s="132" t="s">
        <v>413</v>
      </c>
      <c r="G144" s="133" t="s">
        <v>296</v>
      </c>
      <c r="H144" s="134">
        <v>7.0000000000000007E-2</v>
      </c>
      <c r="I144" s="138">
        <v>-18</v>
      </c>
      <c r="J144" s="137">
        <v>-16</v>
      </c>
    </row>
    <row r="145" spans="1:10" ht="15" thickBot="1" x14ac:dyDescent="0.35">
      <c r="A145" s="128">
        <v>7601</v>
      </c>
      <c r="B145" s="129" t="s">
        <v>159</v>
      </c>
      <c r="C145" s="130">
        <v>59</v>
      </c>
      <c r="D145" s="130">
        <v>21</v>
      </c>
      <c r="E145" s="131" t="s">
        <v>284</v>
      </c>
      <c r="F145" s="132" t="s">
        <v>414</v>
      </c>
      <c r="G145" s="133" t="s">
        <v>296</v>
      </c>
      <c r="H145" s="134">
        <v>0</v>
      </c>
      <c r="I145" s="138">
        <v>-48</v>
      </c>
      <c r="J145" s="137">
        <v>-48</v>
      </c>
    </row>
    <row r="146" spans="1:10" ht="15" thickBot="1" x14ac:dyDescent="0.35">
      <c r="A146" s="128">
        <v>7615</v>
      </c>
      <c r="B146" s="129" t="s">
        <v>160</v>
      </c>
      <c r="C146" s="130">
        <v>9</v>
      </c>
      <c r="D146" s="130">
        <v>1</v>
      </c>
      <c r="E146" s="131" t="s">
        <v>284</v>
      </c>
      <c r="F146" s="132" t="s">
        <v>402</v>
      </c>
      <c r="G146" s="133" t="s">
        <v>296</v>
      </c>
      <c r="H146" s="134">
        <v>0.1</v>
      </c>
      <c r="I146" s="130">
        <v>25</v>
      </c>
      <c r="J146" s="136">
        <v>0</v>
      </c>
    </row>
    <row r="147" spans="1:10" ht="15" thickBot="1" x14ac:dyDescent="0.35">
      <c r="A147" s="128">
        <v>7613</v>
      </c>
      <c r="B147" s="129" t="s">
        <v>161</v>
      </c>
      <c r="C147" s="130">
        <v>3</v>
      </c>
      <c r="D147" s="130">
        <v>0</v>
      </c>
      <c r="E147" s="131" t="s">
        <v>284</v>
      </c>
      <c r="F147" s="132" t="s">
        <v>50</v>
      </c>
      <c r="G147" s="133" t="s">
        <v>50</v>
      </c>
      <c r="H147" s="134">
        <v>0</v>
      </c>
      <c r="I147" s="141" t="s">
        <v>50</v>
      </c>
      <c r="J147" s="135" t="s">
        <v>50</v>
      </c>
    </row>
    <row r="148" spans="1:10" ht="15" thickBot="1" x14ac:dyDescent="0.35">
      <c r="A148" s="128">
        <v>7611</v>
      </c>
      <c r="B148" s="129" t="s">
        <v>162</v>
      </c>
      <c r="C148" s="130">
        <v>1</v>
      </c>
      <c r="D148" s="130">
        <v>5</v>
      </c>
      <c r="E148" s="131" t="s">
        <v>284</v>
      </c>
      <c r="F148" s="132" t="s">
        <v>415</v>
      </c>
      <c r="G148" s="133" t="s">
        <v>296</v>
      </c>
      <c r="H148" s="134">
        <v>0</v>
      </c>
      <c r="I148" s="138">
        <v>-16</v>
      </c>
      <c r="J148" s="135" t="s">
        <v>50</v>
      </c>
    </row>
    <row r="149" spans="1:10" ht="15" thickBot="1" x14ac:dyDescent="0.35">
      <c r="A149" s="128">
        <v>7614</v>
      </c>
      <c r="B149" s="129" t="s">
        <v>163</v>
      </c>
      <c r="C149" s="130">
        <v>1</v>
      </c>
      <c r="D149" s="130">
        <v>0</v>
      </c>
      <c r="E149" s="131" t="s">
        <v>284</v>
      </c>
      <c r="F149" s="132" t="s">
        <v>50</v>
      </c>
      <c r="G149" s="133" t="s">
        <v>50</v>
      </c>
      <c r="H149" s="134">
        <v>0.06</v>
      </c>
      <c r="I149" s="138">
        <v>-86</v>
      </c>
      <c r="J149" s="135" t="s">
        <v>50</v>
      </c>
    </row>
    <row r="150" spans="1:10" ht="15" thickBot="1" x14ac:dyDescent="0.35">
      <c r="A150" s="139">
        <v>8311</v>
      </c>
      <c r="B150" s="140" t="s">
        <v>164</v>
      </c>
      <c r="C150" s="130">
        <v>10469</v>
      </c>
      <c r="D150" s="130">
        <v>623</v>
      </c>
      <c r="E150" s="131" t="s">
        <v>284</v>
      </c>
      <c r="F150" s="132" t="s">
        <v>416</v>
      </c>
      <c r="G150" s="133" t="s">
        <v>296</v>
      </c>
      <c r="H150" s="134">
        <v>9.4499999999999993</v>
      </c>
      <c r="I150" s="130">
        <v>7</v>
      </c>
      <c r="J150" s="137">
        <v>-6</v>
      </c>
    </row>
    <row r="151" spans="1:10" ht="15" thickBot="1" x14ac:dyDescent="0.35">
      <c r="A151" s="128">
        <v>8301</v>
      </c>
      <c r="B151" s="129" t="s">
        <v>165</v>
      </c>
      <c r="C151" s="130">
        <v>6751</v>
      </c>
      <c r="D151" s="130">
        <v>62011477</v>
      </c>
      <c r="E151" s="131" t="s">
        <v>283</v>
      </c>
      <c r="F151" s="132" t="s">
        <v>417</v>
      </c>
      <c r="G151" s="133" t="s">
        <v>292</v>
      </c>
      <c r="H151" s="134">
        <v>3.24</v>
      </c>
      <c r="I151" s="138">
        <v>-11</v>
      </c>
      <c r="J151" s="135" t="s">
        <v>50</v>
      </c>
    </row>
    <row r="152" spans="1:10" ht="15" thickBot="1" x14ac:dyDescent="0.35">
      <c r="A152" s="128">
        <v>8302</v>
      </c>
      <c r="B152" s="129" t="s">
        <v>166</v>
      </c>
      <c r="C152" s="130">
        <v>6682</v>
      </c>
      <c r="D152" s="130">
        <v>404</v>
      </c>
      <c r="E152" s="131" t="s">
        <v>284</v>
      </c>
      <c r="F152" s="132" t="s">
        <v>418</v>
      </c>
      <c r="G152" s="133" t="s">
        <v>296</v>
      </c>
      <c r="H152" s="134">
        <v>1.22</v>
      </c>
      <c r="I152" s="130">
        <v>15</v>
      </c>
      <c r="J152" s="136">
        <v>18</v>
      </c>
    </row>
    <row r="153" spans="1:10" ht="15" thickBot="1" x14ac:dyDescent="0.35">
      <c r="A153" s="128">
        <v>8307</v>
      </c>
      <c r="B153" s="129" t="s">
        <v>167</v>
      </c>
      <c r="C153" s="130">
        <v>636</v>
      </c>
      <c r="D153" s="130">
        <v>13</v>
      </c>
      <c r="E153" s="131" t="s">
        <v>284</v>
      </c>
      <c r="F153" s="132" t="s">
        <v>419</v>
      </c>
      <c r="G153" s="133" t="s">
        <v>296</v>
      </c>
      <c r="H153" s="134">
        <v>0.89</v>
      </c>
      <c r="I153" s="138">
        <v>-2</v>
      </c>
      <c r="J153" s="137">
        <v>-10</v>
      </c>
    </row>
    <row r="154" spans="1:10" ht="15" thickBot="1" x14ac:dyDescent="0.35">
      <c r="A154" s="128">
        <v>8310</v>
      </c>
      <c r="B154" s="129" t="s">
        <v>168</v>
      </c>
      <c r="C154" s="130">
        <v>580</v>
      </c>
      <c r="D154" s="130">
        <v>13</v>
      </c>
      <c r="E154" s="131" t="s">
        <v>284</v>
      </c>
      <c r="F154" s="132" t="s">
        <v>420</v>
      </c>
      <c r="G154" s="133" t="s">
        <v>296</v>
      </c>
      <c r="H154" s="134">
        <v>4.58</v>
      </c>
      <c r="I154" s="130">
        <v>15</v>
      </c>
      <c r="J154" s="136">
        <v>6</v>
      </c>
    </row>
    <row r="155" spans="1:10" ht="15" thickBot="1" x14ac:dyDescent="0.35">
      <c r="A155" s="128">
        <v>8309</v>
      </c>
      <c r="B155" s="129" t="s">
        <v>169</v>
      </c>
      <c r="C155" s="130">
        <v>317</v>
      </c>
      <c r="D155" s="130">
        <v>4</v>
      </c>
      <c r="E155" s="131" t="s">
        <v>284</v>
      </c>
      <c r="F155" s="132" t="s">
        <v>421</v>
      </c>
      <c r="G155" s="133" t="s">
        <v>296</v>
      </c>
      <c r="H155" s="134">
        <v>0.21</v>
      </c>
      <c r="I155" s="138">
        <v>-15</v>
      </c>
      <c r="J155" s="137">
        <v>-52</v>
      </c>
    </row>
    <row r="156" spans="1:10" ht="15" thickBot="1" x14ac:dyDescent="0.35">
      <c r="A156" s="128">
        <v>8308</v>
      </c>
      <c r="B156" s="129" t="s">
        <v>170</v>
      </c>
      <c r="C156" s="130">
        <v>176</v>
      </c>
      <c r="D156" s="130">
        <v>2</v>
      </c>
      <c r="E156" s="131" t="s">
        <v>284</v>
      </c>
      <c r="F156" s="132" t="s">
        <v>422</v>
      </c>
      <c r="G156" s="133" t="s">
        <v>296</v>
      </c>
      <c r="H156" s="134">
        <v>0.13</v>
      </c>
      <c r="I156" s="138">
        <v>-8</v>
      </c>
      <c r="J156" s="137">
        <v>-36</v>
      </c>
    </row>
    <row r="157" spans="1:10" ht="15" thickBot="1" x14ac:dyDescent="0.35">
      <c r="A157" s="128">
        <v>8305</v>
      </c>
      <c r="B157" s="129" t="s">
        <v>171</v>
      </c>
      <c r="C157" s="130">
        <v>103</v>
      </c>
      <c r="D157" s="130">
        <v>13</v>
      </c>
      <c r="E157" s="131" t="s">
        <v>284</v>
      </c>
      <c r="F157" s="132" t="s">
        <v>423</v>
      </c>
      <c r="G157" s="133" t="s">
        <v>296</v>
      </c>
      <c r="H157" s="134">
        <v>1.26</v>
      </c>
      <c r="I157" s="130">
        <v>18</v>
      </c>
      <c r="J157" s="136">
        <v>50</v>
      </c>
    </row>
    <row r="158" spans="1:10" ht="15" thickBot="1" x14ac:dyDescent="0.35">
      <c r="A158" s="128">
        <v>8303</v>
      </c>
      <c r="B158" s="129" t="s">
        <v>172</v>
      </c>
      <c r="C158" s="130">
        <v>99</v>
      </c>
      <c r="D158" s="130">
        <v>7</v>
      </c>
      <c r="E158" s="131" t="s">
        <v>284</v>
      </c>
      <c r="F158" s="132" t="s">
        <v>424</v>
      </c>
      <c r="G158" s="133" t="s">
        <v>296</v>
      </c>
      <c r="H158" s="134">
        <v>0.83</v>
      </c>
      <c r="I158" s="141" t="s">
        <v>50</v>
      </c>
      <c r="J158" s="135" t="s">
        <v>50</v>
      </c>
    </row>
    <row r="159" spans="1:10" ht="15" thickBot="1" x14ac:dyDescent="0.35">
      <c r="A159" s="128">
        <v>8306</v>
      </c>
      <c r="B159" s="129" t="s">
        <v>173</v>
      </c>
      <c r="C159" s="130">
        <v>26</v>
      </c>
      <c r="D159" s="130">
        <v>1</v>
      </c>
      <c r="E159" s="131" t="s">
        <v>284</v>
      </c>
      <c r="F159" s="132" t="s">
        <v>425</v>
      </c>
      <c r="G159" s="133" t="s">
        <v>296</v>
      </c>
      <c r="H159" s="134">
        <v>0.23</v>
      </c>
      <c r="I159" s="130">
        <v>31</v>
      </c>
      <c r="J159" s="135" t="s">
        <v>50</v>
      </c>
    </row>
    <row r="160" spans="1:10" ht="15" thickBot="1" x14ac:dyDescent="0.35">
      <c r="A160" s="139">
        <v>8479</v>
      </c>
      <c r="B160" s="140" t="s">
        <v>175</v>
      </c>
      <c r="C160" s="130">
        <v>394932</v>
      </c>
      <c r="D160" s="130">
        <v>0</v>
      </c>
      <c r="E160" s="131" t="s">
        <v>287</v>
      </c>
      <c r="F160" s="132" t="s">
        <v>50</v>
      </c>
      <c r="G160" s="133" t="s">
        <v>50</v>
      </c>
      <c r="H160" s="134">
        <v>9.81</v>
      </c>
      <c r="I160" s="130">
        <v>20</v>
      </c>
      <c r="J160" s="135" t="s">
        <v>50</v>
      </c>
    </row>
    <row r="161" spans="1:10" ht="15" thickBot="1" x14ac:dyDescent="0.35">
      <c r="A161" s="128">
        <v>8457</v>
      </c>
      <c r="B161" s="129" t="s">
        <v>176</v>
      </c>
      <c r="C161" s="130">
        <v>291214</v>
      </c>
      <c r="D161" s="130">
        <v>36973</v>
      </c>
      <c r="E161" s="131" t="s">
        <v>283</v>
      </c>
      <c r="F161" s="132" t="s">
        <v>426</v>
      </c>
      <c r="G161" s="133" t="s">
        <v>292</v>
      </c>
      <c r="H161" s="134">
        <v>44.56</v>
      </c>
      <c r="I161" s="130">
        <v>14</v>
      </c>
      <c r="J161" s="135" t="s">
        <v>50</v>
      </c>
    </row>
    <row r="162" spans="1:10" ht="15" thickBot="1" x14ac:dyDescent="0.35">
      <c r="A162" s="128">
        <v>8411</v>
      </c>
      <c r="B162" s="129" t="s">
        <v>177</v>
      </c>
      <c r="C162" s="130">
        <v>204298</v>
      </c>
      <c r="D162" s="130">
        <v>0</v>
      </c>
      <c r="E162" s="131" t="s">
        <v>287</v>
      </c>
      <c r="F162" s="132" t="s">
        <v>50</v>
      </c>
      <c r="G162" s="133" t="s">
        <v>50</v>
      </c>
      <c r="H162" s="134">
        <v>4.78</v>
      </c>
      <c r="I162" s="130">
        <v>45</v>
      </c>
      <c r="J162" s="135" t="s">
        <v>50</v>
      </c>
    </row>
    <row r="163" spans="1:10" ht="15" thickBot="1" x14ac:dyDescent="0.35">
      <c r="A163" s="128">
        <v>8443</v>
      </c>
      <c r="B163" s="129" t="s">
        <v>178</v>
      </c>
      <c r="C163" s="130">
        <v>184925</v>
      </c>
      <c r="D163" s="130">
        <v>12578682</v>
      </c>
      <c r="E163" s="131" t="s">
        <v>283</v>
      </c>
      <c r="F163" s="132" t="s">
        <v>427</v>
      </c>
      <c r="G163" s="133" t="s">
        <v>292</v>
      </c>
      <c r="H163" s="134">
        <v>8.66</v>
      </c>
      <c r="I163" s="130">
        <v>13</v>
      </c>
      <c r="J163" s="135" t="s">
        <v>50</v>
      </c>
    </row>
    <row r="164" spans="1:10" ht="15" thickBot="1" x14ac:dyDescent="0.35">
      <c r="A164" s="128">
        <v>8409</v>
      </c>
      <c r="B164" s="129" t="s">
        <v>179</v>
      </c>
      <c r="C164" s="130">
        <v>182722</v>
      </c>
      <c r="D164" s="130">
        <v>15667</v>
      </c>
      <c r="E164" s="131" t="s">
        <v>284</v>
      </c>
      <c r="F164" s="132" t="s">
        <v>428</v>
      </c>
      <c r="G164" s="133" t="s">
        <v>296</v>
      </c>
      <c r="H164" s="134">
        <v>11.02</v>
      </c>
      <c r="I164" s="130">
        <v>10</v>
      </c>
      <c r="J164" s="136">
        <v>2</v>
      </c>
    </row>
    <row r="165" spans="1:10" ht="15" thickBot="1" x14ac:dyDescent="0.35">
      <c r="A165" s="128">
        <v>8481</v>
      </c>
      <c r="B165" s="129" t="s">
        <v>180</v>
      </c>
      <c r="C165" s="130">
        <v>170702</v>
      </c>
      <c r="D165" s="130">
        <v>5416</v>
      </c>
      <c r="E165" s="131" t="s">
        <v>284</v>
      </c>
      <c r="F165" s="132" t="s">
        <v>429</v>
      </c>
      <c r="G165" s="133" t="s">
        <v>296</v>
      </c>
      <c r="H165" s="134">
        <v>7.08</v>
      </c>
      <c r="I165" s="130">
        <v>1</v>
      </c>
      <c r="J165" s="136">
        <v>6</v>
      </c>
    </row>
    <row r="166" spans="1:10" ht="15" thickBot="1" x14ac:dyDescent="0.35">
      <c r="A166" s="128">
        <v>8477</v>
      </c>
      <c r="B166" s="129" t="s">
        <v>181</v>
      </c>
      <c r="C166" s="130">
        <v>167165</v>
      </c>
      <c r="D166" s="130">
        <v>0</v>
      </c>
      <c r="E166" s="131" t="s">
        <v>287</v>
      </c>
      <c r="F166" s="132" t="s">
        <v>50</v>
      </c>
      <c r="G166" s="133" t="s">
        <v>50</v>
      </c>
      <c r="H166" s="134">
        <v>8.4</v>
      </c>
      <c r="I166" s="130">
        <v>16</v>
      </c>
      <c r="J166" s="135" t="s">
        <v>50</v>
      </c>
    </row>
    <row r="167" spans="1:10" ht="15" thickBot="1" x14ac:dyDescent="0.35">
      <c r="A167" s="128">
        <v>8482</v>
      </c>
      <c r="B167" s="129" t="s">
        <v>183</v>
      </c>
      <c r="C167" s="130">
        <v>139508</v>
      </c>
      <c r="D167" s="130">
        <v>0</v>
      </c>
      <c r="E167" s="131" t="s">
        <v>287</v>
      </c>
      <c r="F167" s="132" t="s">
        <v>50</v>
      </c>
      <c r="G167" s="133" t="s">
        <v>50</v>
      </c>
      <c r="H167" s="134">
        <v>9.15</v>
      </c>
      <c r="I167" s="138">
        <v>-1</v>
      </c>
      <c r="J167" s="135" t="s">
        <v>50</v>
      </c>
    </row>
    <row r="168" spans="1:10" ht="15" thickBot="1" x14ac:dyDescent="0.35">
      <c r="A168" s="128">
        <v>8421</v>
      </c>
      <c r="B168" s="129" t="s">
        <v>188</v>
      </c>
      <c r="C168" s="130">
        <v>138325</v>
      </c>
      <c r="D168" s="130">
        <v>0</v>
      </c>
      <c r="E168" s="131" t="s">
        <v>288</v>
      </c>
      <c r="F168" s="132" t="s">
        <v>50</v>
      </c>
      <c r="G168" s="133" t="s">
        <v>50</v>
      </c>
      <c r="H168" s="134">
        <v>6.04</v>
      </c>
      <c r="I168" s="130">
        <v>9</v>
      </c>
      <c r="J168" s="135" t="s">
        <v>50</v>
      </c>
    </row>
    <row r="169" spans="1:10" ht="15" thickBot="1" x14ac:dyDescent="0.35">
      <c r="A169" s="128">
        <v>8431</v>
      </c>
      <c r="B169" s="129" t="s">
        <v>184</v>
      </c>
      <c r="C169" s="130">
        <v>137964</v>
      </c>
      <c r="D169" s="130">
        <v>0</v>
      </c>
      <c r="E169" s="131" t="s">
        <v>288</v>
      </c>
      <c r="F169" s="132" t="s">
        <v>50</v>
      </c>
      <c r="G169" s="133" t="s">
        <v>50</v>
      </c>
      <c r="H169" s="134">
        <v>6.68</v>
      </c>
      <c r="I169" s="130">
        <v>9</v>
      </c>
      <c r="J169" s="135" t="s">
        <v>50</v>
      </c>
    </row>
    <row r="170" spans="1:10" ht="15" thickBot="1" x14ac:dyDescent="0.35">
      <c r="A170" s="128">
        <v>8413</v>
      </c>
      <c r="B170" s="129" t="s">
        <v>185</v>
      </c>
      <c r="C170" s="130">
        <v>137503</v>
      </c>
      <c r="D170" s="130">
        <v>0</v>
      </c>
      <c r="E170" s="131" t="s">
        <v>287</v>
      </c>
      <c r="F170" s="132" t="s">
        <v>50</v>
      </c>
      <c r="G170" s="133" t="s">
        <v>50</v>
      </c>
      <c r="H170" s="134">
        <v>8.0500000000000007</v>
      </c>
      <c r="I170" s="130">
        <v>2</v>
      </c>
      <c r="J170" s="135" t="s">
        <v>50</v>
      </c>
    </row>
    <row r="171" spans="1:10" ht="15" thickBot="1" x14ac:dyDescent="0.35">
      <c r="A171" s="128">
        <v>8462</v>
      </c>
      <c r="B171" s="129" t="s">
        <v>186</v>
      </c>
      <c r="C171" s="130">
        <v>128925</v>
      </c>
      <c r="D171" s="130">
        <v>12503367</v>
      </c>
      <c r="E171" s="131" t="s">
        <v>283</v>
      </c>
      <c r="F171" s="132" t="s">
        <v>430</v>
      </c>
      <c r="G171" s="133" t="s">
        <v>292</v>
      </c>
      <c r="H171" s="134">
        <v>12.45</v>
      </c>
      <c r="I171" s="130">
        <v>37</v>
      </c>
      <c r="J171" s="135" t="s">
        <v>50</v>
      </c>
    </row>
    <row r="172" spans="1:10" ht="15" thickBot="1" x14ac:dyDescent="0.35">
      <c r="A172" s="128">
        <v>8414</v>
      </c>
      <c r="B172" s="129" t="s">
        <v>182</v>
      </c>
      <c r="C172" s="130">
        <v>122548</v>
      </c>
      <c r="D172" s="130">
        <v>0</v>
      </c>
      <c r="E172" s="131" t="s">
        <v>287</v>
      </c>
      <c r="F172" s="132" t="s">
        <v>50</v>
      </c>
      <c r="G172" s="133" t="s">
        <v>50</v>
      </c>
      <c r="H172" s="134">
        <v>4.2300000000000004</v>
      </c>
      <c r="I172" s="130">
        <v>4</v>
      </c>
      <c r="J172" s="135" t="s">
        <v>50</v>
      </c>
    </row>
    <row r="173" spans="1:10" ht="15" thickBot="1" x14ac:dyDescent="0.35">
      <c r="A173" s="128">
        <v>8446</v>
      </c>
      <c r="B173" s="129" t="s">
        <v>187</v>
      </c>
      <c r="C173" s="130">
        <v>115622</v>
      </c>
      <c r="D173" s="130">
        <v>3235</v>
      </c>
      <c r="E173" s="131" t="s">
        <v>283</v>
      </c>
      <c r="F173" s="132" t="s">
        <v>431</v>
      </c>
      <c r="G173" s="133" t="s">
        <v>292</v>
      </c>
      <c r="H173" s="134">
        <v>11.18</v>
      </c>
      <c r="I173" s="130">
        <v>18</v>
      </c>
      <c r="J173" s="135" t="s">
        <v>50</v>
      </c>
    </row>
    <row r="174" spans="1:10" ht="15" thickBot="1" x14ac:dyDescent="0.35">
      <c r="A174" s="128">
        <v>8466</v>
      </c>
      <c r="B174" s="129" t="s">
        <v>189</v>
      </c>
      <c r="C174" s="130">
        <v>110797</v>
      </c>
      <c r="D174" s="130">
        <v>7746098</v>
      </c>
      <c r="E174" s="131" t="s">
        <v>283</v>
      </c>
      <c r="F174" s="132" t="s">
        <v>432</v>
      </c>
      <c r="G174" s="133" t="s">
        <v>292</v>
      </c>
      <c r="H174" s="134">
        <v>12.77</v>
      </c>
      <c r="I174" s="130">
        <v>7</v>
      </c>
      <c r="J174" s="135" t="s">
        <v>50</v>
      </c>
    </row>
    <row r="175" spans="1:10" ht="15" thickBot="1" x14ac:dyDescent="0.35">
      <c r="A175" s="128">
        <v>8483</v>
      </c>
      <c r="B175" s="129" t="s">
        <v>190</v>
      </c>
      <c r="C175" s="130">
        <v>97221</v>
      </c>
      <c r="D175" s="130">
        <v>63006798</v>
      </c>
      <c r="E175" s="131" t="s">
        <v>283</v>
      </c>
      <c r="F175" s="132" t="s">
        <v>433</v>
      </c>
      <c r="G175" s="133" t="s">
        <v>292</v>
      </c>
      <c r="H175" s="134">
        <v>4.24</v>
      </c>
      <c r="I175" s="138">
        <v>-3</v>
      </c>
      <c r="J175" s="135" t="s">
        <v>50</v>
      </c>
    </row>
    <row r="176" spans="1:10" ht="15" thickBot="1" x14ac:dyDescent="0.35">
      <c r="A176" s="128">
        <v>8408</v>
      </c>
      <c r="B176" s="129" t="s">
        <v>191</v>
      </c>
      <c r="C176" s="130">
        <v>80883</v>
      </c>
      <c r="D176" s="130">
        <v>98199</v>
      </c>
      <c r="E176" s="131" t="s">
        <v>283</v>
      </c>
      <c r="F176" s="132" t="s">
        <v>434</v>
      </c>
      <c r="G176" s="133" t="s">
        <v>292</v>
      </c>
      <c r="H176" s="134">
        <v>12.38</v>
      </c>
      <c r="I176" s="138">
        <v>-2</v>
      </c>
      <c r="J176" s="135" t="s">
        <v>50</v>
      </c>
    </row>
    <row r="177" spans="1:10" ht="15" thickBot="1" x14ac:dyDescent="0.35">
      <c r="A177" s="128">
        <v>8429</v>
      </c>
      <c r="B177" s="129" t="s">
        <v>192</v>
      </c>
      <c r="C177" s="130">
        <v>79588</v>
      </c>
      <c r="D177" s="130">
        <v>1713</v>
      </c>
      <c r="E177" s="131" t="s">
        <v>283</v>
      </c>
      <c r="F177" s="132" t="s">
        <v>435</v>
      </c>
      <c r="G177" s="133" t="s">
        <v>292</v>
      </c>
      <c r="H177" s="134">
        <v>16.57</v>
      </c>
      <c r="I177" s="138">
        <v>-3</v>
      </c>
      <c r="J177" s="135" t="s">
        <v>50</v>
      </c>
    </row>
    <row r="178" spans="1:10" ht="15" thickBot="1" x14ac:dyDescent="0.35">
      <c r="A178" s="128">
        <v>8460</v>
      </c>
      <c r="B178" s="129" t="s">
        <v>193</v>
      </c>
      <c r="C178" s="130">
        <v>60364</v>
      </c>
      <c r="D178" s="130">
        <v>12697</v>
      </c>
      <c r="E178" s="131" t="s">
        <v>283</v>
      </c>
      <c r="F178" s="132" t="s">
        <v>436</v>
      </c>
      <c r="G178" s="133" t="s">
        <v>292</v>
      </c>
      <c r="H178" s="134">
        <v>20.18</v>
      </c>
      <c r="I178" s="130">
        <v>21</v>
      </c>
      <c r="J178" s="135" t="s">
        <v>50</v>
      </c>
    </row>
    <row r="179" spans="1:10" ht="15" thickBot="1" x14ac:dyDescent="0.35">
      <c r="A179" s="128">
        <v>8458</v>
      </c>
      <c r="B179" s="129" t="s">
        <v>194</v>
      </c>
      <c r="C179" s="130">
        <v>60017</v>
      </c>
      <c r="D179" s="130">
        <v>1396</v>
      </c>
      <c r="E179" s="131" t="s">
        <v>283</v>
      </c>
      <c r="F179" s="132" t="s">
        <v>437</v>
      </c>
      <c r="G179" s="133" t="s">
        <v>292</v>
      </c>
      <c r="H179" s="134">
        <v>21.2</v>
      </c>
      <c r="I179" s="130">
        <v>16</v>
      </c>
      <c r="J179" s="135" t="s">
        <v>50</v>
      </c>
    </row>
    <row r="180" spans="1:10" ht="15" thickBot="1" x14ac:dyDescent="0.35">
      <c r="A180" s="128">
        <v>8445</v>
      </c>
      <c r="B180" s="129" t="s">
        <v>195</v>
      </c>
      <c r="C180" s="130">
        <v>56645</v>
      </c>
      <c r="D180" s="130">
        <v>4101</v>
      </c>
      <c r="E180" s="131" t="s">
        <v>283</v>
      </c>
      <c r="F180" s="132" t="s">
        <v>438</v>
      </c>
      <c r="G180" s="133" t="s">
        <v>292</v>
      </c>
      <c r="H180" s="134">
        <v>19.66</v>
      </c>
      <c r="I180" s="138">
        <v>-17</v>
      </c>
      <c r="J180" s="135" t="s">
        <v>50</v>
      </c>
    </row>
    <row r="181" spans="1:10" ht="15" thickBot="1" x14ac:dyDescent="0.35">
      <c r="A181" s="128">
        <v>8412</v>
      </c>
      <c r="B181" s="129" t="s">
        <v>196</v>
      </c>
      <c r="C181" s="130">
        <v>53677</v>
      </c>
      <c r="D181" s="130">
        <v>0</v>
      </c>
      <c r="E181" s="131" t="s">
        <v>287</v>
      </c>
      <c r="F181" s="132" t="s">
        <v>50</v>
      </c>
      <c r="G181" s="133" t="s">
        <v>50</v>
      </c>
      <c r="H181" s="134">
        <v>7.68</v>
      </c>
      <c r="I181" s="138">
        <v>-1</v>
      </c>
      <c r="J181" s="135" t="s">
        <v>50</v>
      </c>
    </row>
    <row r="182" spans="1:10" ht="15" thickBot="1" x14ac:dyDescent="0.35">
      <c r="A182" s="128">
        <v>8455</v>
      </c>
      <c r="B182" s="129" t="s">
        <v>197</v>
      </c>
      <c r="C182" s="130">
        <v>53176</v>
      </c>
      <c r="D182" s="130">
        <v>0</v>
      </c>
      <c r="E182" s="131" t="s">
        <v>287</v>
      </c>
      <c r="F182" s="132" t="s">
        <v>50</v>
      </c>
      <c r="G182" s="133" t="s">
        <v>50</v>
      </c>
      <c r="H182" s="134">
        <v>5.54</v>
      </c>
      <c r="I182" s="130">
        <v>19</v>
      </c>
      <c r="J182" s="135" t="s">
        <v>50</v>
      </c>
    </row>
    <row r="183" spans="1:10" ht="15" thickBot="1" x14ac:dyDescent="0.35">
      <c r="A183" s="128">
        <v>8428</v>
      </c>
      <c r="B183" s="129" t="s">
        <v>198</v>
      </c>
      <c r="C183" s="130">
        <v>45998</v>
      </c>
      <c r="D183" s="130">
        <v>11413</v>
      </c>
      <c r="E183" s="131" t="s">
        <v>283</v>
      </c>
      <c r="F183" s="132" t="s">
        <v>439</v>
      </c>
      <c r="G183" s="133" t="s">
        <v>292</v>
      </c>
      <c r="H183" s="134">
        <v>4.0599999999999996</v>
      </c>
      <c r="I183" s="130">
        <v>19</v>
      </c>
      <c r="J183" s="135" t="s">
        <v>50</v>
      </c>
    </row>
    <row r="184" spans="1:10" ht="15" thickBot="1" x14ac:dyDescent="0.35">
      <c r="A184" s="128">
        <v>8415</v>
      </c>
      <c r="B184" s="129" t="s">
        <v>199</v>
      </c>
      <c r="C184" s="130">
        <v>42958</v>
      </c>
      <c r="D184" s="130">
        <v>0</v>
      </c>
      <c r="E184" s="131" t="s">
        <v>287</v>
      </c>
      <c r="F184" s="132" t="s">
        <v>50</v>
      </c>
      <c r="G184" s="133" t="s">
        <v>50</v>
      </c>
      <c r="H184" s="134">
        <v>4.45</v>
      </c>
      <c r="I184" s="130">
        <v>5</v>
      </c>
      <c r="J184" s="135" t="s">
        <v>50</v>
      </c>
    </row>
    <row r="185" spans="1:10" ht="15" thickBot="1" x14ac:dyDescent="0.35">
      <c r="A185" s="128">
        <v>8473</v>
      </c>
      <c r="B185" s="129" t="s">
        <v>202</v>
      </c>
      <c r="C185" s="130">
        <v>42234</v>
      </c>
      <c r="D185" s="130">
        <v>4197732</v>
      </c>
      <c r="E185" s="131" t="s">
        <v>283</v>
      </c>
      <c r="F185" s="132" t="s">
        <v>440</v>
      </c>
      <c r="G185" s="133" t="s">
        <v>292</v>
      </c>
      <c r="H185" s="134">
        <v>1.07</v>
      </c>
      <c r="I185" s="130">
        <v>32</v>
      </c>
      <c r="J185" s="135" t="s">
        <v>50</v>
      </c>
    </row>
    <row r="186" spans="1:10" ht="15" thickBot="1" x14ac:dyDescent="0.35">
      <c r="A186" s="128">
        <v>8433</v>
      </c>
      <c r="B186" s="129" t="s">
        <v>200</v>
      </c>
      <c r="C186" s="130">
        <v>40493</v>
      </c>
      <c r="D186" s="130">
        <v>0</v>
      </c>
      <c r="E186" s="131" t="s">
        <v>287</v>
      </c>
      <c r="F186" s="132" t="s">
        <v>50</v>
      </c>
      <c r="G186" s="133" t="s">
        <v>50</v>
      </c>
      <c r="H186" s="134">
        <v>9.65</v>
      </c>
      <c r="I186" s="130">
        <v>16</v>
      </c>
      <c r="J186" s="135" t="s">
        <v>50</v>
      </c>
    </row>
    <row r="187" spans="1:10" ht="15" thickBot="1" x14ac:dyDescent="0.35">
      <c r="A187" s="128">
        <v>8454</v>
      </c>
      <c r="B187" s="129" t="s">
        <v>201</v>
      </c>
      <c r="C187" s="130">
        <v>39211</v>
      </c>
      <c r="D187" s="130">
        <v>0</v>
      </c>
      <c r="E187" s="131" t="s">
        <v>287</v>
      </c>
      <c r="F187" s="132" t="s">
        <v>50</v>
      </c>
      <c r="G187" s="133" t="s">
        <v>50</v>
      </c>
      <c r="H187" s="134">
        <v>10.37</v>
      </c>
      <c r="I187" s="130">
        <v>29</v>
      </c>
      <c r="J187" s="135" t="s">
        <v>50</v>
      </c>
    </row>
    <row r="188" spans="1:10" ht="15" thickBot="1" x14ac:dyDescent="0.35">
      <c r="A188" s="128">
        <v>8422</v>
      </c>
      <c r="B188" s="129" t="s">
        <v>203</v>
      </c>
      <c r="C188" s="130">
        <v>37805</v>
      </c>
      <c r="D188" s="130">
        <v>0</v>
      </c>
      <c r="E188" s="131" t="s">
        <v>288</v>
      </c>
      <c r="F188" s="132" t="s">
        <v>50</v>
      </c>
      <c r="G188" s="133" t="s">
        <v>50</v>
      </c>
      <c r="H188" s="134">
        <v>4.0199999999999996</v>
      </c>
      <c r="I188" s="130">
        <v>4</v>
      </c>
      <c r="J188" s="135" t="s">
        <v>50</v>
      </c>
    </row>
    <row r="189" spans="1:10" ht="15" thickBot="1" x14ac:dyDescent="0.35">
      <c r="A189" s="128">
        <v>8424</v>
      </c>
      <c r="B189" s="129" t="s">
        <v>204</v>
      </c>
      <c r="C189" s="130">
        <v>36274</v>
      </c>
      <c r="D189" s="130">
        <v>0</v>
      </c>
      <c r="E189" s="131" t="s">
        <v>287</v>
      </c>
      <c r="F189" s="132" t="s">
        <v>50</v>
      </c>
      <c r="G189" s="133" t="s">
        <v>50</v>
      </c>
      <c r="H189" s="134">
        <v>5.33</v>
      </c>
      <c r="I189" s="130">
        <v>21</v>
      </c>
      <c r="J189" s="135" t="s">
        <v>50</v>
      </c>
    </row>
    <row r="190" spans="1:10" ht="15" thickBot="1" x14ac:dyDescent="0.35">
      <c r="A190" s="128">
        <v>8461</v>
      </c>
      <c r="B190" s="129" t="s">
        <v>205</v>
      </c>
      <c r="C190" s="130">
        <v>32231</v>
      </c>
      <c r="D190" s="130">
        <v>261</v>
      </c>
      <c r="E190" s="131" t="s">
        <v>283</v>
      </c>
      <c r="F190" s="132" t="s">
        <v>441</v>
      </c>
      <c r="G190" s="133" t="s">
        <v>292</v>
      </c>
      <c r="H190" s="134">
        <v>19.32</v>
      </c>
      <c r="I190" s="130">
        <v>20</v>
      </c>
      <c r="J190" s="135" t="s">
        <v>50</v>
      </c>
    </row>
    <row r="191" spans="1:10" ht="15" thickBot="1" x14ac:dyDescent="0.35">
      <c r="A191" s="128">
        <v>8419</v>
      </c>
      <c r="B191" s="129" t="s">
        <v>206</v>
      </c>
      <c r="C191" s="130">
        <v>29526</v>
      </c>
      <c r="D191" s="130">
        <v>0</v>
      </c>
      <c r="E191" s="131" t="s">
        <v>288</v>
      </c>
      <c r="F191" s="132" t="s">
        <v>50</v>
      </c>
      <c r="G191" s="133" t="s">
        <v>50</v>
      </c>
      <c r="H191" s="134">
        <v>2.2000000000000002</v>
      </c>
      <c r="I191" s="130">
        <v>9</v>
      </c>
      <c r="J191" s="135" t="s">
        <v>50</v>
      </c>
    </row>
    <row r="192" spans="1:10" ht="15" thickBot="1" x14ac:dyDescent="0.35">
      <c r="A192" s="128">
        <v>8456</v>
      </c>
      <c r="B192" s="129" t="s">
        <v>207</v>
      </c>
      <c r="C192" s="130">
        <v>27926</v>
      </c>
      <c r="D192" s="130">
        <v>2989</v>
      </c>
      <c r="E192" s="131" t="s">
        <v>283</v>
      </c>
      <c r="F192" s="132" t="s">
        <v>442</v>
      </c>
      <c r="G192" s="133" t="s">
        <v>292</v>
      </c>
      <c r="H192" s="134">
        <v>10.53</v>
      </c>
      <c r="I192" s="130">
        <v>0</v>
      </c>
      <c r="J192" s="135" t="s">
        <v>50</v>
      </c>
    </row>
    <row r="193" spans="1:10" ht="15" thickBot="1" x14ac:dyDescent="0.35">
      <c r="A193" s="128">
        <v>8471</v>
      </c>
      <c r="B193" s="129" t="s">
        <v>208</v>
      </c>
      <c r="C193" s="130">
        <v>25288</v>
      </c>
      <c r="D193" s="130">
        <v>51405</v>
      </c>
      <c r="E193" s="131" t="s">
        <v>283</v>
      </c>
      <c r="F193" s="132" t="s">
        <v>443</v>
      </c>
      <c r="G193" s="133" t="s">
        <v>292</v>
      </c>
      <c r="H193" s="134">
        <v>0.2</v>
      </c>
      <c r="I193" s="130">
        <v>17</v>
      </c>
      <c r="J193" s="135" t="s">
        <v>50</v>
      </c>
    </row>
    <row r="194" spans="1:10" ht="15" thickBot="1" x14ac:dyDescent="0.35">
      <c r="A194" s="128">
        <v>8447</v>
      </c>
      <c r="B194" s="129" t="s">
        <v>209</v>
      </c>
      <c r="C194" s="130">
        <v>24967</v>
      </c>
      <c r="D194" s="130">
        <v>2562</v>
      </c>
      <c r="E194" s="131" t="s">
        <v>283</v>
      </c>
      <c r="F194" s="132" t="s">
        <v>444</v>
      </c>
      <c r="G194" s="133" t="s">
        <v>292</v>
      </c>
      <c r="H194" s="134">
        <v>2.84</v>
      </c>
      <c r="I194" s="130">
        <v>18</v>
      </c>
      <c r="J194" s="135" t="s">
        <v>50</v>
      </c>
    </row>
    <row r="195" spans="1:10" ht="15" thickBot="1" x14ac:dyDescent="0.35">
      <c r="A195" s="128">
        <v>8406</v>
      </c>
      <c r="B195" s="129" t="s">
        <v>210</v>
      </c>
      <c r="C195" s="130">
        <v>22549</v>
      </c>
      <c r="D195" s="130">
        <v>0</v>
      </c>
      <c r="E195" s="131" t="s">
        <v>287</v>
      </c>
      <c r="F195" s="132" t="s">
        <v>50</v>
      </c>
      <c r="G195" s="133" t="s">
        <v>50</v>
      </c>
      <c r="H195" s="134">
        <v>20</v>
      </c>
      <c r="I195" s="138">
        <v>-5</v>
      </c>
      <c r="J195" s="135" t="s">
        <v>50</v>
      </c>
    </row>
    <row r="196" spans="1:10" ht="15" thickBot="1" x14ac:dyDescent="0.35">
      <c r="A196" s="128">
        <v>8448</v>
      </c>
      <c r="B196" s="129" t="s">
        <v>211</v>
      </c>
      <c r="C196" s="130">
        <v>21381</v>
      </c>
      <c r="D196" s="130">
        <v>0</v>
      </c>
      <c r="E196" s="131" t="s">
        <v>288</v>
      </c>
      <c r="F196" s="132" t="s">
        <v>50</v>
      </c>
      <c r="G196" s="133" t="s">
        <v>50</v>
      </c>
      <c r="H196" s="134">
        <v>4.29</v>
      </c>
      <c r="I196" s="138">
        <v>-9</v>
      </c>
      <c r="J196" s="135" t="s">
        <v>50</v>
      </c>
    </row>
    <row r="197" spans="1:10" ht="15" thickBot="1" x14ac:dyDescent="0.35">
      <c r="A197" s="128">
        <v>8459</v>
      </c>
      <c r="B197" s="129" t="s">
        <v>212</v>
      </c>
      <c r="C197" s="130">
        <v>20946</v>
      </c>
      <c r="D197" s="130">
        <v>725</v>
      </c>
      <c r="E197" s="131" t="s">
        <v>283</v>
      </c>
      <c r="F197" s="132" t="s">
        <v>445</v>
      </c>
      <c r="G197" s="133" t="s">
        <v>292</v>
      </c>
      <c r="H197" s="134">
        <v>10.14</v>
      </c>
      <c r="I197" s="130">
        <v>29</v>
      </c>
      <c r="J197" s="135" t="s">
        <v>50</v>
      </c>
    </row>
    <row r="198" spans="1:10" ht="15" thickBot="1" x14ac:dyDescent="0.35">
      <c r="A198" s="128">
        <v>8427</v>
      </c>
      <c r="B198" s="129" t="s">
        <v>213</v>
      </c>
      <c r="C198" s="130">
        <v>20340</v>
      </c>
      <c r="D198" s="130">
        <v>1565</v>
      </c>
      <c r="E198" s="131" t="s">
        <v>283</v>
      </c>
      <c r="F198" s="132" t="s">
        <v>446</v>
      </c>
      <c r="G198" s="133" t="s">
        <v>292</v>
      </c>
      <c r="H198" s="134">
        <v>8.5500000000000007</v>
      </c>
      <c r="I198" s="130">
        <v>6</v>
      </c>
      <c r="J198" s="135" t="s">
        <v>50</v>
      </c>
    </row>
    <row r="199" spans="1:10" ht="15" thickBot="1" x14ac:dyDescent="0.35">
      <c r="A199" s="128">
        <v>8486</v>
      </c>
      <c r="B199" s="129" t="s">
        <v>216</v>
      </c>
      <c r="C199" s="130">
        <v>19857</v>
      </c>
      <c r="D199" s="130">
        <v>0</v>
      </c>
      <c r="E199" s="131" t="s">
        <v>288</v>
      </c>
      <c r="F199" s="132" t="s">
        <v>50</v>
      </c>
      <c r="G199" s="133" t="s">
        <v>50</v>
      </c>
      <c r="H199" s="134">
        <v>1.51</v>
      </c>
      <c r="I199" s="130">
        <v>60</v>
      </c>
      <c r="J199" s="135" t="s">
        <v>50</v>
      </c>
    </row>
    <row r="200" spans="1:10" ht="15" thickBot="1" x14ac:dyDescent="0.35">
      <c r="A200" s="128">
        <v>8423</v>
      </c>
      <c r="B200" s="129" t="s">
        <v>214</v>
      </c>
      <c r="C200" s="130">
        <v>19585</v>
      </c>
      <c r="D200" s="130">
        <v>0</v>
      </c>
      <c r="E200" s="131" t="s">
        <v>287</v>
      </c>
      <c r="F200" s="132" t="s">
        <v>50</v>
      </c>
      <c r="G200" s="133" t="s">
        <v>50</v>
      </c>
      <c r="H200" s="134">
        <v>16.809999999999999</v>
      </c>
      <c r="I200" s="130">
        <v>6</v>
      </c>
      <c r="J200" s="135" t="s">
        <v>50</v>
      </c>
    </row>
    <row r="201" spans="1:10" ht="15" thickBot="1" x14ac:dyDescent="0.35">
      <c r="A201" s="128">
        <v>8417</v>
      </c>
      <c r="B201" s="129" t="s">
        <v>215</v>
      </c>
      <c r="C201" s="130">
        <v>18211</v>
      </c>
      <c r="D201" s="130">
        <v>0</v>
      </c>
      <c r="E201" s="131" t="s">
        <v>287</v>
      </c>
      <c r="F201" s="132" t="s">
        <v>50</v>
      </c>
      <c r="G201" s="133" t="s">
        <v>50</v>
      </c>
      <c r="H201" s="134">
        <v>3.39</v>
      </c>
      <c r="I201" s="130">
        <v>33</v>
      </c>
      <c r="J201" s="135" t="s">
        <v>50</v>
      </c>
    </row>
    <row r="202" spans="1:10" ht="15" thickBot="1" x14ac:dyDescent="0.35">
      <c r="A202" s="128">
        <v>8480</v>
      </c>
      <c r="B202" s="129" t="s">
        <v>217</v>
      </c>
      <c r="C202" s="130">
        <v>16662</v>
      </c>
      <c r="D202" s="130">
        <v>529</v>
      </c>
      <c r="E202" s="131" t="s">
        <v>284</v>
      </c>
      <c r="F202" s="132" t="s">
        <v>447</v>
      </c>
      <c r="G202" s="133" t="s">
        <v>296</v>
      </c>
      <c r="H202" s="134">
        <v>1.45</v>
      </c>
      <c r="I202" s="138">
        <v>-16</v>
      </c>
      <c r="J202" s="137">
        <v>-9</v>
      </c>
    </row>
    <row r="203" spans="1:10" ht="15" thickBot="1" x14ac:dyDescent="0.35">
      <c r="A203" s="128">
        <v>8407</v>
      </c>
      <c r="B203" s="129" t="s">
        <v>218</v>
      </c>
      <c r="C203" s="130">
        <v>15483</v>
      </c>
      <c r="D203" s="130">
        <v>9807</v>
      </c>
      <c r="E203" s="131" t="s">
        <v>283</v>
      </c>
      <c r="F203" s="132" t="s">
        <v>448</v>
      </c>
      <c r="G203" s="133" t="s">
        <v>292</v>
      </c>
      <c r="H203" s="134">
        <v>5.58</v>
      </c>
      <c r="I203" s="130">
        <v>4</v>
      </c>
      <c r="J203" s="135" t="s">
        <v>50</v>
      </c>
    </row>
    <row r="204" spans="1:10" ht="15" thickBot="1" x14ac:dyDescent="0.35">
      <c r="A204" s="128">
        <v>8484</v>
      </c>
      <c r="B204" s="129" t="s">
        <v>219</v>
      </c>
      <c r="C204" s="130">
        <v>15133</v>
      </c>
      <c r="D204" s="130">
        <v>340</v>
      </c>
      <c r="E204" s="131" t="s">
        <v>284</v>
      </c>
      <c r="F204" s="132" t="s">
        <v>449</v>
      </c>
      <c r="G204" s="133" t="s">
        <v>296</v>
      </c>
      <c r="H204" s="134">
        <v>8.48</v>
      </c>
      <c r="I204" s="130">
        <v>5</v>
      </c>
      <c r="J204" s="136">
        <v>16</v>
      </c>
    </row>
    <row r="205" spans="1:10" ht="15" thickBot="1" x14ac:dyDescent="0.35">
      <c r="A205" s="128">
        <v>8467</v>
      </c>
      <c r="B205" s="129" t="s">
        <v>220</v>
      </c>
      <c r="C205" s="130">
        <v>14050</v>
      </c>
      <c r="D205" s="130">
        <v>0</v>
      </c>
      <c r="E205" s="131" t="s">
        <v>287</v>
      </c>
      <c r="F205" s="132" t="s">
        <v>50</v>
      </c>
      <c r="G205" s="133" t="s">
        <v>50</v>
      </c>
      <c r="H205" s="134">
        <v>2.39</v>
      </c>
      <c r="I205" s="130">
        <v>6</v>
      </c>
      <c r="J205" s="135" t="s">
        <v>50</v>
      </c>
    </row>
    <row r="206" spans="1:10" ht="15" thickBot="1" x14ac:dyDescent="0.35">
      <c r="A206" s="128">
        <v>8441</v>
      </c>
      <c r="B206" s="129" t="s">
        <v>221</v>
      </c>
      <c r="C206" s="130">
        <v>11829</v>
      </c>
      <c r="D206" s="130">
        <v>0</v>
      </c>
      <c r="E206" s="131" t="s">
        <v>288</v>
      </c>
      <c r="F206" s="132" t="s">
        <v>50</v>
      </c>
      <c r="G206" s="133" t="s">
        <v>50</v>
      </c>
      <c r="H206" s="134">
        <v>3.39</v>
      </c>
      <c r="I206" s="138">
        <v>-9</v>
      </c>
      <c r="J206" s="135" t="s">
        <v>50</v>
      </c>
    </row>
    <row r="207" spans="1:10" ht="15" thickBot="1" x14ac:dyDescent="0.35">
      <c r="A207" s="128">
        <v>8426</v>
      </c>
      <c r="B207" s="129" t="s">
        <v>222</v>
      </c>
      <c r="C207" s="130">
        <v>11073</v>
      </c>
      <c r="D207" s="130">
        <v>53</v>
      </c>
      <c r="E207" s="131" t="s">
        <v>283</v>
      </c>
      <c r="F207" s="132" t="s">
        <v>450</v>
      </c>
      <c r="G207" s="133" t="s">
        <v>292</v>
      </c>
      <c r="H207" s="134">
        <v>0.92</v>
      </c>
      <c r="I207" s="130">
        <v>78</v>
      </c>
      <c r="J207" s="135" t="s">
        <v>50</v>
      </c>
    </row>
    <row r="208" spans="1:10" ht="15" thickBot="1" x14ac:dyDescent="0.35">
      <c r="A208" s="128">
        <v>8452</v>
      </c>
      <c r="B208" s="129" t="s">
        <v>223</v>
      </c>
      <c r="C208" s="130">
        <v>11022</v>
      </c>
      <c r="D208" s="130">
        <v>0</v>
      </c>
      <c r="E208" s="131" t="s">
        <v>287</v>
      </c>
      <c r="F208" s="132" t="s">
        <v>50</v>
      </c>
      <c r="G208" s="133" t="s">
        <v>50</v>
      </c>
      <c r="H208" s="134">
        <v>3.02</v>
      </c>
      <c r="I208" s="130">
        <v>7</v>
      </c>
      <c r="J208" s="135" t="s">
        <v>50</v>
      </c>
    </row>
    <row r="209" spans="1:10" ht="15" thickBot="1" x14ac:dyDescent="0.35">
      <c r="A209" s="128">
        <v>8474</v>
      </c>
      <c r="B209" s="129" t="s">
        <v>224</v>
      </c>
      <c r="C209" s="130">
        <v>8154</v>
      </c>
      <c r="D209" s="130">
        <v>0</v>
      </c>
      <c r="E209" s="131" t="s">
        <v>287</v>
      </c>
      <c r="F209" s="132" t="s">
        <v>50</v>
      </c>
      <c r="G209" s="133" t="s">
        <v>50</v>
      </c>
      <c r="H209" s="134">
        <v>1.1299999999999999</v>
      </c>
      <c r="I209" s="130">
        <v>11</v>
      </c>
      <c r="J209" s="135" t="s">
        <v>50</v>
      </c>
    </row>
    <row r="210" spans="1:10" ht="15" thickBot="1" x14ac:dyDescent="0.35">
      <c r="A210" s="128">
        <v>8438</v>
      </c>
      <c r="B210" s="129" t="s">
        <v>226</v>
      </c>
      <c r="C210" s="130">
        <v>5886</v>
      </c>
      <c r="D210" s="130">
        <v>0</v>
      </c>
      <c r="E210" s="131" t="s">
        <v>288</v>
      </c>
      <c r="F210" s="132" t="s">
        <v>50</v>
      </c>
      <c r="G210" s="133" t="s">
        <v>50</v>
      </c>
      <c r="H210" s="134">
        <v>1.53</v>
      </c>
      <c r="I210" s="130">
        <v>26</v>
      </c>
      <c r="J210" s="135" t="s">
        <v>50</v>
      </c>
    </row>
    <row r="211" spans="1:10" ht="15" thickBot="1" x14ac:dyDescent="0.35">
      <c r="A211" s="128">
        <v>8487</v>
      </c>
      <c r="B211" s="129" t="s">
        <v>225</v>
      </c>
      <c r="C211" s="130">
        <v>5809</v>
      </c>
      <c r="D211" s="130">
        <v>0</v>
      </c>
      <c r="E211" s="131" t="s">
        <v>287</v>
      </c>
      <c r="F211" s="132" t="s">
        <v>50</v>
      </c>
      <c r="G211" s="133" t="s">
        <v>50</v>
      </c>
      <c r="H211" s="134">
        <v>5.32</v>
      </c>
      <c r="I211" s="138">
        <v>-13</v>
      </c>
      <c r="J211" s="135" t="s">
        <v>50</v>
      </c>
    </row>
    <row r="212" spans="1:10" ht="15" thickBot="1" x14ac:dyDescent="0.35">
      <c r="A212" s="128">
        <v>8425</v>
      </c>
      <c r="B212" s="129" t="s">
        <v>227</v>
      </c>
      <c r="C212" s="130">
        <v>5373</v>
      </c>
      <c r="D212" s="130">
        <v>21572</v>
      </c>
      <c r="E212" s="131" t="s">
        <v>283</v>
      </c>
      <c r="F212" s="132" t="s">
        <v>451</v>
      </c>
      <c r="G212" s="133" t="s">
        <v>292</v>
      </c>
      <c r="H212" s="134">
        <v>4.08</v>
      </c>
      <c r="I212" s="130">
        <v>21</v>
      </c>
      <c r="J212" s="135" t="s">
        <v>50</v>
      </c>
    </row>
    <row r="213" spans="1:10" ht="15" thickBot="1" x14ac:dyDescent="0.35">
      <c r="A213" s="128">
        <v>8418</v>
      </c>
      <c r="B213" s="129" t="s">
        <v>232</v>
      </c>
      <c r="C213" s="130">
        <v>4530</v>
      </c>
      <c r="D213" s="130">
        <v>0</v>
      </c>
      <c r="E213" s="131" t="s">
        <v>288</v>
      </c>
      <c r="F213" s="132" t="s">
        <v>50</v>
      </c>
      <c r="G213" s="133" t="s">
        <v>50</v>
      </c>
      <c r="H213" s="134">
        <v>0.65</v>
      </c>
      <c r="I213" s="130">
        <v>20</v>
      </c>
      <c r="J213" s="135" t="s">
        <v>50</v>
      </c>
    </row>
    <row r="214" spans="1:10" ht="15" thickBot="1" x14ac:dyDescent="0.35">
      <c r="A214" s="128">
        <v>8464</v>
      </c>
      <c r="B214" s="129" t="s">
        <v>228</v>
      </c>
      <c r="C214" s="130">
        <v>3933</v>
      </c>
      <c r="D214" s="130">
        <v>1701</v>
      </c>
      <c r="E214" s="131" t="s">
        <v>283</v>
      </c>
      <c r="F214" s="132" t="s">
        <v>452</v>
      </c>
      <c r="G214" s="133" t="s">
        <v>292</v>
      </c>
      <c r="H214" s="134">
        <v>2.37</v>
      </c>
      <c r="I214" s="130">
        <v>8</v>
      </c>
      <c r="J214" s="135" t="s">
        <v>50</v>
      </c>
    </row>
    <row r="215" spans="1:10" ht="15" thickBot="1" x14ac:dyDescent="0.35">
      <c r="A215" s="128">
        <v>8463</v>
      </c>
      <c r="B215" s="129" t="s">
        <v>229</v>
      </c>
      <c r="C215" s="130">
        <v>3850</v>
      </c>
      <c r="D215" s="130">
        <v>199</v>
      </c>
      <c r="E215" s="131" t="s">
        <v>283</v>
      </c>
      <c r="F215" s="132" t="s">
        <v>453</v>
      </c>
      <c r="G215" s="133" t="s">
        <v>292</v>
      </c>
      <c r="H215" s="134">
        <v>2.1</v>
      </c>
      <c r="I215" s="130">
        <v>8</v>
      </c>
      <c r="J215" s="135" t="s">
        <v>50</v>
      </c>
    </row>
    <row r="216" spans="1:10" ht="15" thickBot="1" x14ac:dyDescent="0.35">
      <c r="A216" s="128">
        <v>8444</v>
      </c>
      <c r="B216" s="129" t="s">
        <v>230</v>
      </c>
      <c r="C216" s="130">
        <v>3578</v>
      </c>
      <c r="D216" s="130">
        <v>12105</v>
      </c>
      <c r="E216" s="131" t="s">
        <v>283</v>
      </c>
      <c r="F216" s="132" t="s">
        <v>454</v>
      </c>
      <c r="G216" s="133" t="s">
        <v>292</v>
      </c>
      <c r="H216" s="134">
        <v>2.88</v>
      </c>
      <c r="I216" s="130">
        <v>97</v>
      </c>
      <c r="J216" s="135" t="s">
        <v>50</v>
      </c>
    </row>
    <row r="217" spans="1:10" ht="15" thickBot="1" x14ac:dyDescent="0.35">
      <c r="A217" s="128">
        <v>8416</v>
      </c>
      <c r="B217" s="129" t="s">
        <v>231</v>
      </c>
      <c r="C217" s="130">
        <v>3493</v>
      </c>
      <c r="D217" s="130">
        <v>33</v>
      </c>
      <c r="E217" s="131" t="s">
        <v>284</v>
      </c>
      <c r="F217" s="132" t="s">
        <v>455</v>
      </c>
      <c r="G217" s="133" t="s">
        <v>296</v>
      </c>
      <c r="H217" s="134">
        <v>4.97</v>
      </c>
      <c r="I217" s="130">
        <v>29</v>
      </c>
      <c r="J217" s="136">
        <v>20</v>
      </c>
    </row>
    <row r="218" spans="1:10" ht="15" thickBot="1" x14ac:dyDescent="0.35">
      <c r="A218" s="128">
        <v>8468</v>
      </c>
      <c r="B218" s="129" t="s">
        <v>233</v>
      </c>
      <c r="C218" s="130">
        <v>2969</v>
      </c>
      <c r="D218" s="130">
        <v>0</v>
      </c>
      <c r="E218" s="131" t="s">
        <v>287</v>
      </c>
      <c r="F218" s="132" t="s">
        <v>50</v>
      </c>
      <c r="G218" s="133" t="s">
        <v>50</v>
      </c>
      <c r="H218" s="134">
        <v>5.85</v>
      </c>
      <c r="I218" s="138">
        <v>-4</v>
      </c>
      <c r="J218" s="135" t="s">
        <v>50</v>
      </c>
    </row>
    <row r="219" spans="1:10" ht="15" thickBot="1" x14ac:dyDescent="0.35">
      <c r="A219" s="128">
        <v>8451</v>
      </c>
      <c r="B219" s="129" t="s">
        <v>234</v>
      </c>
      <c r="C219" s="130">
        <v>1804</v>
      </c>
      <c r="D219" s="130">
        <v>0</v>
      </c>
      <c r="E219" s="131" t="s">
        <v>288</v>
      </c>
      <c r="F219" s="132" t="s">
        <v>50</v>
      </c>
      <c r="G219" s="133" t="s">
        <v>50</v>
      </c>
      <c r="H219" s="134">
        <v>0.52</v>
      </c>
      <c r="I219" s="130">
        <v>8</v>
      </c>
      <c r="J219" s="135" t="s">
        <v>50</v>
      </c>
    </row>
    <row r="220" spans="1:10" ht="15" thickBot="1" x14ac:dyDescent="0.35">
      <c r="A220" s="128">
        <v>8430</v>
      </c>
      <c r="B220" s="129" t="s">
        <v>235</v>
      </c>
      <c r="C220" s="130">
        <v>1499</v>
      </c>
      <c r="D220" s="130">
        <v>58</v>
      </c>
      <c r="E220" s="131" t="s">
        <v>283</v>
      </c>
      <c r="F220" s="132" t="s">
        <v>456</v>
      </c>
      <c r="G220" s="133" t="s">
        <v>292</v>
      </c>
      <c r="H220" s="134">
        <v>0.35</v>
      </c>
      <c r="I220" s="138">
        <v>-11</v>
      </c>
      <c r="J220" s="135" t="s">
        <v>50</v>
      </c>
    </row>
    <row r="221" spans="1:10" ht="15" thickBot="1" x14ac:dyDescent="0.35">
      <c r="A221" s="128">
        <v>8476</v>
      </c>
      <c r="B221" s="129" t="s">
        <v>236</v>
      </c>
      <c r="C221" s="130">
        <v>1267</v>
      </c>
      <c r="D221" s="130">
        <v>0</v>
      </c>
      <c r="E221" s="131" t="s">
        <v>288</v>
      </c>
      <c r="F221" s="132" t="s">
        <v>50</v>
      </c>
      <c r="G221" s="133" t="s">
        <v>50</v>
      </c>
      <c r="H221" s="134">
        <v>7.43</v>
      </c>
      <c r="I221" s="141" t="s">
        <v>50</v>
      </c>
      <c r="J221" s="135" t="s">
        <v>50</v>
      </c>
    </row>
    <row r="222" spans="1:10" ht="15" thickBot="1" x14ac:dyDescent="0.35">
      <c r="A222" s="128">
        <v>8453</v>
      </c>
      <c r="B222" s="129" t="s">
        <v>237</v>
      </c>
      <c r="C222" s="130">
        <v>1196</v>
      </c>
      <c r="D222" s="130">
        <v>0</v>
      </c>
      <c r="E222" s="131" t="s">
        <v>287</v>
      </c>
      <c r="F222" s="132" t="s">
        <v>50</v>
      </c>
      <c r="G222" s="133" t="s">
        <v>50</v>
      </c>
      <c r="H222" s="134">
        <v>1.22</v>
      </c>
      <c r="I222" s="138">
        <v>-14</v>
      </c>
      <c r="J222" s="135" t="s">
        <v>50</v>
      </c>
    </row>
    <row r="223" spans="1:10" ht="15" thickBot="1" x14ac:dyDescent="0.35">
      <c r="A223" s="128">
        <v>8439</v>
      </c>
      <c r="B223" s="129" t="s">
        <v>238</v>
      </c>
      <c r="C223" s="130">
        <v>1185</v>
      </c>
      <c r="D223" s="130">
        <v>0</v>
      </c>
      <c r="E223" s="131" t="s">
        <v>287</v>
      </c>
      <c r="F223" s="132" t="s">
        <v>50</v>
      </c>
      <c r="G223" s="133" t="s">
        <v>50</v>
      </c>
      <c r="H223" s="134">
        <v>0.6</v>
      </c>
      <c r="I223" s="130">
        <v>22</v>
      </c>
      <c r="J223" s="135" t="s">
        <v>50</v>
      </c>
    </row>
    <row r="224" spans="1:10" ht="15" thickBot="1" x14ac:dyDescent="0.35">
      <c r="A224" s="128">
        <v>8440</v>
      </c>
      <c r="B224" s="129" t="s">
        <v>239</v>
      </c>
      <c r="C224" s="130">
        <v>1141</v>
      </c>
      <c r="D224" s="130">
        <v>0</v>
      </c>
      <c r="E224" s="131" t="s">
        <v>287</v>
      </c>
      <c r="F224" s="132" t="s">
        <v>50</v>
      </c>
      <c r="G224" s="133" t="s">
        <v>50</v>
      </c>
      <c r="H224" s="134">
        <v>6.31</v>
      </c>
      <c r="I224" s="130">
        <v>71</v>
      </c>
      <c r="J224" s="135" t="s">
        <v>50</v>
      </c>
    </row>
    <row r="225" spans="1:10" ht="15" thickBot="1" x14ac:dyDescent="0.35">
      <c r="A225" s="128">
        <v>8465</v>
      </c>
      <c r="B225" s="129" t="s">
        <v>240</v>
      </c>
      <c r="C225" s="130">
        <v>1070</v>
      </c>
      <c r="D225" s="130">
        <v>1248</v>
      </c>
      <c r="E225" s="131" t="s">
        <v>283</v>
      </c>
      <c r="F225" s="132" t="s">
        <v>457</v>
      </c>
      <c r="G225" s="133" t="s">
        <v>292</v>
      </c>
      <c r="H225" s="134">
        <v>0.62</v>
      </c>
      <c r="I225" s="130">
        <v>0</v>
      </c>
      <c r="J225" s="135" t="s">
        <v>50</v>
      </c>
    </row>
    <row r="226" spans="1:10" ht="15" thickBot="1" x14ac:dyDescent="0.35">
      <c r="A226" s="128">
        <v>8472</v>
      </c>
      <c r="B226" s="129" t="s">
        <v>241</v>
      </c>
      <c r="C226" s="130">
        <v>663</v>
      </c>
      <c r="D226" s="130">
        <v>16032</v>
      </c>
      <c r="E226" s="131" t="s">
        <v>283</v>
      </c>
      <c r="F226" s="132" t="s">
        <v>458</v>
      </c>
      <c r="G226" s="133" t="s">
        <v>292</v>
      </c>
      <c r="H226" s="134">
        <v>1.1000000000000001</v>
      </c>
      <c r="I226" s="138">
        <v>-4</v>
      </c>
      <c r="J226" s="137">
        <v>-6</v>
      </c>
    </row>
    <row r="227" spans="1:10" ht="15" thickBot="1" x14ac:dyDescent="0.35">
      <c r="A227" s="128">
        <v>8475</v>
      </c>
      <c r="B227" s="129" t="s">
        <v>243</v>
      </c>
      <c r="C227" s="130">
        <v>518</v>
      </c>
      <c r="D227" s="130">
        <v>0</v>
      </c>
      <c r="E227" s="131" t="s">
        <v>288</v>
      </c>
      <c r="F227" s="132" t="s">
        <v>50</v>
      </c>
      <c r="G227" s="133" t="s">
        <v>50</v>
      </c>
      <c r="H227" s="134">
        <v>0.28000000000000003</v>
      </c>
      <c r="I227" s="138">
        <v>-33</v>
      </c>
      <c r="J227" s="135" t="s">
        <v>50</v>
      </c>
    </row>
    <row r="228" spans="1:10" ht="15" thickBot="1" x14ac:dyDescent="0.35">
      <c r="A228" s="128">
        <v>8432</v>
      </c>
      <c r="B228" s="129" t="s">
        <v>242</v>
      </c>
      <c r="C228" s="130">
        <v>508</v>
      </c>
      <c r="D228" s="130">
        <v>69644</v>
      </c>
      <c r="E228" s="131" t="s">
        <v>283</v>
      </c>
      <c r="F228" s="132" t="s">
        <v>459</v>
      </c>
      <c r="G228" s="133" t="s">
        <v>292</v>
      </c>
      <c r="H228" s="134">
        <v>0.4</v>
      </c>
      <c r="I228" s="138">
        <v>-33</v>
      </c>
      <c r="J228" s="135" t="s">
        <v>50</v>
      </c>
    </row>
    <row r="229" spans="1:10" ht="15" thickBot="1" x14ac:dyDescent="0.35">
      <c r="A229" s="128">
        <v>8420</v>
      </c>
      <c r="B229" s="129" t="s">
        <v>244</v>
      </c>
      <c r="C229" s="130">
        <v>397</v>
      </c>
      <c r="D229" s="130">
        <v>9</v>
      </c>
      <c r="E229" s="131" t="s">
        <v>284</v>
      </c>
      <c r="F229" s="132" t="s">
        <v>460</v>
      </c>
      <c r="G229" s="133" t="s">
        <v>296</v>
      </c>
      <c r="H229" s="134">
        <v>0.76</v>
      </c>
      <c r="I229" s="130">
        <v>3</v>
      </c>
      <c r="J229" s="136">
        <v>4</v>
      </c>
    </row>
    <row r="230" spans="1:10" ht="15" thickBot="1" x14ac:dyDescent="0.35">
      <c r="A230" s="128">
        <v>8442</v>
      </c>
      <c r="B230" s="129" t="s">
        <v>245</v>
      </c>
      <c r="C230" s="130">
        <v>372</v>
      </c>
      <c r="D230" s="130">
        <v>0</v>
      </c>
      <c r="E230" s="131" t="s">
        <v>287</v>
      </c>
      <c r="F230" s="132" t="s">
        <v>50</v>
      </c>
      <c r="G230" s="133" t="s">
        <v>50</v>
      </c>
      <c r="H230" s="134">
        <v>0.49</v>
      </c>
      <c r="I230" s="138">
        <v>-34</v>
      </c>
      <c r="J230" s="135" t="s">
        <v>50</v>
      </c>
    </row>
    <row r="231" spans="1:10" ht="15" thickBot="1" x14ac:dyDescent="0.35">
      <c r="A231" s="128">
        <v>8450</v>
      </c>
      <c r="B231" s="129" t="s">
        <v>250</v>
      </c>
      <c r="C231" s="130">
        <v>354</v>
      </c>
      <c r="D231" s="130">
        <v>0</v>
      </c>
      <c r="E231" s="131" t="s">
        <v>288</v>
      </c>
      <c r="F231" s="132" t="s">
        <v>50</v>
      </c>
      <c r="G231" s="133" t="s">
        <v>50</v>
      </c>
      <c r="H231" s="134">
        <v>0.21</v>
      </c>
      <c r="I231" s="130">
        <v>8</v>
      </c>
      <c r="J231" s="135" t="s">
        <v>50</v>
      </c>
    </row>
    <row r="232" spans="1:10" ht="15" thickBot="1" x14ac:dyDescent="0.35">
      <c r="A232" s="128">
        <v>8436</v>
      </c>
      <c r="B232" s="129" t="s">
        <v>253</v>
      </c>
      <c r="C232" s="130">
        <v>170</v>
      </c>
      <c r="D232" s="130">
        <v>0</v>
      </c>
      <c r="E232" s="131" t="s">
        <v>288</v>
      </c>
      <c r="F232" s="132" t="s">
        <v>50</v>
      </c>
      <c r="G232" s="133" t="s">
        <v>50</v>
      </c>
      <c r="H232" s="134">
        <v>0.16</v>
      </c>
      <c r="I232" s="130">
        <v>174</v>
      </c>
      <c r="J232" s="135" t="s">
        <v>50</v>
      </c>
    </row>
    <row r="233" spans="1:10" ht="15" thickBot="1" x14ac:dyDescent="0.35">
      <c r="A233" s="128">
        <v>8437</v>
      </c>
      <c r="B233" s="129" t="s">
        <v>247</v>
      </c>
      <c r="C233" s="130">
        <v>118</v>
      </c>
      <c r="D233" s="130">
        <v>0</v>
      </c>
      <c r="E233" s="131" t="s">
        <v>287</v>
      </c>
      <c r="F233" s="132" t="s">
        <v>50</v>
      </c>
      <c r="G233" s="133" t="s">
        <v>50</v>
      </c>
      <c r="H233" s="134">
        <v>0.06</v>
      </c>
      <c r="I233" s="138">
        <v>-21</v>
      </c>
      <c r="J233" s="135" t="s">
        <v>50</v>
      </c>
    </row>
    <row r="234" spans="1:10" ht="15" thickBot="1" x14ac:dyDescent="0.35">
      <c r="A234" s="128">
        <v>8404</v>
      </c>
      <c r="B234" s="129" t="s">
        <v>248</v>
      </c>
      <c r="C234" s="130">
        <v>69</v>
      </c>
      <c r="D234" s="130">
        <v>2</v>
      </c>
      <c r="E234" s="131" t="s">
        <v>284</v>
      </c>
      <c r="F234" s="132" t="s">
        <v>461</v>
      </c>
      <c r="G234" s="133" t="s">
        <v>296</v>
      </c>
      <c r="H234" s="134">
        <v>0.33</v>
      </c>
      <c r="I234" s="130">
        <v>4</v>
      </c>
      <c r="J234" s="136">
        <v>0</v>
      </c>
    </row>
    <row r="235" spans="1:10" ht="15" thickBot="1" x14ac:dyDescent="0.35">
      <c r="A235" s="128">
        <v>8405</v>
      </c>
      <c r="B235" s="129" t="s">
        <v>249</v>
      </c>
      <c r="C235" s="130">
        <v>41</v>
      </c>
      <c r="D235" s="130">
        <v>22</v>
      </c>
      <c r="E235" s="131" t="s">
        <v>283</v>
      </c>
      <c r="F235" s="132" t="s">
        <v>462</v>
      </c>
      <c r="G235" s="133" t="s">
        <v>292</v>
      </c>
      <c r="H235" s="134">
        <v>0.1</v>
      </c>
      <c r="I235" s="138">
        <v>-43</v>
      </c>
      <c r="J235" s="135" t="s">
        <v>50</v>
      </c>
    </row>
    <row r="236" spans="1:10" ht="15" thickBot="1" x14ac:dyDescent="0.35">
      <c r="A236" s="128">
        <v>8478</v>
      </c>
      <c r="B236" s="129" t="s">
        <v>255</v>
      </c>
      <c r="C236" s="130">
        <v>35</v>
      </c>
      <c r="D236" s="130">
        <v>0</v>
      </c>
      <c r="E236" s="131" t="s">
        <v>288</v>
      </c>
      <c r="F236" s="132" t="s">
        <v>50</v>
      </c>
      <c r="G236" s="133" t="s">
        <v>50</v>
      </c>
      <c r="H236" s="134">
        <v>0.18</v>
      </c>
      <c r="I236" s="130">
        <v>26</v>
      </c>
      <c r="J236" s="135" t="s">
        <v>50</v>
      </c>
    </row>
    <row r="237" spans="1:10" ht="15" thickBot="1" x14ac:dyDescent="0.35">
      <c r="A237" s="128">
        <v>8402</v>
      </c>
      <c r="B237" s="129" t="s">
        <v>251</v>
      </c>
      <c r="C237" s="130">
        <v>15</v>
      </c>
      <c r="D237" s="130">
        <v>0</v>
      </c>
      <c r="E237" s="131" t="s">
        <v>284</v>
      </c>
      <c r="F237" s="132" t="s">
        <v>50</v>
      </c>
      <c r="G237" s="133" t="s">
        <v>50</v>
      </c>
      <c r="H237" s="134">
        <v>0.02</v>
      </c>
      <c r="I237" s="138">
        <v>-79</v>
      </c>
      <c r="J237" s="135" t="s">
        <v>50</v>
      </c>
    </row>
    <row r="238" spans="1:10" ht="15" thickBot="1" x14ac:dyDescent="0.35">
      <c r="A238" s="128">
        <v>8410</v>
      </c>
      <c r="B238" s="129" t="s">
        <v>252</v>
      </c>
      <c r="C238" s="130">
        <v>9</v>
      </c>
      <c r="D238" s="130">
        <v>0</v>
      </c>
      <c r="E238" s="131" t="s">
        <v>284</v>
      </c>
      <c r="F238" s="132" t="s">
        <v>50</v>
      </c>
      <c r="G238" s="133" t="s">
        <v>50</v>
      </c>
      <c r="H238" s="134">
        <v>0.2</v>
      </c>
      <c r="I238" s="138">
        <v>-42</v>
      </c>
      <c r="J238" s="135" t="s">
        <v>50</v>
      </c>
    </row>
    <row r="239" spans="1:10" ht="15" thickBot="1" x14ac:dyDescent="0.35">
      <c r="A239" s="128">
        <v>8449</v>
      </c>
      <c r="B239" s="129" t="s">
        <v>254</v>
      </c>
      <c r="C239" s="130">
        <v>6</v>
      </c>
      <c r="D239" s="130">
        <v>0</v>
      </c>
      <c r="E239" s="131" t="s">
        <v>284</v>
      </c>
      <c r="F239" s="132" t="s">
        <v>50</v>
      </c>
      <c r="G239" s="133" t="s">
        <v>50</v>
      </c>
      <c r="H239" s="134">
        <v>0.01</v>
      </c>
      <c r="I239" s="138">
        <v>-83</v>
      </c>
      <c r="J239" s="135" t="s">
        <v>50</v>
      </c>
    </row>
    <row r="240" spans="1:10" x14ac:dyDescent="0.3">
      <c r="A240" s="128">
        <v>8401</v>
      </c>
      <c r="B240" s="129" t="s">
        <v>256</v>
      </c>
      <c r="C240" s="130">
        <v>1</v>
      </c>
      <c r="D240" s="130">
        <v>0</v>
      </c>
      <c r="E240" s="131" t="s">
        <v>284</v>
      </c>
      <c r="F240" s="132" t="s">
        <v>50</v>
      </c>
      <c r="G240" s="133" t="s">
        <v>50</v>
      </c>
      <c r="H240" s="134">
        <v>0</v>
      </c>
      <c r="I240" s="141" t="s">
        <v>50</v>
      </c>
      <c r="J240" s="135" t="s">
        <v>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5"/>
  <sheetViews>
    <sheetView workbookViewId="0">
      <selection activeCell="C14" sqref="C14"/>
    </sheetView>
  </sheetViews>
  <sheetFormatPr defaultRowHeight="14.4" x14ac:dyDescent="0.3"/>
  <cols>
    <col min="1" max="1" width="12.21875" style="2" customWidth="1"/>
    <col min="2" max="2" width="22.109375" style="56" customWidth="1"/>
    <col min="3" max="3" width="32.77734375" style="3" customWidth="1"/>
    <col min="4" max="4" width="15.5546875" style="4" customWidth="1"/>
    <col min="5" max="5" width="10.44140625" style="6" customWidth="1"/>
    <col min="6" max="6" width="11.6640625" style="7" customWidth="1"/>
    <col min="7" max="7" width="10.44140625" style="6" customWidth="1"/>
    <col min="8" max="8" width="30.44140625" style="3" customWidth="1"/>
    <col min="9" max="9" width="41.44140625" style="4" customWidth="1"/>
    <col min="10" max="10" width="39.21875" style="3" customWidth="1"/>
  </cols>
  <sheetData>
    <row r="1" spans="1:10" x14ac:dyDescent="0.3">
      <c r="A1" s="26" t="s">
        <v>280</v>
      </c>
      <c r="B1" s="57" t="s">
        <v>272</v>
      </c>
      <c r="C1" s="27" t="s">
        <v>281</v>
      </c>
      <c r="D1" s="28" t="s">
        <v>282</v>
      </c>
      <c r="E1" s="29" t="s">
        <v>283</v>
      </c>
      <c r="F1" s="30" t="s">
        <v>463</v>
      </c>
      <c r="G1" s="31" t="s">
        <v>588</v>
      </c>
      <c r="H1" s="27" t="s">
        <v>278</v>
      </c>
      <c r="I1" s="28" t="s">
        <v>279</v>
      </c>
      <c r="J1" s="32" t="s">
        <v>49</v>
      </c>
    </row>
    <row r="2" spans="1:10" x14ac:dyDescent="0.3">
      <c r="A2" s="33">
        <v>8517</v>
      </c>
      <c r="B2" s="58" t="s">
        <v>14</v>
      </c>
      <c r="C2" s="34">
        <v>306416</v>
      </c>
      <c r="D2" s="35">
        <v>711590</v>
      </c>
      <c r="E2" s="36" t="s">
        <v>283</v>
      </c>
      <c r="F2" s="37" t="s">
        <v>465</v>
      </c>
      <c r="G2" s="38" t="s">
        <v>283</v>
      </c>
      <c r="H2" s="39">
        <v>0.91</v>
      </c>
      <c r="I2" s="35">
        <v>10</v>
      </c>
      <c r="J2" s="40" t="s">
        <v>50</v>
      </c>
    </row>
    <row r="3" spans="1:10" x14ac:dyDescent="0.3">
      <c r="A3" s="20">
        <v>8544</v>
      </c>
      <c r="B3" s="54" t="s">
        <v>12</v>
      </c>
      <c r="C3" s="24">
        <v>46314</v>
      </c>
      <c r="D3" s="22">
        <v>527861000</v>
      </c>
      <c r="E3" s="41" t="s">
        <v>285</v>
      </c>
      <c r="F3" s="37" t="s">
        <v>466</v>
      </c>
      <c r="G3" s="38" t="s">
        <v>467</v>
      </c>
      <c r="H3" s="24">
        <v>1.68</v>
      </c>
      <c r="I3" s="22">
        <v>8</v>
      </c>
      <c r="J3" s="42" t="s">
        <v>50</v>
      </c>
    </row>
    <row r="4" spans="1:10" x14ac:dyDescent="0.3">
      <c r="A4" s="33">
        <v>8504</v>
      </c>
      <c r="B4" s="58" t="s">
        <v>3</v>
      </c>
      <c r="C4" s="34">
        <v>35036</v>
      </c>
      <c r="D4" s="35">
        <v>0</v>
      </c>
      <c r="E4" s="36" t="s">
        <v>287</v>
      </c>
      <c r="F4" s="37" t="s">
        <v>464</v>
      </c>
      <c r="G4" s="38" t="s">
        <v>464</v>
      </c>
      <c r="H4" s="34">
        <v>1.1200000000000001</v>
      </c>
      <c r="I4" s="35">
        <v>33</v>
      </c>
      <c r="J4" s="40" t="s">
        <v>50</v>
      </c>
    </row>
    <row r="5" spans="1:10" x14ac:dyDescent="0.3">
      <c r="A5" s="20">
        <v>8511</v>
      </c>
      <c r="B5" s="54" t="s">
        <v>7</v>
      </c>
      <c r="C5" s="24">
        <v>34910</v>
      </c>
      <c r="D5" s="22">
        <v>0</v>
      </c>
      <c r="E5" s="41" t="s">
        <v>287</v>
      </c>
      <c r="F5" s="37" t="s">
        <v>464</v>
      </c>
      <c r="G5" s="38" t="s">
        <v>464</v>
      </c>
      <c r="H5" s="24">
        <v>7.29</v>
      </c>
      <c r="I5" s="22">
        <v>32</v>
      </c>
      <c r="J5" s="42" t="s">
        <v>50</v>
      </c>
    </row>
    <row r="6" spans="1:10" x14ac:dyDescent="0.3">
      <c r="A6" s="33">
        <v>8507</v>
      </c>
      <c r="B6" s="58" t="s">
        <v>8</v>
      </c>
      <c r="C6" s="34">
        <v>26265</v>
      </c>
      <c r="D6" s="35">
        <v>53033</v>
      </c>
      <c r="E6" s="36" t="s">
        <v>283</v>
      </c>
      <c r="F6" s="37" t="s">
        <v>468</v>
      </c>
      <c r="G6" s="38" t="s">
        <v>283</v>
      </c>
      <c r="H6" s="34">
        <v>3.62</v>
      </c>
      <c r="I6" s="35">
        <v>40</v>
      </c>
      <c r="J6" s="40" t="s">
        <v>50</v>
      </c>
    </row>
    <row r="7" spans="1:10" x14ac:dyDescent="0.3">
      <c r="A7" s="20">
        <v>8527</v>
      </c>
      <c r="B7" s="54" t="s">
        <v>36</v>
      </c>
      <c r="C7" s="24">
        <v>21749</v>
      </c>
      <c r="D7" s="22">
        <v>156753</v>
      </c>
      <c r="E7" s="41" t="s">
        <v>283</v>
      </c>
      <c r="F7" s="37" t="s">
        <v>469</v>
      </c>
      <c r="G7" s="38" t="s">
        <v>283</v>
      </c>
      <c r="H7" s="24">
        <v>72.03</v>
      </c>
      <c r="I7" s="22">
        <v>343</v>
      </c>
      <c r="J7" s="42" t="s">
        <v>50</v>
      </c>
    </row>
    <row r="8" spans="1:10" x14ac:dyDescent="0.3">
      <c r="A8" s="33">
        <v>8525</v>
      </c>
      <c r="B8" s="58" t="s">
        <v>10</v>
      </c>
      <c r="C8" s="34">
        <v>20424</v>
      </c>
      <c r="D8" s="35">
        <v>201240</v>
      </c>
      <c r="E8" s="36" t="s">
        <v>283</v>
      </c>
      <c r="F8" s="37" t="s">
        <v>470</v>
      </c>
      <c r="G8" s="38" t="s">
        <v>283</v>
      </c>
      <c r="H8" s="34">
        <v>10.66</v>
      </c>
      <c r="I8" s="35">
        <v>148</v>
      </c>
      <c r="J8" s="40" t="s">
        <v>50</v>
      </c>
    </row>
    <row r="9" spans="1:10" x14ac:dyDescent="0.3">
      <c r="A9" s="20">
        <v>8545</v>
      </c>
      <c r="B9" s="54" t="s">
        <v>28</v>
      </c>
      <c r="C9" s="24">
        <v>18855</v>
      </c>
      <c r="D9" s="22">
        <v>5648</v>
      </c>
      <c r="E9" s="41" t="s">
        <v>284</v>
      </c>
      <c r="F9" s="37" t="s">
        <v>471</v>
      </c>
      <c r="G9" s="38" t="s">
        <v>284</v>
      </c>
      <c r="H9" s="24">
        <v>7.07</v>
      </c>
      <c r="I9" s="22">
        <v>34</v>
      </c>
      <c r="J9" s="5">
        <v>50</v>
      </c>
    </row>
    <row r="10" spans="1:10" x14ac:dyDescent="0.3">
      <c r="A10" s="33">
        <v>8537</v>
      </c>
      <c r="B10" s="58" t="s">
        <v>4</v>
      </c>
      <c r="C10" s="34">
        <v>15173</v>
      </c>
      <c r="D10" s="35">
        <v>144</v>
      </c>
      <c r="E10" s="36" t="s">
        <v>284</v>
      </c>
      <c r="F10" s="37" t="s">
        <v>472</v>
      </c>
      <c r="G10" s="38" t="s">
        <v>284</v>
      </c>
      <c r="H10" s="34">
        <v>1.44</v>
      </c>
      <c r="I10" s="43">
        <v>-10</v>
      </c>
      <c r="J10" s="44">
        <v>-7</v>
      </c>
    </row>
    <row r="11" spans="1:10" x14ac:dyDescent="0.3">
      <c r="A11" s="20">
        <v>8536</v>
      </c>
      <c r="B11" s="54" t="s">
        <v>1</v>
      </c>
      <c r="C11" s="24">
        <v>10015</v>
      </c>
      <c r="D11" s="22">
        <v>0</v>
      </c>
      <c r="E11" s="41" t="s">
        <v>288</v>
      </c>
      <c r="F11" s="37" t="s">
        <v>464</v>
      </c>
      <c r="G11" s="38" t="s">
        <v>464</v>
      </c>
      <c r="H11" s="24">
        <v>0.68</v>
      </c>
      <c r="I11" s="23">
        <v>-2</v>
      </c>
      <c r="J11" s="42" t="s">
        <v>50</v>
      </c>
    </row>
    <row r="12" spans="1:10" x14ac:dyDescent="0.3">
      <c r="A12" s="33">
        <v>8501</v>
      </c>
      <c r="B12" s="58" t="s">
        <v>9</v>
      </c>
      <c r="C12" s="34">
        <v>7953</v>
      </c>
      <c r="D12" s="35">
        <v>0</v>
      </c>
      <c r="E12" s="36" t="s">
        <v>288</v>
      </c>
      <c r="F12" s="37" t="s">
        <v>464</v>
      </c>
      <c r="G12" s="38" t="s">
        <v>464</v>
      </c>
      <c r="H12" s="34">
        <v>0.9</v>
      </c>
      <c r="I12" s="35">
        <v>5</v>
      </c>
      <c r="J12" s="40" t="s">
        <v>50</v>
      </c>
    </row>
    <row r="13" spans="1:10" x14ac:dyDescent="0.3">
      <c r="A13" s="20">
        <v>8512</v>
      </c>
      <c r="B13" s="54" t="s">
        <v>18</v>
      </c>
      <c r="C13" s="24">
        <v>7062</v>
      </c>
      <c r="D13" s="22">
        <v>0</v>
      </c>
      <c r="E13" s="41" t="s">
        <v>287</v>
      </c>
      <c r="F13" s="37" t="s">
        <v>464</v>
      </c>
      <c r="G13" s="38" t="s">
        <v>464</v>
      </c>
      <c r="H13" s="24">
        <v>2.36</v>
      </c>
      <c r="I13" s="23">
        <v>-4</v>
      </c>
      <c r="J13" s="42" t="s">
        <v>50</v>
      </c>
    </row>
    <row r="14" spans="1:10" x14ac:dyDescent="0.3">
      <c r="A14" s="33">
        <v>8503</v>
      </c>
      <c r="B14" s="58" t="s">
        <v>20</v>
      </c>
      <c r="C14" s="34">
        <v>4471</v>
      </c>
      <c r="D14" s="35">
        <v>294294</v>
      </c>
      <c r="E14" s="36" t="s">
        <v>283</v>
      </c>
      <c r="F14" s="37" t="s">
        <v>473</v>
      </c>
      <c r="G14" s="38" t="s">
        <v>283</v>
      </c>
      <c r="H14" s="34">
        <v>0.32</v>
      </c>
      <c r="I14" s="35">
        <v>0</v>
      </c>
      <c r="J14" s="40" t="s">
        <v>50</v>
      </c>
    </row>
    <row r="15" spans="1:10" x14ac:dyDescent="0.3">
      <c r="A15" s="20">
        <v>8538</v>
      </c>
      <c r="B15" s="54" t="s">
        <v>11</v>
      </c>
      <c r="C15" s="24">
        <v>3791</v>
      </c>
      <c r="D15" s="22">
        <v>0</v>
      </c>
      <c r="E15" s="41" t="s">
        <v>288</v>
      </c>
      <c r="F15" s="37" t="s">
        <v>464</v>
      </c>
      <c r="G15" s="38" t="s">
        <v>464</v>
      </c>
      <c r="H15" s="24">
        <v>0.24</v>
      </c>
      <c r="I15" s="23">
        <v>-8</v>
      </c>
      <c r="J15" s="42" t="s">
        <v>50</v>
      </c>
    </row>
    <row r="16" spans="1:10" x14ac:dyDescent="0.3">
      <c r="A16" s="33">
        <v>8502</v>
      </c>
      <c r="B16" s="58" t="s">
        <v>39</v>
      </c>
      <c r="C16" s="34">
        <v>2504</v>
      </c>
      <c r="D16" s="35">
        <v>0</v>
      </c>
      <c r="E16" s="36" t="s">
        <v>288</v>
      </c>
      <c r="F16" s="37" t="s">
        <v>464</v>
      </c>
      <c r="G16" s="38" t="s">
        <v>464</v>
      </c>
      <c r="H16" s="34">
        <v>0.32</v>
      </c>
      <c r="I16" s="35">
        <v>12</v>
      </c>
      <c r="J16" s="40" t="s">
        <v>50</v>
      </c>
    </row>
    <row r="17" spans="1:10" x14ac:dyDescent="0.3">
      <c r="A17" s="20">
        <v>8542</v>
      </c>
      <c r="B17" s="54" t="s">
        <v>0</v>
      </c>
      <c r="C17" s="24">
        <v>2410</v>
      </c>
      <c r="D17" s="22">
        <v>0</v>
      </c>
      <c r="E17" s="41" t="s">
        <v>288</v>
      </c>
      <c r="F17" s="37" t="s">
        <v>464</v>
      </c>
      <c r="G17" s="38" t="s">
        <v>464</v>
      </c>
      <c r="H17" s="24">
        <v>0.99</v>
      </c>
      <c r="I17" s="22">
        <v>25</v>
      </c>
      <c r="J17" s="42" t="s">
        <v>50</v>
      </c>
    </row>
    <row r="18" spans="1:10" x14ac:dyDescent="0.3">
      <c r="A18" s="33">
        <v>8546</v>
      </c>
      <c r="B18" s="58" t="s">
        <v>34</v>
      </c>
      <c r="C18" s="34">
        <v>1743</v>
      </c>
      <c r="D18" s="35">
        <v>65</v>
      </c>
      <c r="E18" s="36" t="s">
        <v>284</v>
      </c>
      <c r="F18" s="37" t="s">
        <v>474</v>
      </c>
      <c r="G18" s="38" t="s">
        <v>284</v>
      </c>
      <c r="H18" s="34">
        <v>0.91</v>
      </c>
      <c r="I18" s="35">
        <v>0</v>
      </c>
      <c r="J18" s="45">
        <v>1</v>
      </c>
    </row>
    <row r="19" spans="1:10" x14ac:dyDescent="0.3">
      <c r="A19" s="20">
        <v>8541</v>
      </c>
      <c r="B19" s="54" t="s">
        <v>2</v>
      </c>
      <c r="C19" s="24">
        <v>1227</v>
      </c>
      <c r="D19" s="22">
        <v>0</v>
      </c>
      <c r="E19" s="41" t="s">
        <v>288</v>
      </c>
      <c r="F19" s="37" t="s">
        <v>464</v>
      </c>
      <c r="G19" s="38" t="s">
        <v>464</v>
      </c>
      <c r="H19" s="24">
        <v>0.09</v>
      </c>
      <c r="I19" s="22">
        <v>44</v>
      </c>
      <c r="J19" s="42" t="s">
        <v>50</v>
      </c>
    </row>
    <row r="20" spans="1:10" x14ac:dyDescent="0.3">
      <c r="A20" s="33">
        <v>8523</v>
      </c>
      <c r="B20" s="58" t="s">
        <v>19</v>
      </c>
      <c r="C20" s="34">
        <v>1007</v>
      </c>
      <c r="D20" s="35">
        <v>0</v>
      </c>
      <c r="E20" s="36" t="s">
        <v>288</v>
      </c>
      <c r="F20" s="37" t="s">
        <v>464</v>
      </c>
      <c r="G20" s="38" t="s">
        <v>464</v>
      </c>
      <c r="H20" s="34">
        <v>0.56000000000000005</v>
      </c>
      <c r="I20" s="35">
        <v>29</v>
      </c>
      <c r="J20" s="40" t="s">
        <v>50</v>
      </c>
    </row>
    <row r="21" spans="1:10" x14ac:dyDescent="0.3">
      <c r="A21" s="20">
        <v>8543</v>
      </c>
      <c r="B21" s="54" t="s">
        <v>16</v>
      </c>
      <c r="C21" s="24">
        <v>802</v>
      </c>
      <c r="D21" s="22">
        <v>0</v>
      </c>
      <c r="E21" s="41" t="s">
        <v>288</v>
      </c>
      <c r="F21" s="37" t="s">
        <v>464</v>
      </c>
      <c r="G21" s="38" t="s">
        <v>464</v>
      </c>
      <c r="H21" s="24">
        <v>0.3</v>
      </c>
      <c r="I21" s="22">
        <v>7</v>
      </c>
      <c r="J21" s="42" t="s">
        <v>50</v>
      </c>
    </row>
    <row r="22" spans="1:10" x14ac:dyDescent="0.3">
      <c r="A22" s="33">
        <v>8533</v>
      </c>
      <c r="B22" s="58" t="s">
        <v>17</v>
      </c>
      <c r="C22" s="34">
        <v>713</v>
      </c>
      <c r="D22" s="35">
        <v>0</v>
      </c>
      <c r="E22" s="36" t="s">
        <v>288</v>
      </c>
      <c r="F22" s="37" t="s">
        <v>464</v>
      </c>
      <c r="G22" s="38" t="s">
        <v>464</v>
      </c>
      <c r="H22" s="34">
        <v>1.23</v>
      </c>
      <c r="I22" s="35">
        <v>12</v>
      </c>
      <c r="J22" s="40" t="s">
        <v>50</v>
      </c>
    </row>
    <row r="23" spans="1:10" x14ac:dyDescent="0.3">
      <c r="A23" s="20">
        <v>8505</v>
      </c>
      <c r="B23" s="54" t="s">
        <v>21</v>
      </c>
      <c r="C23" s="24">
        <v>628</v>
      </c>
      <c r="D23" s="22">
        <v>24</v>
      </c>
      <c r="E23" s="41" t="s">
        <v>284</v>
      </c>
      <c r="F23" s="37" t="s">
        <v>475</v>
      </c>
      <c r="G23" s="38" t="s">
        <v>284</v>
      </c>
      <c r="H23" s="24">
        <v>1.04</v>
      </c>
      <c r="I23" s="22">
        <v>13</v>
      </c>
      <c r="J23" s="5">
        <v>14</v>
      </c>
    </row>
    <row r="24" spans="1:10" x14ac:dyDescent="0.3">
      <c r="A24" s="33">
        <v>8518</v>
      </c>
      <c r="B24" s="58" t="s">
        <v>31</v>
      </c>
      <c r="C24" s="34">
        <v>539</v>
      </c>
      <c r="D24" s="35">
        <v>0</v>
      </c>
      <c r="E24" s="36" t="s">
        <v>288</v>
      </c>
      <c r="F24" s="37" t="s">
        <v>464</v>
      </c>
      <c r="G24" s="38" t="s">
        <v>464</v>
      </c>
      <c r="H24" s="34">
        <v>0.24</v>
      </c>
      <c r="I24" s="35">
        <v>6</v>
      </c>
      <c r="J24" s="40" t="s">
        <v>50</v>
      </c>
    </row>
    <row r="25" spans="1:10" x14ac:dyDescent="0.3">
      <c r="A25" s="20">
        <v>8548</v>
      </c>
      <c r="B25" s="54" t="s">
        <v>45</v>
      </c>
      <c r="C25" s="24">
        <v>512</v>
      </c>
      <c r="D25" s="22">
        <v>0</v>
      </c>
      <c r="E25" s="41" t="s">
        <v>288</v>
      </c>
      <c r="F25" s="37" t="s">
        <v>464</v>
      </c>
      <c r="G25" s="38" t="s">
        <v>464</v>
      </c>
      <c r="H25" s="24">
        <v>18.329999999999998</v>
      </c>
      <c r="I25" s="22">
        <v>170</v>
      </c>
      <c r="J25" s="42" t="s">
        <v>50</v>
      </c>
    </row>
    <row r="26" spans="1:10" x14ac:dyDescent="0.3">
      <c r="A26" s="33">
        <v>8528</v>
      </c>
      <c r="B26" s="58" t="s">
        <v>29</v>
      </c>
      <c r="C26" s="34">
        <v>491</v>
      </c>
      <c r="D26" s="35">
        <v>0</v>
      </c>
      <c r="E26" s="36" t="s">
        <v>288</v>
      </c>
      <c r="F26" s="37" t="s">
        <v>464</v>
      </c>
      <c r="G26" s="38" t="s">
        <v>464</v>
      </c>
      <c r="H26" s="34">
        <v>0.27</v>
      </c>
      <c r="I26" s="35">
        <v>46</v>
      </c>
      <c r="J26" s="40" t="s">
        <v>50</v>
      </c>
    </row>
    <row r="27" spans="1:10" x14ac:dyDescent="0.3">
      <c r="A27" s="20">
        <v>8516</v>
      </c>
      <c r="B27" s="54" t="s">
        <v>27</v>
      </c>
      <c r="C27" s="24">
        <v>372</v>
      </c>
      <c r="D27" s="22">
        <v>0</v>
      </c>
      <c r="E27" s="41" t="s">
        <v>288</v>
      </c>
      <c r="F27" s="37" t="s">
        <v>464</v>
      </c>
      <c r="G27" s="38" t="s">
        <v>464</v>
      </c>
      <c r="H27" s="24">
        <v>0.24</v>
      </c>
      <c r="I27" s="23">
        <v>-34</v>
      </c>
      <c r="J27" s="42" t="s">
        <v>50</v>
      </c>
    </row>
    <row r="28" spans="1:10" x14ac:dyDescent="0.3">
      <c r="A28" s="33">
        <v>8534</v>
      </c>
      <c r="B28" s="58" t="s">
        <v>23</v>
      </c>
      <c r="C28" s="34">
        <v>306</v>
      </c>
      <c r="D28" s="35">
        <v>0</v>
      </c>
      <c r="E28" s="36" t="s">
        <v>288</v>
      </c>
      <c r="F28" s="37" t="s">
        <v>464</v>
      </c>
      <c r="G28" s="38" t="s">
        <v>464</v>
      </c>
      <c r="H28" s="34">
        <v>0.18</v>
      </c>
      <c r="I28" s="35">
        <v>13</v>
      </c>
      <c r="J28" s="40" t="s">
        <v>50</v>
      </c>
    </row>
    <row r="29" spans="1:10" x14ac:dyDescent="0.3">
      <c r="A29" s="20">
        <v>8514</v>
      </c>
      <c r="B29" s="54" t="s">
        <v>24</v>
      </c>
      <c r="C29" s="24">
        <v>303</v>
      </c>
      <c r="D29" s="22">
        <v>0</v>
      </c>
      <c r="E29" s="41" t="s">
        <v>288</v>
      </c>
      <c r="F29" s="37" t="s">
        <v>464</v>
      </c>
      <c r="G29" s="38" t="s">
        <v>464</v>
      </c>
      <c r="H29" s="24">
        <v>0.22</v>
      </c>
      <c r="I29" s="22">
        <v>3</v>
      </c>
      <c r="J29" s="42" t="s">
        <v>50</v>
      </c>
    </row>
    <row r="30" spans="1:10" x14ac:dyDescent="0.3">
      <c r="A30" s="33">
        <v>8532</v>
      </c>
      <c r="B30" s="58" t="s">
        <v>6</v>
      </c>
      <c r="C30" s="34">
        <v>244</v>
      </c>
      <c r="D30" s="35">
        <v>0</v>
      </c>
      <c r="E30" s="36" t="s">
        <v>288</v>
      </c>
      <c r="F30" s="37" t="s">
        <v>464</v>
      </c>
      <c r="G30" s="38" t="s">
        <v>464</v>
      </c>
      <c r="H30" s="34">
        <v>0.16</v>
      </c>
      <c r="I30" s="43">
        <v>-5</v>
      </c>
      <c r="J30" s="40" t="s">
        <v>50</v>
      </c>
    </row>
    <row r="31" spans="1:10" x14ac:dyDescent="0.3">
      <c r="A31" s="20">
        <v>8531</v>
      </c>
      <c r="B31" s="54" t="s">
        <v>33</v>
      </c>
      <c r="C31" s="24">
        <v>208</v>
      </c>
      <c r="D31" s="22">
        <v>0</v>
      </c>
      <c r="E31" s="41" t="s">
        <v>288</v>
      </c>
      <c r="F31" s="37" t="s">
        <v>464</v>
      </c>
      <c r="G31" s="38" t="s">
        <v>464</v>
      </c>
      <c r="H31" s="24">
        <v>0.24</v>
      </c>
      <c r="I31" s="22">
        <v>106</v>
      </c>
      <c r="J31" s="42" t="s">
        <v>50</v>
      </c>
    </row>
    <row r="32" spans="1:10" x14ac:dyDescent="0.3">
      <c r="A32" s="33">
        <v>8540</v>
      </c>
      <c r="B32" s="58" t="s">
        <v>26</v>
      </c>
      <c r="C32" s="34">
        <v>199</v>
      </c>
      <c r="D32" s="35">
        <v>0</v>
      </c>
      <c r="E32" s="36" t="s">
        <v>287</v>
      </c>
      <c r="F32" s="37" t="s">
        <v>464</v>
      </c>
      <c r="G32" s="38" t="s">
        <v>464</v>
      </c>
      <c r="H32" s="34">
        <v>2.2000000000000002</v>
      </c>
      <c r="I32" s="35">
        <v>22</v>
      </c>
      <c r="J32" s="40" t="s">
        <v>50</v>
      </c>
    </row>
    <row r="33" spans="1:10" x14ac:dyDescent="0.3">
      <c r="A33" s="20">
        <v>8515</v>
      </c>
      <c r="B33" s="54" t="s">
        <v>5</v>
      </c>
      <c r="C33" s="24">
        <v>193</v>
      </c>
      <c r="D33" s="22">
        <v>0</v>
      </c>
      <c r="E33" s="41" t="s">
        <v>288</v>
      </c>
      <c r="F33" s="37" t="s">
        <v>464</v>
      </c>
      <c r="G33" s="38" t="s">
        <v>464</v>
      </c>
      <c r="H33" s="24">
        <v>0.21</v>
      </c>
      <c r="I33" s="23">
        <v>-21</v>
      </c>
      <c r="J33" s="42" t="s">
        <v>50</v>
      </c>
    </row>
    <row r="34" spans="1:10" x14ac:dyDescent="0.3">
      <c r="A34" s="33">
        <v>8530</v>
      </c>
      <c r="B34" s="58" t="s">
        <v>30</v>
      </c>
      <c r="C34" s="34">
        <v>145</v>
      </c>
      <c r="D34" s="35">
        <v>0</v>
      </c>
      <c r="E34" s="36" t="s">
        <v>288</v>
      </c>
      <c r="F34" s="37" t="s">
        <v>464</v>
      </c>
      <c r="G34" s="38" t="s">
        <v>464</v>
      </c>
      <c r="H34" s="34">
        <v>0.46</v>
      </c>
      <c r="I34" s="43">
        <v>-38</v>
      </c>
      <c r="J34" s="40" t="s">
        <v>50</v>
      </c>
    </row>
    <row r="35" spans="1:10" x14ac:dyDescent="0.3">
      <c r="A35" s="20">
        <v>8529</v>
      </c>
      <c r="B35" s="54" t="s">
        <v>25</v>
      </c>
      <c r="C35" s="24">
        <v>82</v>
      </c>
      <c r="D35" s="22">
        <v>0</v>
      </c>
      <c r="E35" s="41" t="s">
        <v>288</v>
      </c>
      <c r="F35" s="37" t="s">
        <v>464</v>
      </c>
      <c r="G35" s="38" t="s">
        <v>464</v>
      </c>
      <c r="H35" s="24">
        <v>0.24</v>
      </c>
      <c r="I35" s="23">
        <v>-60</v>
      </c>
      <c r="J35" s="42" t="s">
        <v>50</v>
      </c>
    </row>
    <row r="36" spans="1:10" x14ac:dyDescent="0.3">
      <c r="A36" s="33">
        <v>8526</v>
      </c>
      <c r="B36" s="58" t="s">
        <v>37</v>
      </c>
      <c r="C36" s="34">
        <v>61</v>
      </c>
      <c r="D36" s="35">
        <v>0</v>
      </c>
      <c r="E36" s="36" t="s">
        <v>288</v>
      </c>
      <c r="F36" s="37" t="s">
        <v>464</v>
      </c>
      <c r="G36" s="38" t="s">
        <v>464</v>
      </c>
      <c r="H36" s="34">
        <v>0.04</v>
      </c>
      <c r="I36" s="43">
        <v>-9</v>
      </c>
      <c r="J36" s="40" t="s">
        <v>50</v>
      </c>
    </row>
    <row r="37" spans="1:10" x14ac:dyDescent="0.3">
      <c r="A37" s="20">
        <v>8535</v>
      </c>
      <c r="B37" s="54" t="s">
        <v>35</v>
      </c>
      <c r="C37" s="24">
        <v>53</v>
      </c>
      <c r="D37" s="22">
        <v>0</v>
      </c>
      <c r="E37" s="41" t="s">
        <v>288</v>
      </c>
      <c r="F37" s="37" t="s">
        <v>464</v>
      </c>
      <c r="G37" s="38" t="s">
        <v>464</v>
      </c>
      <c r="H37" s="24">
        <v>0.02</v>
      </c>
      <c r="I37" s="23">
        <v>-72</v>
      </c>
      <c r="J37" s="42" t="s">
        <v>50</v>
      </c>
    </row>
    <row r="38" spans="1:10" x14ac:dyDescent="0.3">
      <c r="A38" s="33">
        <v>8547</v>
      </c>
      <c r="B38" s="58" t="s">
        <v>15</v>
      </c>
      <c r="C38" s="34">
        <v>48</v>
      </c>
      <c r="D38" s="35">
        <v>5</v>
      </c>
      <c r="E38" s="36" t="s">
        <v>284</v>
      </c>
      <c r="F38" s="37" t="s">
        <v>476</v>
      </c>
      <c r="G38" s="38" t="s">
        <v>284</v>
      </c>
      <c r="H38" s="34">
        <v>7.0000000000000007E-2</v>
      </c>
      <c r="I38" s="35">
        <v>17</v>
      </c>
      <c r="J38" s="45">
        <v>20</v>
      </c>
    </row>
    <row r="39" spans="1:10" x14ac:dyDescent="0.3">
      <c r="A39" s="20">
        <v>8539</v>
      </c>
      <c r="B39" s="54" t="s">
        <v>22</v>
      </c>
      <c r="C39" s="24">
        <v>41</v>
      </c>
      <c r="D39" s="22">
        <v>0</v>
      </c>
      <c r="E39" s="41" t="s">
        <v>288</v>
      </c>
      <c r="F39" s="37" t="s">
        <v>464</v>
      </c>
      <c r="G39" s="38" t="s">
        <v>464</v>
      </c>
      <c r="H39" s="24">
        <v>0.09</v>
      </c>
      <c r="I39" s="23">
        <v>-20</v>
      </c>
      <c r="J39" s="42" t="s">
        <v>50</v>
      </c>
    </row>
    <row r="40" spans="1:10" x14ac:dyDescent="0.3">
      <c r="A40" s="33">
        <v>8508</v>
      </c>
      <c r="B40" s="58" t="s">
        <v>41</v>
      </c>
      <c r="C40" s="34">
        <v>37</v>
      </c>
      <c r="D40" s="35">
        <v>0</v>
      </c>
      <c r="E40" s="36" t="s">
        <v>288</v>
      </c>
      <c r="F40" s="37" t="s">
        <v>464</v>
      </c>
      <c r="G40" s="38" t="s">
        <v>464</v>
      </c>
      <c r="H40" s="34">
        <v>0.49</v>
      </c>
      <c r="I40" s="43">
        <v>-11</v>
      </c>
      <c r="J40" s="40" t="s">
        <v>50</v>
      </c>
    </row>
    <row r="41" spans="1:10" x14ac:dyDescent="0.3">
      <c r="A41" s="20">
        <v>8521</v>
      </c>
      <c r="B41" s="54" t="s">
        <v>38</v>
      </c>
      <c r="C41" s="24">
        <v>27</v>
      </c>
      <c r="D41" s="22">
        <v>0</v>
      </c>
      <c r="E41" s="41" t="s">
        <v>288</v>
      </c>
      <c r="F41" s="37" t="s">
        <v>464</v>
      </c>
      <c r="G41" s="38" t="s">
        <v>464</v>
      </c>
      <c r="H41" s="24">
        <v>1.07</v>
      </c>
      <c r="I41" s="23">
        <v>-13</v>
      </c>
      <c r="J41" s="42" t="s">
        <v>50</v>
      </c>
    </row>
    <row r="42" spans="1:10" x14ac:dyDescent="0.3">
      <c r="A42" s="33">
        <v>8509</v>
      </c>
      <c r="B42" s="58" t="s">
        <v>44</v>
      </c>
      <c r="C42" s="34">
        <v>25</v>
      </c>
      <c r="D42" s="35">
        <v>0</v>
      </c>
      <c r="E42" s="36" t="s">
        <v>288</v>
      </c>
      <c r="F42" s="37" t="s">
        <v>464</v>
      </c>
      <c r="G42" s="38" t="s">
        <v>464</v>
      </c>
      <c r="H42" s="34">
        <v>0.03</v>
      </c>
      <c r="I42" s="35">
        <v>44</v>
      </c>
      <c r="J42" s="40" t="s">
        <v>50</v>
      </c>
    </row>
    <row r="43" spans="1:10" x14ac:dyDescent="0.3">
      <c r="A43" s="20">
        <v>8510</v>
      </c>
      <c r="B43" s="54" t="s">
        <v>47</v>
      </c>
      <c r="C43" s="24">
        <v>9</v>
      </c>
      <c r="D43" s="22">
        <v>0</v>
      </c>
      <c r="E43" s="41" t="s">
        <v>288</v>
      </c>
      <c r="F43" s="37" t="s">
        <v>464</v>
      </c>
      <c r="G43" s="38" t="s">
        <v>464</v>
      </c>
      <c r="H43" s="24">
        <v>0.14000000000000001</v>
      </c>
      <c r="I43" s="25" t="s">
        <v>50</v>
      </c>
      <c r="J43" s="42" t="s">
        <v>50</v>
      </c>
    </row>
    <row r="44" spans="1:10" x14ac:dyDescent="0.3">
      <c r="A44" s="33">
        <v>8506</v>
      </c>
      <c r="B44" s="58" t="s">
        <v>32</v>
      </c>
      <c r="C44" s="34">
        <v>7</v>
      </c>
      <c r="D44" s="35">
        <v>2</v>
      </c>
      <c r="E44" s="36" t="s">
        <v>284</v>
      </c>
      <c r="F44" s="37" t="s">
        <v>477</v>
      </c>
      <c r="G44" s="38" t="s">
        <v>284</v>
      </c>
      <c r="H44" s="34">
        <v>0.05</v>
      </c>
      <c r="I44" s="35">
        <v>16</v>
      </c>
      <c r="J44" s="40" t="s">
        <v>50</v>
      </c>
    </row>
    <row r="45" spans="1:10" x14ac:dyDescent="0.3">
      <c r="A45" s="20">
        <v>8522</v>
      </c>
      <c r="B45" s="54" t="s">
        <v>40</v>
      </c>
      <c r="C45" s="24">
        <v>6</v>
      </c>
      <c r="D45" s="22">
        <v>0</v>
      </c>
      <c r="E45" s="41" t="s">
        <v>288</v>
      </c>
      <c r="F45" s="37" t="s">
        <v>464</v>
      </c>
      <c r="G45" s="38" t="s">
        <v>464</v>
      </c>
      <c r="H45" s="24">
        <v>0.72</v>
      </c>
      <c r="I45" s="22">
        <v>49</v>
      </c>
      <c r="J45" s="42" t="s">
        <v>50</v>
      </c>
    </row>
    <row r="46" spans="1:10" x14ac:dyDescent="0.3">
      <c r="A46" s="33">
        <v>8519</v>
      </c>
      <c r="B46" s="58" t="s">
        <v>43</v>
      </c>
      <c r="C46" s="34">
        <v>4</v>
      </c>
      <c r="D46" s="35">
        <v>0</v>
      </c>
      <c r="E46" s="36" t="s">
        <v>288</v>
      </c>
      <c r="F46" s="37" t="s">
        <v>464</v>
      </c>
      <c r="G46" s="38" t="s">
        <v>464</v>
      </c>
      <c r="H46" s="34">
        <v>0.5</v>
      </c>
      <c r="I46" s="35">
        <v>6</v>
      </c>
      <c r="J46" s="40" t="s">
        <v>50</v>
      </c>
    </row>
    <row r="47" spans="1:10" x14ac:dyDescent="0.3">
      <c r="A47" s="20">
        <v>8513</v>
      </c>
      <c r="B47" s="54" t="s">
        <v>42</v>
      </c>
      <c r="C47" s="24">
        <v>3</v>
      </c>
      <c r="D47" s="22">
        <v>1</v>
      </c>
      <c r="E47" s="41" t="s">
        <v>284</v>
      </c>
      <c r="F47" s="37" t="s">
        <v>478</v>
      </c>
      <c r="G47" s="38" t="s">
        <v>284</v>
      </c>
      <c r="H47" s="24">
        <v>0.22</v>
      </c>
      <c r="I47" s="25" t="s">
        <v>50</v>
      </c>
      <c r="J47" s="42" t="s">
        <v>50</v>
      </c>
    </row>
    <row r="48" spans="1:10" x14ac:dyDescent="0.3">
      <c r="A48" s="33">
        <v>3926</v>
      </c>
      <c r="B48" s="58" t="s">
        <v>53</v>
      </c>
      <c r="C48" s="34">
        <v>22264</v>
      </c>
      <c r="D48" s="35">
        <v>4528</v>
      </c>
      <c r="E48" s="36" t="s">
        <v>284</v>
      </c>
      <c r="F48" s="37" t="s">
        <v>479</v>
      </c>
      <c r="G48" s="38" t="s">
        <v>284</v>
      </c>
      <c r="H48" s="34">
        <v>2.5499999999999998</v>
      </c>
      <c r="I48" s="35">
        <v>34</v>
      </c>
      <c r="J48" s="45">
        <v>37</v>
      </c>
    </row>
    <row r="49" spans="1:10" x14ac:dyDescent="0.3">
      <c r="A49" s="20">
        <v>3904</v>
      </c>
      <c r="B49" s="54" t="s">
        <v>51</v>
      </c>
      <c r="C49" s="24">
        <v>16805</v>
      </c>
      <c r="D49" s="22">
        <v>839</v>
      </c>
      <c r="E49" s="41" t="s">
        <v>284</v>
      </c>
      <c r="F49" s="37" t="s">
        <v>480</v>
      </c>
      <c r="G49" s="38" t="s">
        <v>284</v>
      </c>
      <c r="H49" s="24">
        <v>5.87</v>
      </c>
      <c r="I49" s="22">
        <v>24</v>
      </c>
      <c r="J49" s="5">
        <v>13</v>
      </c>
    </row>
    <row r="50" spans="1:10" x14ac:dyDescent="0.3">
      <c r="A50" s="33">
        <v>3911</v>
      </c>
      <c r="B50" s="58" t="s">
        <v>62</v>
      </c>
      <c r="C50" s="34">
        <v>13107</v>
      </c>
      <c r="D50" s="35">
        <v>1345</v>
      </c>
      <c r="E50" s="36" t="s">
        <v>284</v>
      </c>
      <c r="F50" s="37" t="s">
        <v>481</v>
      </c>
      <c r="G50" s="38" t="s">
        <v>284</v>
      </c>
      <c r="H50" s="34">
        <v>15</v>
      </c>
      <c r="I50" s="35">
        <v>30</v>
      </c>
      <c r="J50" s="45">
        <v>28</v>
      </c>
    </row>
    <row r="51" spans="1:10" x14ac:dyDescent="0.3">
      <c r="A51" s="20">
        <v>3920</v>
      </c>
      <c r="B51" s="54" t="s">
        <v>60</v>
      </c>
      <c r="C51" s="24">
        <v>10931</v>
      </c>
      <c r="D51" s="22">
        <v>3591</v>
      </c>
      <c r="E51" s="41" t="s">
        <v>284</v>
      </c>
      <c r="F51" s="37" t="s">
        <v>482</v>
      </c>
      <c r="G51" s="38" t="s">
        <v>284</v>
      </c>
      <c r="H51" s="24">
        <v>0.84</v>
      </c>
      <c r="I51" s="22">
        <v>27</v>
      </c>
      <c r="J51" s="5">
        <v>35</v>
      </c>
    </row>
    <row r="52" spans="1:10" x14ac:dyDescent="0.3">
      <c r="A52" s="33">
        <v>3923</v>
      </c>
      <c r="B52" s="58" t="s">
        <v>65</v>
      </c>
      <c r="C52" s="34">
        <v>10076</v>
      </c>
      <c r="D52" s="35">
        <v>2579</v>
      </c>
      <c r="E52" s="36" t="s">
        <v>284</v>
      </c>
      <c r="F52" s="37" t="s">
        <v>483</v>
      </c>
      <c r="G52" s="38" t="s">
        <v>284</v>
      </c>
      <c r="H52" s="34">
        <v>0.81</v>
      </c>
      <c r="I52" s="35">
        <v>8</v>
      </c>
      <c r="J52" s="45">
        <v>18</v>
      </c>
    </row>
    <row r="53" spans="1:10" x14ac:dyDescent="0.3">
      <c r="A53" s="20">
        <v>3907</v>
      </c>
      <c r="B53" s="54" t="s">
        <v>57</v>
      </c>
      <c r="C53" s="24">
        <v>9579</v>
      </c>
      <c r="D53" s="22">
        <v>9533</v>
      </c>
      <c r="E53" s="41" t="s">
        <v>284</v>
      </c>
      <c r="F53" s="37" t="s">
        <v>484</v>
      </c>
      <c r="G53" s="38" t="s">
        <v>284</v>
      </c>
      <c r="H53" s="24">
        <v>1.18</v>
      </c>
      <c r="I53" s="23">
        <v>-3</v>
      </c>
      <c r="J53" s="46">
        <v>-2</v>
      </c>
    </row>
    <row r="54" spans="1:10" x14ac:dyDescent="0.3">
      <c r="A54" s="33">
        <v>3917</v>
      </c>
      <c r="B54" s="58" t="s">
        <v>67</v>
      </c>
      <c r="C54" s="34">
        <v>5450</v>
      </c>
      <c r="D54" s="35">
        <v>176</v>
      </c>
      <c r="E54" s="36" t="s">
        <v>284</v>
      </c>
      <c r="F54" s="37" t="s">
        <v>485</v>
      </c>
      <c r="G54" s="38" t="s">
        <v>284</v>
      </c>
      <c r="H54" s="34">
        <v>1.71</v>
      </c>
      <c r="I54" s="35">
        <v>110</v>
      </c>
      <c r="J54" s="45">
        <v>87</v>
      </c>
    </row>
    <row r="55" spans="1:10" x14ac:dyDescent="0.3">
      <c r="A55" s="20">
        <v>3908</v>
      </c>
      <c r="B55" s="54" t="s">
        <v>64</v>
      </c>
      <c r="C55" s="24">
        <v>3329</v>
      </c>
      <c r="D55" s="22">
        <v>1294</v>
      </c>
      <c r="E55" s="41" t="s">
        <v>284</v>
      </c>
      <c r="F55" s="37" t="s">
        <v>486</v>
      </c>
      <c r="G55" s="38" t="s">
        <v>284</v>
      </c>
      <c r="H55" s="24">
        <v>4.83</v>
      </c>
      <c r="I55" s="23">
        <v>-10</v>
      </c>
      <c r="J55" s="46">
        <v>-14</v>
      </c>
    </row>
    <row r="56" spans="1:10" x14ac:dyDescent="0.3">
      <c r="A56" s="33">
        <v>3914</v>
      </c>
      <c r="B56" s="58" t="s">
        <v>69</v>
      </c>
      <c r="C56" s="34">
        <v>1856</v>
      </c>
      <c r="D56" s="35">
        <v>488</v>
      </c>
      <c r="E56" s="36" t="s">
        <v>284</v>
      </c>
      <c r="F56" s="37" t="s">
        <v>487</v>
      </c>
      <c r="G56" s="38" t="s">
        <v>284</v>
      </c>
      <c r="H56" s="34">
        <v>2.0099999999999998</v>
      </c>
      <c r="I56" s="43">
        <v>-8</v>
      </c>
      <c r="J56" s="44">
        <v>-14</v>
      </c>
    </row>
    <row r="57" spans="1:10" x14ac:dyDescent="0.3">
      <c r="A57" s="20">
        <v>3903</v>
      </c>
      <c r="B57" s="54" t="s">
        <v>63</v>
      </c>
      <c r="C57" s="24">
        <v>1775</v>
      </c>
      <c r="D57" s="22">
        <v>1559</v>
      </c>
      <c r="E57" s="41" t="s">
        <v>284</v>
      </c>
      <c r="F57" s="37" t="s">
        <v>488</v>
      </c>
      <c r="G57" s="38" t="s">
        <v>284</v>
      </c>
      <c r="H57" s="24">
        <v>1.87</v>
      </c>
      <c r="I57" s="22">
        <v>178</v>
      </c>
      <c r="J57" s="5">
        <v>280</v>
      </c>
    </row>
    <row r="58" spans="1:10" x14ac:dyDescent="0.3">
      <c r="A58" s="33">
        <v>3921</v>
      </c>
      <c r="B58" s="58" t="s">
        <v>68</v>
      </c>
      <c r="C58" s="34">
        <v>737</v>
      </c>
      <c r="D58" s="35">
        <v>111</v>
      </c>
      <c r="E58" s="36" t="s">
        <v>284</v>
      </c>
      <c r="F58" s="37" t="s">
        <v>489</v>
      </c>
      <c r="G58" s="38" t="s">
        <v>284</v>
      </c>
      <c r="H58" s="34">
        <v>0.18</v>
      </c>
      <c r="I58" s="35">
        <v>37</v>
      </c>
      <c r="J58" s="45">
        <v>16</v>
      </c>
    </row>
    <row r="59" spans="1:10" x14ac:dyDescent="0.3">
      <c r="A59" s="20">
        <v>3913</v>
      </c>
      <c r="B59" s="54" t="s">
        <v>70</v>
      </c>
      <c r="C59" s="24">
        <v>734</v>
      </c>
      <c r="D59" s="22">
        <v>138</v>
      </c>
      <c r="E59" s="41" t="s">
        <v>284</v>
      </c>
      <c r="F59" s="37" t="s">
        <v>490</v>
      </c>
      <c r="G59" s="38" t="s">
        <v>284</v>
      </c>
      <c r="H59" s="24">
        <v>6.69</v>
      </c>
      <c r="I59" s="22">
        <v>37</v>
      </c>
      <c r="J59" s="5">
        <v>78</v>
      </c>
    </row>
    <row r="60" spans="1:10" x14ac:dyDescent="0.3">
      <c r="A60" s="33">
        <v>3910</v>
      </c>
      <c r="B60" s="58" t="s">
        <v>66</v>
      </c>
      <c r="C60" s="34">
        <v>642</v>
      </c>
      <c r="D60" s="35">
        <v>83</v>
      </c>
      <c r="E60" s="36" t="s">
        <v>284</v>
      </c>
      <c r="F60" s="37" t="s">
        <v>491</v>
      </c>
      <c r="G60" s="38" t="s">
        <v>284</v>
      </c>
      <c r="H60" s="34">
        <v>0.94</v>
      </c>
      <c r="I60" s="43">
        <v>-20</v>
      </c>
      <c r="J60" s="45">
        <v>23</v>
      </c>
    </row>
    <row r="61" spans="1:10" x14ac:dyDescent="0.3">
      <c r="A61" s="20">
        <v>3924</v>
      </c>
      <c r="B61" s="54" t="s">
        <v>72</v>
      </c>
      <c r="C61" s="24">
        <v>528</v>
      </c>
      <c r="D61" s="22">
        <v>220</v>
      </c>
      <c r="E61" s="41" t="s">
        <v>284</v>
      </c>
      <c r="F61" s="37" t="s">
        <v>492</v>
      </c>
      <c r="G61" s="38" t="s">
        <v>284</v>
      </c>
      <c r="H61" s="24">
        <v>0.21</v>
      </c>
      <c r="I61" s="23">
        <v>-20</v>
      </c>
      <c r="J61" s="46">
        <v>-14</v>
      </c>
    </row>
    <row r="62" spans="1:10" x14ac:dyDescent="0.3">
      <c r="A62" s="33">
        <v>3912</v>
      </c>
      <c r="B62" s="58" t="s">
        <v>56</v>
      </c>
      <c r="C62" s="34">
        <v>496</v>
      </c>
      <c r="D62" s="35">
        <v>101</v>
      </c>
      <c r="E62" s="36" t="s">
        <v>284</v>
      </c>
      <c r="F62" s="37" t="s">
        <v>493</v>
      </c>
      <c r="G62" s="38" t="s">
        <v>284</v>
      </c>
      <c r="H62" s="34">
        <v>0.24</v>
      </c>
      <c r="I62" s="43">
        <v>-1</v>
      </c>
      <c r="J62" s="45">
        <v>12</v>
      </c>
    </row>
    <row r="63" spans="1:10" x14ac:dyDescent="0.3">
      <c r="A63" s="20">
        <v>3902</v>
      </c>
      <c r="B63" s="54" t="s">
        <v>58</v>
      </c>
      <c r="C63" s="24">
        <v>412</v>
      </c>
      <c r="D63" s="22">
        <v>37</v>
      </c>
      <c r="E63" s="41" t="s">
        <v>284</v>
      </c>
      <c r="F63" s="37" t="s">
        <v>494</v>
      </c>
      <c r="G63" s="38" t="s">
        <v>284</v>
      </c>
      <c r="H63" s="24">
        <v>0.12</v>
      </c>
      <c r="I63" s="22">
        <v>5</v>
      </c>
      <c r="J63" s="46">
        <v>-26</v>
      </c>
    </row>
    <row r="64" spans="1:10" x14ac:dyDescent="0.3">
      <c r="A64" s="33">
        <v>3909</v>
      </c>
      <c r="B64" s="58" t="s">
        <v>54</v>
      </c>
      <c r="C64" s="34">
        <v>339</v>
      </c>
      <c r="D64" s="35">
        <v>93</v>
      </c>
      <c r="E64" s="36" t="s">
        <v>284</v>
      </c>
      <c r="F64" s="37" t="s">
        <v>495</v>
      </c>
      <c r="G64" s="38" t="s">
        <v>284</v>
      </c>
      <c r="H64" s="34">
        <v>0.16</v>
      </c>
      <c r="I64" s="43">
        <v>-21</v>
      </c>
      <c r="J64" s="44">
        <v>-25</v>
      </c>
    </row>
    <row r="65" spans="1:10" x14ac:dyDescent="0.3">
      <c r="A65" s="20">
        <v>3905</v>
      </c>
      <c r="B65" s="54" t="s">
        <v>61</v>
      </c>
      <c r="C65" s="24">
        <v>294</v>
      </c>
      <c r="D65" s="22">
        <v>116</v>
      </c>
      <c r="E65" s="41" t="s">
        <v>284</v>
      </c>
      <c r="F65" s="37" t="s">
        <v>496</v>
      </c>
      <c r="G65" s="38" t="s">
        <v>284</v>
      </c>
      <c r="H65" s="24">
        <v>0.53</v>
      </c>
      <c r="I65" s="22">
        <v>13</v>
      </c>
      <c r="J65" s="5">
        <v>20</v>
      </c>
    </row>
    <row r="66" spans="1:10" x14ac:dyDescent="0.3">
      <c r="A66" s="33">
        <v>3919</v>
      </c>
      <c r="B66" s="58" t="s">
        <v>59</v>
      </c>
      <c r="C66" s="34">
        <v>274</v>
      </c>
      <c r="D66" s="35">
        <v>13</v>
      </c>
      <c r="E66" s="36" t="s">
        <v>284</v>
      </c>
      <c r="F66" s="37" t="s">
        <v>497</v>
      </c>
      <c r="G66" s="38" t="s">
        <v>284</v>
      </c>
      <c r="H66" s="34">
        <v>0.14000000000000001</v>
      </c>
      <c r="I66" s="43">
        <v>-36</v>
      </c>
      <c r="J66" s="44">
        <v>-47</v>
      </c>
    </row>
    <row r="67" spans="1:10" x14ac:dyDescent="0.3">
      <c r="A67" s="20">
        <v>3906</v>
      </c>
      <c r="B67" s="54" t="s">
        <v>52</v>
      </c>
      <c r="C67" s="24">
        <v>239</v>
      </c>
      <c r="D67" s="22">
        <v>95</v>
      </c>
      <c r="E67" s="41" t="s">
        <v>284</v>
      </c>
      <c r="F67" s="37" t="s">
        <v>498</v>
      </c>
      <c r="G67" s="38" t="s">
        <v>284</v>
      </c>
      <c r="H67" s="24">
        <v>0.1</v>
      </c>
      <c r="I67" s="22">
        <v>13</v>
      </c>
      <c r="J67" s="5">
        <v>61</v>
      </c>
    </row>
    <row r="68" spans="1:10" x14ac:dyDescent="0.3">
      <c r="A68" s="33">
        <v>3916</v>
      </c>
      <c r="B68" s="58" t="s">
        <v>71</v>
      </c>
      <c r="C68" s="34">
        <v>125</v>
      </c>
      <c r="D68" s="35">
        <v>60</v>
      </c>
      <c r="E68" s="36" t="s">
        <v>284</v>
      </c>
      <c r="F68" s="37" t="s">
        <v>499</v>
      </c>
      <c r="G68" s="38" t="s">
        <v>284</v>
      </c>
      <c r="H68" s="34">
        <v>0.28000000000000003</v>
      </c>
      <c r="I68" s="35">
        <v>128</v>
      </c>
      <c r="J68" s="45">
        <v>227</v>
      </c>
    </row>
    <row r="69" spans="1:10" x14ac:dyDescent="0.3">
      <c r="A69" s="20">
        <v>3901</v>
      </c>
      <c r="B69" s="54" t="s">
        <v>55</v>
      </c>
      <c r="C69" s="24">
        <v>75</v>
      </c>
      <c r="D69" s="22">
        <v>28</v>
      </c>
      <c r="E69" s="41" t="s">
        <v>284</v>
      </c>
      <c r="F69" s="37" t="s">
        <v>500</v>
      </c>
      <c r="G69" s="38" t="s">
        <v>284</v>
      </c>
      <c r="H69" s="24">
        <v>0.02</v>
      </c>
      <c r="I69" s="22">
        <v>32</v>
      </c>
      <c r="J69" s="46">
        <v>-43</v>
      </c>
    </row>
    <row r="70" spans="1:10" x14ac:dyDescent="0.3">
      <c r="A70" s="33">
        <v>3918</v>
      </c>
      <c r="B70" s="58" t="s">
        <v>75</v>
      </c>
      <c r="C70" s="34">
        <v>8</v>
      </c>
      <c r="D70" s="35">
        <v>1</v>
      </c>
      <c r="E70" s="36" t="s">
        <v>284</v>
      </c>
      <c r="F70" s="37" t="s">
        <v>501</v>
      </c>
      <c r="G70" s="38" t="s">
        <v>284</v>
      </c>
      <c r="H70" s="34">
        <v>0.01</v>
      </c>
      <c r="I70" s="35">
        <v>32</v>
      </c>
      <c r="J70" s="40" t="s">
        <v>50</v>
      </c>
    </row>
    <row r="71" spans="1:10" x14ac:dyDescent="0.3">
      <c r="A71" s="20">
        <v>3922</v>
      </c>
      <c r="B71" s="54" t="s">
        <v>74</v>
      </c>
      <c r="C71" s="24">
        <v>1</v>
      </c>
      <c r="D71" s="22">
        <v>0</v>
      </c>
      <c r="E71" s="41" t="s">
        <v>284</v>
      </c>
      <c r="F71" s="37" t="s">
        <v>464</v>
      </c>
      <c r="G71" s="38" t="s">
        <v>464</v>
      </c>
      <c r="H71" s="24">
        <v>0.01</v>
      </c>
      <c r="I71" s="25" t="s">
        <v>50</v>
      </c>
      <c r="J71" s="42" t="s">
        <v>50</v>
      </c>
    </row>
    <row r="72" spans="1:10" x14ac:dyDescent="0.3">
      <c r="A72" s="33">
        <v>3925</v>
      </c>
      <c r="B72" s="58" t="s">
        <v>73</v>
      </c>
      <c r="C72" s="34">
        <v>1</v>
      </c>
      <c r="D72" s="35">
        <v>0</v>
      </c>
      <c r="E72" s="36" t="s">
        <v>284</v>
      </c>
      <c r="F72" s="37" t="s">
        <v>464</v>
      </c>
      <c r="G72" s="38" t="s">
        <v>464</v>
      </c>
      <c r="H72" s="34">
        <v>0</v>
      </c>
      <c r="I72" s="47" t="s">
        <v>50</v>
      </c>
      <c r="J72" s="40" t="s">
        <v>50</v>
      </c>
    </row>
    <row r="73" spans="1:10" x14ac:dyDescent="0.3">
      <c r="A73" s="20">
        <v>6802</v>
      </c>
      <c r="B73" s="54" t="s">
        <v>77</v>
      </c>
      <c r="C73" s="24">
        <v>2928</v>
      </c>
      <c r="D73" s="22">
        <v>3253</v>
      </c>
      <c r="E73" s="41" t="s">
        <v>284</v>
      </c>
      <c r="F73" s="37" t="s">
        <v>502</v>
      </c>
      <c r="G73" s="38" t="s">
        <v>284</v>
      </c>
      <c r="H73" s="24">
        <v>0.25</v>
      </c>
      <c r="I73" s="23">
        <v>-4</v>
      </c>
      <c r="J73" s="46">
        <v>-7</v>
      </c>
    </row>
    <row r="74" spans="1:10" x14ac:dyDescent="0.3">
      <c r="A74" s="33">
        <v>6814</v>
      </c>
      <c r="B74" s="58" t="s">
        <v>78</v>
      </c>
      <c r="C74" s="34">
        <v>1361</v>
      </c>
      <c r="D74" s="35">
        <v>9</v>
      </c>
      <c r="E74" s="36" t="s">
        <v>284</v>
      </c>
      <c r="F74" s="37" t="s">
        <v>503</v>
      </c>
      <c r="G74" s="38" t="s">
        <v>284</v>
      </c>
      <c r="H74" s="34">
        <v>7.39</v>
      </c>
      <c r="I74" s="43">
        <v>-5</v>
      </c>
      <c r="J74" s="44">
        <v>-31</v>
      </c>
    </row>
    <row r="75" spans="1:10" x14ac:dyDescent="0.3">
      <c r="A75" s="20">
        <v>6806</v>
      </c>
      <c r="B75" s="54" t="s">
        <v>79</v>
      </c>
      <c r="C75" s="24">
        <v>1307</v>
      </c>
      <c r="D75" s="22">
        <v>1448</v>
      </c>
      <c r="E75" s="41" t="s">
        <v>284</v>
      </c>
      <c r="F75" s="37" t="s">
        <v>504</v>
      </c>
      <c r="G75" s="38" t="s">
        <v>284</v>
      </c>
      <c r="H75" s="24">
        <v>3.46</v>
      </c>
      <c r="I75" s="22">
        <v>5</v>
      </c>
      <c r="J75" s="5">
        <v>12</v>
      </c>
    </row>
    <row r="76" spans="1:10" x14ac:dyDescent="0.3">
      <c r="A76" s="33">
        <v>6815</v>
      </c>
      <c r="B76" s="58" t="s">
        <v>80</v>
      </c>
      <c r="C76" s="34">
        <v>821</v>
      </c>
      <c r="D76" s="35">
        <v>208</v>
      </c>
      <c r="E76" s="36" t="s">
        <v>284</v>
      </c>
      <c r="F76" s="37" t="s">
        <v>505</v>
      </c>
      <c r="G76" s="38" t="s">
        <v>284</v>
      </c>
      <c r="H76" s="34">
        <v>0.61</v>
      </c>
      <c r="I76" s="43">
        <v>-35</v>
      </c>
      <c r="J76" s="44">
        <v>-19</v>
      </c>
    </row>
    <row r="77" spans="1:10" x14ac:dyDescent="0.3">
      <c r="A77" s="20">
        <v>6813</v>
      </c>
      <c r="B77" s="54" t="s">
        <v>81</v>
      </c>
      <c r="C77" s="24">
        <v>734</v>
      </c>
      <c r="D77" s="22">
        <v>101</v>
      </c>
      <c r="E77" s="41" t="s">
        <v>284</v>
      </c>
      <c r="F77" s="37" t="s">
        <v>506</v>
      </c>
      <c r="G77" s="38" t="s">
        <v>284</v>
      </c>
      <c r="H77" s="24">
        <v>0.81</v>
      </c>
      <c r="I77" s="23">
        <v>-10</v>
      </c>
      <c r="J77" s="46">
        <v>-7</v>
      </c>
    </row>
    <row r="78" spans="1:10" x14ac:dyDescent="0.3">
      <c r="A78" s="33">
        <v>6804</v>
      </c>
      <c r="B78" s="58" t="s">
        <v>82</v>
      </c>
      <c r="C78" s="34">
        <v>388</v>
      </c>
      <c r="D78" s="35">
        <v>19</v>
      </c>
      <c r="E78" s="36" t="s">
        <v>284</v>
      </c>
      <c r="F78" s="37" t="s">
        <v>507</v>
      </c>
      <c r="G78" s="38" t="s">
        <v>284</v>
      </c>
      <c r="H78" s="34">
        <v>0.55000000000000004</v>
      </c>
      <c r="I78" s="43">
        <v>-5</v>
      </c>
      <c r="J78" s="44">
        <v>-23</v>
      </c>
    </row>
    <row r="79" spans="1:10" x14ac:dyDescent="0.3">
      <c r="A79" s="20">
        <v>6803</v>
      </c>
      <c r="B79" s="54" t="s">
        <v>83</v>
      </c>
      <c r="C79" s="24">
        <v>290</v>
      </c>
      <c r="D79" s="22">
        <v>227</v>
      </c>
      <c r="E79" s="41" t="s">
        <v>284</v>
      </c>
      <c r="F79" s="37" t="s">
        <v>508</v>
      </c>
      <c r="G79" s="38" t="s">
        <v>284</v>
      </c>
      <c r="H79" s="24">
        <v>1.37</v>
      </c>
      <c r="I79" s="23">
        <v>-8</v>
      </c>
      <c r="J79" s="46">
        <v>-18</v>
      </c>
    </row>
    <row r="80" spans="1:10" x14ac:dyDescent="0.3">
      <c r="A80" s="33">
        <v>6801</v>
      </c>
      <c r="B80" s="58" t="s">
        <v>84</v>
      </c>
      <c r="C80" s="34">
        <v>189</v>
      </c>
      <c r="D80" s="35">
        <v>544</v>
      </c>
      <c r="E80" s="36" t="s">
        <v>284</v>
      </c>
      <c r="F80" s="37" t="s">
        <v>509</v>
      </c>
      <c r="G80" s="38" t="s">
        <v>284</v>
      </c>
      <c r="H80" s="34">
        <v>0.66</v>
      </c>
      <c r="I80" s="43">
        <v>-4</v>
      </c>
      <c r="J80" s="44">
        <v>-12</v>
      </c>
    </row>
    <row r="81" spans="1:10" x14ac:dyDescent="0.3">
      <c r="A81" s="20">
        <v>6805</v>
      </c>
      <c r="B81" s="54" t="s">
        <v>85</v>
      </c>
      <c r="C81" s="24">
        <v>13</v>
      </c>
      <c r="D81" s="22">
        <v>0</v>
      </c>
      <c r="E81" s="41" t="s">
        <v>284</v>
      </c>
      <c r="F81" s="37" t="s">
        <v>464</v>
      </c>
      <c r="G81" s="38" t="s">
        <v>464</v>
      </c>
      <c r="H81" s="24">
        <v>0.17</v>
      </c>
      <c r="I81" s="22">
        <v>76</v>
      </c>
      <c r="J81" s="42" t="s">
        <v>50</v>
      </c>
    </row>
    <row r="82" spans="1:10" x14ac:dyDescent="0.3">
      <c r="A82" s="33">
        <v>6808</v>
      </c>
      <c r="B82" s="58" t="s">
        <v>86</v>
      </c>
      <c r="C82" s="34">
        <v>3</v>
      </c>
      <c r="D82" s="35">
        <v>0</v>
      </c>
      <c r="E82" s="36" t="s">
        <v>284</v>
      </c>
      <c r="F82" s="37" t="s">
        <v>464</v>
      </c>
      <c r="G82" s="38" t="s">
        <v>464</v>
      </c>
      <c r="H82" s="34">
        <v>0.57999999999999996</v>
      </c>
      <c r="I82" s="43">
        <v>-62</v>
      </c>
      <c r="J82" s="40" t="s">
        <v>50</v>
      </c>
    </row>
    <row r="83" spans="1:10" x14ac:dyDescent="0.3">
      <c r="A83" s="20">
        <v>6809</v>
      </c>
      <c r="B83" s="54" t="s">
        <v>87</v>
      </c>
      <c r="C83" s="24">
        <v>1</v>
      </c>
      <c r="D83" s="22">
        <v>0</v>
      </c>
      <c r="E83" s="41" t="s">
        <v>284</v>
      </c>
      <c r="F83" s="37" t="s">
        <v>464</v>
      </c>
      <c r="G83" s="38" t="s">
        <v>464</v>
      </c>
      <c r="H83" s="24">
        <v>0.01</v>
      </c>
      <c r="I83" s="25" t="s">
        <v>50</v>
      </c>
      <c r="J83" s="42" t="s">
        <v>50</v>
      </c>
    </row>
    <row r="84" spans="1:10" x14ac:dyDescent="0.3">
      <c r="A84" s="33">
        <v>6910</v>
      </c>
      <c r="B84" s="58" t="s">
        <v>96</v>
      </c>
      <c r="C84" s="34">
        <v>9577</v>
      </c>
      <c r="D84" s="35">
        <v>2030</v>
      </c>
      <c r="E84" s="36" t="s">
        <v>284</v>
      </c>
      <c r="F84" s="37" t="s">
        <v>510</v>
      </c>
      <c r="G84" s="38" t="s">
        <v>284</v>
      </c>
      <c r="H84" s="34">
        <v>5.35</v>
      </c>
      <c r="I84" s="35">
        <v>1</v>
      </c>
      <c r="J84" s="44">
        <v>-9</v>
      </c>
    </row>
    <row r="85" spans="1:10" x14ac:dyDescent="0.3">
      <c r="A85" s="20">
        <v>6902</v>
      </c>
      <c r="B85" s="54" t="s">
        <v>94</v>
      </c>
      <c r="C85" s="24">
        <v>4031</v>
      </c>
      <c r="D85" s="22">
        <v>1422</v>
      </c>
      <c r="E85" s="41" t="s">
        <v>284</v>
      </c>
      <c r="F85" s="37" t="s">
        <v>511</v>
      </c>
      <c r="G85" s="38" t="s">
        <v>284</v>
      </c>
      <c r="H85" s="24">
        <v>2.0499999999999998</v>
      </c>
      <c r="I85" s="22">
        <v>0</v>
      </c>
      <c r="J85" s="46">
        <v>-10</v>
      </c>
    </row>
    <row r="86" spans="1:10" x14ac:dyDescent="0.3">
      <c r="A86" s="33">
        <v>6907</v>
      </c>
      <c r="B86" s="58" t="s">
        <v>99</v>
      </c>
      <c r="C86" s="34">
        <v>467</v>
      </c>
      <c r="D86" s="35">
        <v>1561000</v>
      </c>
      <c r="E86" s="36" t="s">
        <v>286</v>
      </c>
      <c r="F86" s="37" t="s">
        <v>512</v>
      </c>
      <c r="G86" s="38" t="s">
        <v>513</v>
      </c>
      <c r="H86" s="34">
        <v>0.02</v>
      </c>
      <c r="I86" s="35">
        <v>28</v>
      </c>
      <c r="J86" s="40" t="s">
        <v>50</v>
      </c>
    </row>
    <row r="87" spans="1:10" x14ac:dyDescent="0.3">
      <c r="A87" s="20">
        <v>6903</v>
      </c>
      <c r="B87" s="54" t="s">
        <v>93</v>
      </c>
      <c r="C87" s="24">
        <v>402</v>
      </c>
      <c r="D87" s="22">
        <v>79</v>
      </c>
      <c r="E87" s="41" t="s">
        <v>284</v>
      </c>
      <c r="F87" s="37" t="s">
        <v>514</v>
      </c>
      <c r="G87" s="38" t="s">
        <v>284</v>
      </c>
      <c r="H87" s="24">
        <v>0.37</v>
      </c>
      <c r="I87" s="23">
        <v>-17</v>
      </c>
      <c r="J87" s="46">
        <v>-53</v>
      </c>
    </row>
    <row r="88" spans="1:10" x14ac:dyDescent="0.3">
      <c r="A88" s="33">
        <v>6912</v>
      </c>
      <c r="B88" s="58" t="s">
        <v>98</v>
      </c>
      <c r="C88" s="34">
        <v>69</v>
      </c>
      <c r="D88" s="35">
        <v>11</v>
      </c>
      <c r="E88" s="36" t="s">
        <v>284</v>
      </c>
      <c r="F88" s="37" t="s">
        <v>515</v>
      </c>
      <c r="G88" s="38" t="s">
        <v>284</v>
      </c>
      <c r="H88" s="34">
        <v>0.17</v>
      </c>
      <c r="I88" s="43">
        <v>-5</v>
      </c>
      <c r="J88" s="44">
        <v>-11</v>
      </c>
    </row>
    <row r="89" spans="1:10" x14ac:dyDescent="0.3">
      <c r="A89" s="20">
        <v>6909</v>
      </c>
      <c r="B89" s="54" t="s">
        <v>92</v>
      </c>
      <c r="C89" s="24">
        <v>44</v>
      </c>
      <c r="D89" s="22">
        <v>2</v>
      </c>
      <c r="E89" s="41" t="s">
        <v>284</v>
      </c>
      <c r="F89" s="37" t="s">
        <v>516</v>
      </c>
      <c r="G89" s="38" t="s">
        <v>284</v>
      </c>
      <c r="H89" s="24">
        <v>0.87</v>
      </c>
      <c r="I89" s="22">
        <v>24</v>
      </c>
      <c r="J89" s="5">
        <v>0</v>
      </c>
    </row>
    <row r="90" spans="1:10" x14ac:dyDescent="0.3">
      <c r="A90" s="33">
        <v>6913</v>
      </c>
      <c r="B90" s="58" t="s">
        <v>103</v>
      </c>
      <c r="C90" s="34">
        <v>31</v>
      </c>
      <c r="D90" s="35">
        <v>6</v>
      </c>
      <c r="E90" s="36" t="s">
        <v>284</v>
      </c>
      <c r="F90" s="37" t="s">
        <v>517</v>
      </c>
      <c r="G90" s="38" t="s">
        <v>284</v>
      </c>
      <c r="H90" s="34">
        <v>1.97</v>
      </c>
      <c r="I90" s="35">
        <v>3</v>
      </c>
      <c r="J90" s="44">
        <v>-21</v>
      </c>
    </row>
    <row r="91" spans="1:10" x14ac:dyDescent="0.3">
      <c r="A91" s="20">
        <v>6914</v>
      </c>
      <c r="B91" s="54" t="s">
        <v>95</v>
      </c>
      <c r="C91" s="24">
        <v>22</v>
      </c>
      <c r="D91" s="22">
        <v>4</v>
      </c>
      <c r="E91" s="41" t="s">
        <v>284</v>
      </c>
      <c r="F91" s="37" t="s">
        <v>518</v>
      </c>
      <c r="G91" s="38" t="s">
        <v>284</v>
      </c>
      <c r="H91" s="24">
        <v>0.1</v>
      </c>
      <c r="I91" s="23">
        <v>-30</v>
      </c>
      <c r="J91" s="46">
        <v>-17</v>
      </c>
    </row>
    <row r="92" spans="1:10" x14ac:dyDescent="0.3">
      <c r="A92" s="33">
        <v>6911</v>
      </c>
      <c r="B92" s="58" t="s">
        <v>97</v>
      </c>
      <c r="C92" s="34">
        <v>8</v>
      </c>
      <c r="D92" s="35">
        <v>1</v>
      </c>
      <c r="E92" s="36" t="s">
        <v>284</v>
      </c>
      <c r="F92" s="37" t="s">
        <v>501</v>
      </c>
      <c r="G92" s="38" t="s">
        <v>284</v>
      </c>
      <c r="H92" s="34">
        <v>0.04</v>
      </c>
      <c r="I92" s="35">
        <v>58</v>
      </c>
      <c r="J92" s="40" t="s">
        <v>50</v>
      </c>
    </row>
    <row r="93" spans="1:10" x14ac:dyDescent="0.3">
      <c r="A93" s="20">
        <v>7326</v>
      </c>
      <c r="B93" s="54" t="s">
        <v>106</v>
      </c>
      <c r="C93" s="24">
        <v>44983</v>
      </c>
      <c r="D93" s="22">
        <v>18949</v>
      </c>
      <c r="E93" s="41" t="s">
        <v>284</v>
      </c>
      <c r="F93" s="37" t="s">
        <v>519</v>
      </c>
      <c r="G93" s="38" t="s">
        <v>284</v>
      </c>
      <c r="H93" s="24">
        <v>3.2</v>
      </c>
      <c r="I93" s="22">
        <v>9</v>
      </c>
      <c r="J93" s="5">
        <v>20</v>
      </c>
    </row>
    <row r="94" spans="1:10" x14ac:dyDescent="0.3">
      <c r="A94" s="33">
        <v>7308</v>
      </c>
      <c r="B94" s="58" t="s">
        <v>107</v>
      </c>
      <c r="C94" s="34">
        <v>7324</v>
      </c>
      <c r="D94" s="35">
        <v>82550</v>
      </c>
      <c r="E94" s="36" t="s">
        <v>283</v>
      </c>
      <c r="F94" s="37" t="s">
        <v>520</v>
      </c>
      <c r="G94" s="38" t="s">
        <v>283</v>
      </c>
      <c r="H94" s="34">
        <v>0.4</v>
      </c>
      <c r="I94" s="43">
        <v>-21</v>
      </c>
      <c r="J94" s="40" t="s">
        <v>50</v>
      </c>
    </row>
    <row r="95" spans="1:10" x14ac:dyDescent="0.3">
      <c r="A95" s="20">
        <v>7325</v>
      </c>
      <c r="B95" s="54" t="s">
        <v>108</v>
      </c>
      <c r="C95" s="24">
        <v>5131</v>
      </c>
      <c r="D95" s="22">
        <v>1561</v>
      </c>
      <c r="E95" s="41" t="s">
        <v>284</v>
      </c>
      <c r="F95" s="37" t="s">
        <v>521</v>
      </c>
      <c r="G95" s="38" t="s">
        <v>284</v>
      </c>
      <c r="H95" s="24">
        <v>0.41</v>
      </c>
      <c r="I95" s="23">
        <v>-3</v>
      </c>
      <c r="J95" s="5">
        <v>4</v>
      </c>
    </row>
    <row r="96" spans="1:10" x14ac:dyDescent="0.3">
      <c r="A96" s="33">
        <v>7323</v>
      </c>
      <c r="B96" s="58" t="s">
        <v>109</v>
      </c>
      <c r="C96" s="34">
        <v>2323</v>
      </c>
      <c r="D96" s="35">
        <v>1770255</v>
      </c>
      <c r="E96" s="36" t="s">
        <v>283</v>
      </c>
      <c r="F96" s="37" t="s">
        <v>522</v>
      </c>
      <c r="G96" s="38" t="s">
        <v>283</v>
      </c>
      <c r="H96" s="34">
        <v>0.43</v>
      </c>
      <c r="I96" s="43">
        <v>-9</v>
      </c>
      <c r="J96" s="40" t="s">
        <v>50</v>
      </c>
    </row>
    <row r="97" spans="1:10" x14ac:dyDescent="0.3">
      <c r="A97" s="20">
        <v>7310</v>
      </c>
      <c r="B97" s="54" t="s">
        <v>110</v>
      </c>
      <c r="C97" s="24">
        <v>2135</v>
      </c>
      <c r="D97" s="22">
        <v>1261</v>
      </c>
      <c r="E97" s="41" t="s">
        <v>284</v>
      </c>
      <c r="F97" s="37" t="s">
        <v>523</v>
      </c>
      <c r="G97" s="38" t="s">
        <v>284</v>
      </c>
      <c r="H97" s="24">
        <v>2.2200000000000002</v>
      </c>
      <c r="I97" s="22">
        <v>1</v>
      </c>
      <c r="J97" s="5">
        <v>5</v>
      </c>
    </row>
    <row r="98" spans="1:10" x14ac:dyDescent="0.3">
      <c r="A98" s="33">
        <v>7307</v>
      </c>
      <c r="B98" s="58" t="s">
        <v>111</v>
      </c>
      <c r="C98" s="34">
        <v>2084</v>
      </c>
      <c r="D98" s="35">
        <v>42</v>
      </c>
      <c r="E98" s="36" t="s">
        <v>284</v>
      </c>
      <c r="F98" s="37" t="s">
        <v>524</v>
      </c>
      <c r="G98" s="38" t="s">
        <v>284</v>
      </c>
      <c r="H98" s="34">
        <v>0.18</v>
      </c>
      <c r="I98" s="35">
        <v>0</v>
      </c>
      <c r="J98" s="44">
        <v>-36</v>
      </c>
    </row>
    <row r="99" spans="1:10" x14ac:dyDescent="0.3">
      <c r="A99" s="20">
        <v>7320</v>
      </c>
      <c r="B99" s="54" t="s">
        <v>112</v>
      </c>
      <c r="C99" s="24">
        <v>1829</v>
      </c>
      <c r="D99" s="22">
        <v>206</v>
      </c>
      <c r="E99" s="41" t="s">
        <v>284</v>
      </c>
      <c r="F99" s="37" t="s">
        <v>525</v>
      </c>
      <c r="G99" s="38" t="s">
        <v>284</v>
      </c>
      <c r="H99" s="24">
        <v>1.8</v>
      </c>
      <c r="I99" s="23">
        <v>-11</v>
      </c>
      <c r="J99" s="46">
        <v>-21</v>
      </c>
    </row>
    <row r="100" spans="1:10" x14ac:dyDescent="0.3">
      <c r="A100" s="33">
        <v>7318</v>
      </c>
      <c r="B100" s="58" t="s">
        <v>113</v>
      </c>
      <c r="C100" s="34">
        <v>1385</v>
      </c>
      <c r="D100" s="35">
        <v>0</v>
      </c>
      <c r="E100" s="36" t="s">
        <v>288</v>
      </c>
      <c r="F100" s="37" t="s">
        <v>464</v>
      </c>
      <c r="G100" s="38" t="s">
        <v>464</v>
      </c>
      <c r="H100" s="34">
        <v>0.14000000000000001</v>
      </c>
      <c r="I100" s="43">
        <v>-1</v>
      </c>
      <c r="J100" s="40" t="s">
        <v>50</v>
      </c>
    </row>
    <row r="101" spans="1:10" x14ac:dyDescent="0.3">
      <c r="A101" s="20">
        <v>7301</v>
      </c>
      <c r="B101" s="54" t="s">
        <v>114</v>
      </c>
      <c r="C101" s="24">
        <v>686</v>
      </c>
      <c r="D101" s="22">
        <v>186</v>
      </c>
      <c r="E101" s="41" t="s">
        <v>284</v>
      </c>
      <c r="F101" s="37" t="s">
        <v>526</v>
      </c>
      <c r="G101" s="38" t="s">
        <v>284</v>
      </c>
      <c r="H101" s="24">
        <v>3.1</v>
      </c>
      <c r="I101" s="22">
        <v>65</v>
      </c>
      <c r="J101" s="5">
        <v>78</v>
      </c>
    </row>
    <row r="102" spans="1:10" x14ac:dyDescent="0.3">
      <c r="A102" s="33">
        <v>7315</v>
      </c>
      <c r="B102" s="58" t="s">
        <v>115</v>
      </c>
      <c r="C102" s="34">
        <v>561</v>
      </c>
      <c r="D102" s="35">
        <v>80</v>
      </c>
      <c r="E102" s="36" t="s">
        <v>284</v>
      </c>
      <c r="F102" s="37" t="s">
        <v>527</v>
      </c>
      <c r="G102" s="38" t="s">
        <v>284</v>
      </c>
      <c r="H102" s="34">
        <v>0.76</v>
      </c>
      <c r="I102" s="43">
        <v>-4</v>
      </c>
      <c r="J102" s="44">
        <v>-7</v>
      </c>
    </row>
    <row r="103" spans="1:10" x14ac:dyDescent="0.3">
      <c r="A103" s="20">
        <v>7304</v>
      </c>
      <c r="B103" s="54" t="s">
        <v>116</v>
      </c>
      <c r="C103" s="24">
        <v>388</v>
      </c>
      <c r="D103" s="22">
        <v>18</v>
      </c>
      <c r="E103" s="41" t="s">
        <v>284</v>
      </c>
      <c r="F103" s="37" t="s">
        <v>528</v>
      </c>
      <c r="G103" s="38" t="s">
        <v>284</v>
      </c>
      <c r="H103" s="24">
        <v>7.0000000000000007E-2</v>
      </c>
      <c r="I103" s="23">
        <v>-19</v>
      </c>
      <c r="J103" s="46">
        <v>-31</v>
      </c>
    </row>
    <row r="104" spans="1:10" x14ac:dyDescent="0.3">
      <c r="A104" s="33">
        <v>7321</v>
      </c>
      <c r="B104" s="58" t="s">
        <v>117</v>
      </c>
      <c r="C104" s="34">
        <v>345</v>
      </c>
      <c r="D104" s="35">
        <v>0</v>
      </c>
      <c r="E104" s="36" t="s">
        <v>287</v>
      </c>
      <c r="F104" s="37" t="s">
        <v>464</v>
      </c>
      <c r="G104" s="38" t="s">
        <v>464</v>
      </c>
      <c r="H104" s="34">
        <v>1.68</v>
      </c>
      <c r="I104" s="35">
        <v>7</v>
      </c>
      <c r="J104" s="40" t="s">
        <v>50</v>
      </c>
    </row>
    <row r="105" spans="1:10" x14ac:dyDescent="0.3">
      <c r="A105" s="20">
        <v>7306</v>
      </c>
      <c r="B105" s="54" t="s">
        <v>118</v>
      </c>
      <c r="C105" s="24">
        <v>286</v>
      </c>
      <c r="D105" s="22">
        <v>80</v>
      </c>
      <c r="E105" s="41" t="s">
        <v>284</v>
      </c>
      <c r="F105" s="37" t="s">
        <v>529</v>
      </c>
      <c r="G105" s="38" t="s">
        <v>284</v>
      </c>
      <c r="H105" s="24">
        <v>0.04</v>
      </c>
      <c r="I105" s="23">
        <v>-30</v>
      </c>
      <c r="J105" s="46">
        <v>-17</v>
      </c>
    </row>
    <row r="106" spans="1:10" x14ac:dyDescent="0.3">
      <c r="A106" s="33">
        <v>7319</v>
      </c>
      <c r="B106" s="58" t="s">
        <v>119</v>
      </c>
      <c r="C106" s="34">
        <v>233</v>
      </c>
      <c r="D106" s="35">
        <v>8</v>
      </c>
      <c r="E106" s="36" t="s">
        <v>284</v>
      </c>
      <c r="F106" s="37" t="s">
        <v>530</v>
      </c>
      <c r="G106" s="38" t="s">
        <v>284</v>
      </c>
      <c r="H106" s="34">
        <v>2.23</v>
      </c>
      <c r="I106" s="35">
        <v>0</v>
      </c>
      <c r="J106" s="45">
        <v>46</v>
      </c>
    </row>
    <row r="107" spans="1:10" x14ac:dyDescent="0.3">
      <c r="A107" s="20">
        <v>7309</v>
      </c>
      <c r="B107" s="54" t="s">
        <v>120</v>
      </c>
      <c r="C107" s="24">
        <v>218</v>
      </c>
      <c r="D107" s="22">
        <v>18</v>
      </c>
      <c r="E107" s="41" t="s">
        <v>284</v>
      </c>
      <c r="F107" s="37" t="s">
        <v>531</v>
      </c>
      <c r="G107" s="38" t="s">
        <v>284</v>
      </c>
      <c r="H107" s="24">
        <v>0.32</v>
      </c>
      <c r="I107" s="22">
        <v>66</v>
      </c>
      <c r="J107" s="5">
        <v>106</v>
      </c>
    </row>
    <row r="108" spans="1:10" x14ac:dyDescent="0.3">
      <c r="A108" s="33">
        <v>7302</v>
      </c>
      <c r="B108" s="58" t="s">
        <v>121</v>
      </c>
      <c r="C108" s="34">
        <v>123</v>
      </c>
      <c r="D108" s="35">
        <v>43</v>
      </c>
      <c r="E108" s="36" t="s">
        <v>284</v>
      </c>
      <c r="F108" s="37" t="s">
        <v>532</v>
      </c>
      <c r="G108" s="38" t="s">
        <v>284</v>
      </c>
      <c r="H108" s="34">
        <v>0.27</v>
      </c>
      <c r="I108" s="47" t="s">
        <v>50</v>
      </c>
      <c r="J108" s="40" t="s">
        <v>50</v>
      </c>
    </row>
    <row r="109" spans="1:10" x14ac:dyDescent="0.3">
      <c r="A109" s="20">
        <v>7312</v>
      </c>
      <c r="B109" s="54" t="s">
        <v>122</v>
      </c>
      <c r="C109" s="24">
        <v>29</v>
      </c>
      <c r="D109" s="22">
        <v>1</v>
      </c>
      <c r="E109" s="41" t="s">
        <v>284</v>
      </c>
      <c r="F109" s="37" t="s">
        <v>533</v>
      </c>
      <c r="G109" s="38" t="s">
        <v>284</v>
      </c>
      <c r="H109" s="24">
        <v>0.02</v>
      </c>
      <c r="I109" s="22">
        <v>10</v>
      </c>
      <c r="J109" s="46">
        <v>-24</v>
      </c>
    </row>
    <row r="110" spans="1:10" x14ac:dyDescent="0.3">
      <c r="A110" s="33">
        <v>7317</v>
      </c>
      <c r="B110" s="58" t="s">
        <v>124</v>
      </c>
      <c r="C110" s="34">
        <v>22</v>
      </c>
      <c r="D110" s="35">
        <v>0</v>
      </c>
      <c r="E110" s="36" t="s">
        <v>288</v>
      </c>
      <c r="F110" s="37" t="s">
        <v>464</v>
      </c>
      <c r="G110" s="38" t="s">
        <v>464</v>
      </c>
      <c r="H110" s="34">
        <v>0.02</v>
      </c>
      <c r="I110" s="35">
        <v>121</v>
      </c>
      <c r="J110" s="40" t="s">
        <v>50</v>
      </c>
    </row>
    <row r="111" spans="1:10" x14ac:dyDescent="0.3">
      <c r="A111" s="20">
        <v>7311</v>
      </c>
      <c r="B111" s="54" t="s">
        <v>123</v>
      </c>
      <c r="C111" s="24">
        <v>14</v>
      </c>
      <c r="D111" s="22">
        <v>0</v>
      </c>
      <c r="E111" s="41" t="s">
        <v>284</v>
      </c>
      <c r="F111" s="37" t="s">
        <v>464</v>
      </c>
      <c r="G111" s="38" t="s">
        <v>464</v>
      </c>
      <c r="H111" s="24">
        <v>0.01</v>
      </c>
      <c r="I111" s="23">
        <v>-56</v>
      </c>
      <c r="J111" s="42" t="s">
        <v>50</v>
      </c>
    </row>
    <row r="112" spans="1:10" x14ac:dyDescent="0.3">
      <c r="A112" s="33">
        <v>7324</v>
      </c>
      <c r="B112" s="58" t="s">
        <v>125</v>
      </c>
      <c r="C112" s="34">
        <v>6</v>
      </c>
      <c r="D112" s="35">
        <v>1569</v>
      </c>
      <c r="E112" s="36" t="s">
        <v>283</v>
      </c>
      <c r="F112" s="37" t="s">
        <v>534</v>
      </c>
      <c r="G112" s="38" t="s">
        <v>283</v>
      </c>
      <c r="H112" s="34">
        <v>0.03</v>
      </c>
      <c r="I112" s="47" t="s">
        <v>50</v>
      </c>
      <c r="J112" s="40" t="s">
        <v>50</v>
      </c>
    </row>
    <row r="113" spans="1:10" x14ac:dyDescent="0.3">
      <c r="A113" s="20">
        <v>7316</v>
      </c>
      <c r="B113" s="54" t="s">
        <v>126</v>
      </c>
      <c r="C113" s="24">
        <v>2</v>
      </c>
      <c r="D113" s="22">
        <v>0</v>
      </c>
      <c r="E113" s="41" t="s">
        <v>284</v>
      </c>
      <c r="F113" s="37" t="s">
        <v>464</v>
      </c>
      <c r="G113" s="38" t="s">
        <v>464</v>
      </c>
      <c r="H113" s="24">
        <v>0.03</v>
      </c>
      <c r="I113" s="25" t="s">
        <v>50</v>
      </c>
      <c r="J113" s="42" t="s">
        <v>50</v>
      </c>
    </row>
    <row r="114" spans="1:10" x14ac:dyDescent="0.3">
      <c r="A114" s="33">
        <v>7404</v>
      </c>
      <c r="B114" s="58" t="s">
        <v>137</v>
      </c>
      <c r="C114" s="34">
        <v>14029</v>
      </c>
      <c r="D114" s="35">
        <v>1982</v>
      </c>
      <c r="E114" s="36" t="s">
        <v>284</v>
      </c>
      <c r="F114" s="37" t="s">
        <v>535</v>
      </c>
      <c r="G114" s="38" t="s">
        <v>284</v>
      </c>
      <c r="H114" s="34">
        <v>4.87</v>
      </c>
      <c r="I114" s="35">
        <v>16</v>
      </c>
      <c r="J114" s="45">
        <v>20</v>
      </c>
    </row>
    <row r="115" spans="1:10" x14ac:dyDescent="0.3">
      <c r="A115" s="20">
        <v>7419</v>
      </c>
      <c r="B115" s="54" t="s">
        <v>135</v>
      </c>
      <c r="C115" s="24">
        <v>776</v>
      </c>
      <c r="D115" s="22">
        <v>31</v>
      </c>
      <c r="E115" s="41" t="s">
        <v>284</v>
      </c>
      <c r="F115" s="37" t="s">
        <v>536</v>
      </c>
      <c r="G115" s="38" t="s">
        <v>284</v>
      </c>
      <c r="H115" s="24">
        <v>0.27</v>
      </c>
      <c r="I115" s="23">
        <v>-12</v>
      </c>
      <c r="J115" s="46">
        <v>-13</v>
      </c>
    </row>
    <row r="116" spans="1:10" x14ac:dyDescent="0.3">
      <c r="A116" s="33">
        <v>7403</v>
      </c>
      <c r="B116" s="58" t="s">
        <v>132</v>
      </c>
      <c r="C116" s="34">
        <v>632</v>
      </c>
      <c r="D116" s="35">
        <v>66</v>
      </c>
      <c r="E116" s="36" t="s">
        <v>284</v>
      </c>
      <c r="F116" s="37" t="s">
        <v>537</v>
      </c>
      <c r="G116" s="38" t="s">
        <v>284</v>
      </c>
      <c r="H116" s="34">
        <v>0.08</v>
      </c>
      <c r="I116" s="35">
        <v>19</v>
      </c>
      <c r="J116" s="45">
        <v>15</v>
      </c>
    </row>
    <row r="117" spans="1:10" x14ac:dyDescent="0.3">
      <c r="A117" s="20">
        <v>7408</v>
      </c>
      <c r="B117" s="54" t="s">
        <v>133</v>
      </c>
      <c r="C117" s="24">
        <v>239</v>
      </c>
      <c r="D117" s="22">
        <v>18</v>
      </c>
      <c r="E117" s="41" t="s">
        <v>284</v>
      </c>
      <c r="F117" s="37" t="s">
        <v>538</v>
      </c>
      <c r="G117" s="38" t="s">
        <v>284</v>
      </c>
      <c r="H117" s="24">
        <v>0.03</v>
      </c>
      <c r="I117" s="23">
        <v>-5</v>
      </c>
      <c r="J117" s="46">
        <v>-11</v>
      </c>
    </row>
    <row r="118" spans="1:10" x14ac:dyDescent="0.3">
      <c r="A118" s="33">
        <v>7406</v>
      </c>
      <c r="B118" s="58" t="s">
        <v>141</v>
      </c>
      <c r="C118" s="34">
        <v>226</v>
      </c>
      <c r="D118" s="35">
        <v>30</v>
      </c>
      <c r="E118" s="36" t="s">
        <v>284</v>
      </c>
      <c r="F118" s="37" t="s">
        <v>539</v>
      </c>
      <c r="G118" s="38" t="s">
        <v>284</v>
      </c>
      <c r="H118" s="34">
        <v>5.87</v>
      </c>
      <c r="I118" s="35">
        <v>133</v>
      </c>
      <c r="J118" s="40" t="s">
        <v>50</v>
      </c>
    </row>
    <row r="119" spans="1:10" x14ac:dyDescent="0.3">
      <c r="A119" s="20">
        <v>7412</v>
      </c>
      <c r="B119" s="54" t="s">
        <v>140</v>
      </c>
      <c r="C119" s="24">
        <v>70</v>
      </c>
      <c r="D119" s="22">
        <v>2</v>
      </c>
      <c r="E119" s="41" t="s">
        <v>284</v>
      </c>
      <c r="F119" s="37" t="s">
        <v>540</v>
      </c>
      <c r="G119" s="38" t="s">
        <v>284</v>
      </c>
      <c r="H119" s="24">
        <v>0.09</v>
      </c>
      <c r="I119" s="22">
        <v>128</v>
      </c>
      <c r="J119" s="5">
        <v>19</v>
      </c>
    </row>
    <row r="120" spans="1:10" x14ac:dyDescent="0.3">
      <c r="A120" s="33">
        <v>7402</v>
      </c>
      <c r="B120" s="58" t="s">
        <v>138</v>
      </c>
      <c r="C120" s="34">
        <v>68</v>
      </c>
      <c r="D120" s="35">
        <v>7</v>
      </c>
      <c r="E120" s="36" t="s">
        <v>284</v>
      </c>
      <c r="F120" s="37" t="s">
        <v>541</v>
      </c>
      <c r="G120" s="38" t="s">
        <v>284</v>
      </c>
      <c r="H120" s="34">
        <v>1.1399999999999999</v>
      </c>
      <c r="I120" s="47" t="s">
        <v>50</v>
      </c>
      <c r="J120" s="40" t="s">
        <v>50</v>
      </c>
    </row>
    <row r="121" spans="1:10" x14ac:dyDescent="0.3">
      <c r="A121" s="20">
        <v>7418</v>
      </c>
      <c r="B121" s="54" t="s">
        <v>145</v>
      </c>
      <c r="C121" s="24">
        <v>63</v>
      </c>
      <c r="D121" s="22">
        <v>3</v>
      </c>
      <c r="E121" s="41" t="s">
        <v>284</v>
      </c>
      <c r="F121" s="37" t="s">
        <v>542</v>
      </c>
      <c r="G121" s="38" t="s">
        <v>284</v>
      </c>
      <c r="H121" s="24">
        <v>0.1</v>
      </c>
      <c r="I121" s="22">
        <v>4</v>
      </c>
      <c r="J121" s="46">
        <v>-10</v>
      </c>
    </row>
    <row r="122" spans="1:10" x14ac:dyDescent="0.3">
      <c r="A122" s="33">
        <v>7407</v>
      </c>
      <c r="B122" s="58" t="s">
        <v>136</v>
      </c>
      <c r="C122" s="34">
        <v>62</v>
      </c>
      <c r="D122" s="35">
        <v>1</v>
      </c>
      <c r="E122" s="36" t="s">
        <v>284</v>
      </c>
      <c r="F122" s="37" t="s">
        <v>543</v>
      </c>
      <c r="G122" s="38" t="s">
        <v>284</v>
      </c>
      <c r="H122" s="34">
        <v>7.0000000000000007E-2</v>
      </c>
      <c r="I122" s="47" t="s">
        <v>50</v>
      </c>
      <c r="J122" s="40" t="s">
        <v>50</v>
      </c>
    </row>
    <row r="123" spans="1:10" x14ac:dyDescent="0.3">
      <c r="A123" s="20">
        <v>7409</v>
      </c>
      <c r="B123" s="54" t="s">
        <v>134</v>
      </c>
      <c r="C123" s="24">
        <v>13</v>
      </c>
      <c r="D123" s="22">
        <v>1</v>
      </c>
      <c r="E123" s="41" t="s">
        <v>284</v>
      </c>
      <c r="F123" s="37" t="s">
        <v>544</v>
      </c>
      <c r="G123" s="38" t="s">
        <v>284</v>
      </c>
      <c r="H123" s="24">
        <v>0.01</v>
      </c>
      <c r="I123" s="23">
        <v>-10</v>
      </c>
      <c r="J123" s="5">
        <v>0</v>
      </c>
    </row>
    <row r="124" spans="1:10" x14ac:dyDescent="0.3">
      <c r="A124" s="33">
        <v>7411</v>
      </c>
      <c r="B124" s="58" t="s">
        <v>142</v>
      </c>
      <c r="C124" s="34">
        <v>7</v>
      </c>
      <c r="D124" s="35">
        <v>0</v>
      </c>
      <c r="E124" s="36" t="s">
        <v>284</v>
      </c>
      <c r="F124" s="37" t="s">
        <v>464</v>
      </c>
      <c r="G124" s="38" t="s">
        <v>464</v>
      </c>
      <c r="H124" s="34">
        <v>0.01</v>
      </c>
      <c r="I124" s="47" t="s">
        <v>50</v>
      </c>
      <c r="J124" s="40" t="s">
        <v>50</v>
      </c>
    </row>
    <row r="125" spans="1:10" x14ac:dyDescent="0.3">
      <c r="A125" s="20">
        <v>7415</v>
      </c>
      <c r="B125" s="54" t="s">
        <v>144</v>
      </c>
      <c r="C125" s="24">
        <v>7</v>
      </c>
      <c r="D125" s="22">
        <v>1</v>
      </c>
      <c r="E125" s="41" t="s">
        <v>284</v>
      </c>
      <c r="F125" s="37" t="s">
        <v>545</v>
      </c>
      <c r="G125" s="38" t="s">
        <v>284</v>
      </c>
      <c r="H125" s="24">
        <v>0.01</v>
      </c>
      <c r="I125" s="22">
        <v>57</v>
      </c>
      <c r="J125" s="42" t="s">
        <v>50</v>
      </c>
    </row>
    <row r="126" spans="1:10" x14ac:dyDescent="0.3">
      <c r="A126" s="33">
        <v>7410</v>
      </c>
      <c r="B126" s="58" t="s">
        <v>139</v>
      </c>
      <c r="C126" s="34">
        <v>2</v>
      </c>
      <c r="D126" s="35">
        <v>0</v>
      </c>
      <c r="E126" s="36" t="s">
        <v>284</v>
      </c>
      <c r="F126" s="37" t="s">
        <v>464</v>
      </c>
      <c r="G126" s="38" t="s">
        <v>464</v>
      </c>
      <c r="H126" s="34">
        <v>0</v>
      </c>
      <c r="I126" s="43">
        <v>-24</v>
      </c>
      <c r="J126" s="40" t="s">
        <v>50</v>
      </c>
    </row>
    <row r="127" spans="1:10" x14ac:dyDescent="0.3">
      <c r="A127" s="20">
        <v>7413</v>
      </c>
      <c r="B127" s="54" t="s">
        <v>143</v>
      </c>
      <c r="C127" s="24">
        <v>1</v>
      </c>
      <c r="D127" s="22">
        <v>0</v>
      </c>
      <c r="E127" s="41" t="s">
        <v>284</v>
      </c>
      <c r="F127" s="37" t="s">
        <v>464</v>
      </c>
      <c r="G127" s="38" t="s">
        <v>464</v>
      </c>
      <c r="H127" s="24">
        <v>0</v>
      </c>
      <c r="I127" s="25" t="s">
        <v>50</v>
      </c>
      <c r="J127" s="42" t="s">
        <v>50</v>
      </c>
    </row>
    <row r="128" spans="1:10" x14ac:dyDescent="0.3">
      <c r="A128" s="33">
        <v>7601</v>
      </c>
      <c r="B128" s="58" t="s">
        <v>159</v>
      </c>
      <c r="C128" s="34">
        <v>327365</v>
      </c>
      <c r="D128" s="35">
        <v>123522</v>
      </c>
      <c r="E128" s="36" t="s">
        <v>284</v>
      </c>
      <c r="F128" s="37" t="s">
        <v>546</v>
      </c>
      <c r="G128" s="38" t="s">
        <v>284</v>
      </c>
      <c r="H128" s="34">
        <v>7.8</v>
      </c>
      <c r="I128" s="35">
        <v>5</v>
      </c>
      <c r="J128" s="45">
        <v>5</v>
      </c>
    </row>
    <row r="129" spans="1:10" x14ac:dyDescent="0.3">
      <c r="A129" s="20">
        <v>7616</v>
      </c>
      <c r="B129" s="54" t="s">
        <v>150</v>
      </c>
      <c r="C129" s="24">
        <v>2996</v>
      </c>
      <c r="D129" s="22">
        <v>81</v>
      </c>
      <c r="E129" s="41" t="s">
        <v>284</v>
      </c>
      <c r="F129" s="37" t="s">
        <v>547</v>
      </c>
      <c r="G129" s="38" t="s">
        <v>284</v>
      </c>
      <c r="H129" s="24">
        <v>0.57999999999999996</v>
      </c>
      <c r="I129" s="22">
        <v>12</v>
      </c>
      <c r="J129" s="46">
        <v>-5</v>
      </c>
    </row>
    <row r="130" spans="1:10" x14ac:dyDescent="0.3">
      <c r="A130" s="33">
        <v>7607</v>
      </c>
      <c r="B130" s="58" t="s">
        <v>151</v>
      </c>
      <c r="C130" s="34">
        <v>2292</v>
      </c>
      <c r="D130" s="35">
        <v>581</v>
      </c>
      <c r="E130" s="36" t="s">
        <v>284</v>
      </c>
      <c r="F130" s="37" t="s">
        <v>548</v>
      </c>
      <c r="G130" s="38" t="s">
        <v>284</v>
      </c>
      <c r="H130" s="34">
        <v>0.69</v>
      </c>
      <c r="I130" s="35">
        <v>7</v>
      </c>
      <c r="J130" s="45">
        <v>5</v>
      </c>
    </row>
    <row r="131" spans="1:10" x14ac:dyDescent="0.3">
      <c r="A131" s="20">
        <v>7602</v>
      </c>
      <c r="B131" s="54" t="s">
        <v>148</v>
      </c>
      <c r="C131" s="24">
        <v>2037</v>
      </c>
      <c r="D131" s="22">
        <v>764</v>
      </c>
      <c r="E131" s="41" t="s">
        <v>284</v>
      </c>
      <c r="F131" s="37" t="s">
        <v>549</v>
      </c>
      <c r="G131" s="38" t="s">
        <v>284</v>
      </c>
      <c r="H131" s="24">
        <v>5.82</v>
      </c>
      <c r="I131" s="22">
        <v>452</v>
      </c>
      <c r="J131" s="5">
        <v>143</v>
      </c>
    </row>
    <row r="132" spans="1:10" x14ac:dyDescent="0.3">
      <c r="A132" s="33">
        <v>7606</v>
      </c>
      <c r="B132" s="58" t="s">
        <v>149</v>
      </c>
      <c r="C132" s="34">
        <v>1644</v>
      </c>
      <c r="D132" s="35">
        <v>471</v>
      </c>
      <c r="E132" s="36" t="s">
        <v>284</v>
      </c>
      <c r="F132" s="37" t="s">
        <v>550</v>
      </c>
      <c r="G132" s="38" t="s">
        <v>284</v>
      </c>
      <c r="H132" s="34">
        <v>0.82</v>
      </c>
      <c r="I132" s="35">
        <v>60</v>
      </c>
      <c r="J132" s="45">
        <v>57</v>
      </c>
    </row>
    <row r="133" spans="1:10" x14ac:dyDescent="0.3">
      <c r="A133" s="20">
        <v>7603</v>
      </c>
      <c r="B133" s="54" t="s">
        <v>156</v>
      </c>
      <c r="C133" s="24">
        <v>441</v>
      </c>
      <c r="D133" s="22">
        <v>117</v>
      </c>
      <c r="E133" s="41" t="s">
        <v>284</v>
      </c>
      <c r="F133" s="37" t="s">
        <v>551</v>
      </c>
      <c r="G133" s="38" t="s">
        <v>284</v>
      </c>
      <c r="H133" s="24">
        <v>1.34</v>
      </c>
      <c r="I133" s="22">
        <v>9</v>
      </c>
      <c r="J133" s="5">
        <v>7</v>
      </c>
    </row>
    <row r="134" spans="1:10" x14ac:dyDescent="0.3">
      <c r="A134" s="33">
        <v>7615</v>
      </c>
      <c r="B134" s="58" t="s">
        <v>160</v>
      </c>
      <c r="C134" s="34">
        <v>173</v>
      </c>
      <c r="D134" s="35">
        <v>31</v>
      </c>
      <c r="E134" s="36" t="s">
        <v>284</v>
      </c>
      <c r="F134" s="37" t="s">
        <v>552</v>
      </c>
      <c r="G134" s="38" t="s">
        <v>284</v>
      </c>
      <c r="H134" s="34">
        <v>0.13</v>
      </c>
      <c r="I134" s="35">
        <v>19</v>
      </c>
      <c r="J134" s="45">
        <v>13</v>
      </c>
    </row>
    <row r="135" spans="1:10" x14ac:dyDescent="0.3">
      <c r="A135" s="20">
        <v>7612</v>
      </c>
      <c r="B135" s="54" t="s">
        <v>158</v>
      </c>
      <c r="C135" s="24">
        <v>107</v>
      </c>
      <c r="D135" s="22">
        <v>2</v>
      </c>
      <c r="E135" s="41" t="s">
        <v>284</v>
      </c>
      <c r="F135" s="37" t="s">
        <v>553</v>
      </c>
      <c r="G135" s="38" t="s">
        <v>284</v>
      </c>
      <c r="H135" s="24">
        <v>0.13</v>
      </c>
      <c r="I135" s="22">
        <v>79</v>
      </c>
      <c r="J135" s="5">
        <v>0</v>
      </c>
    </row>
    <row r="136" spans="1:10" x14ac:dyDescent="0.3">
      <c r="A136" s="33">
        <v>7604</v>
      </c>
      <c r="B136" s="58" t="s">
        <v>152</v>
      </c>
      <c r="C136" s="34">
        <v>37</v>
      </c>
      <c r="D136" s="35">
        <v>3</v>
      </c>
      <c r="E136" s="36" t="s">
        <v>284</v>
      </c>
      <c r="F136" s="37" t="s">
        <v>554</v>
      </c>
      <c r="G136" s="38" t="s">
        <v>284</v>
      </c>
      <c r="H136" s="34">
        <v>0.03</v>
      </c>
      <c r="I136" s="35">
        <v>32</v>
      </c>
      <c r="J136" s="45">
        <v>8</v>
      </c>
    </row>
    <row r="137" spans="1:10" x14ac:dyDescent="0.3">
      <c r="A137" s="20">
        <v>7605</v>
      </c>
      <c r="B137" s="54" t="s">
        <v>153</v>
      </c>
      <c r="C137" s="24">
        <v>25</v>
      </c>
      <c r="D137" s="22">
        <v>6</v>
      </c>
      <c r="E137" s="41" t="s">
        <v>284</v>
      </c>
      <c r="F137" s="37" t="s">
        <v>555</v>
      </c>
      <c r="G137" s="38" t="s">
        <v>284</v>
      </c>
      <c r="H137" s="24">
        <v>0</v>
      </c>
      <c r="I137" s="25" t="s">
        <v>50</v>
      </c>
      <c r="J137" s="42" t="s">
        <v>50</v>
      </c>
    </row>
    <row r="138" spans="1:10" x14ac:dyDescent="0.3">
      <c r="A138" s="33">
        <v>7610</v>
      </c>
      <c r="B138" s="58" t="s">
        <v>155</v>
      </c>
      <c r="C138" s="34">
        <v>15</v>
      </c>
      <c r="D138" s="35">
        <v>0</v>
      </c>
      <c r="E138" s="36" t="s">
        <v>284</v>
      </c>
      <c r="F138" s="37" t="s">
        <v>464</v>
      </c>
      <c r="G138" s="38" t="s">
        <v>464</v>
      </c>
      <c r="H138" s="34">
        <v>0.01</v>
      </c>
      <c r="I138" s="35">
        <v>76</v>
      </c>
      <c r="J138" s="40" t="s">
        <v>50</v>
      </c>
    </row>
    <row r="139" spans="1:10" x14ac:dyDescent="0.3">
      <c r="A139" s="20">
        <v>7608</v>
      </c>
      <c r="B139" s="54" t="s">
        <v>154</v>
      </c>
      <c r="C139" s="24">
        <v>2</v>
      </c>
      <c r="D139" s="22">
        <v>0</v>
      </c>
      <c r="E139" s="41" t="s">
        <v>284</v>
      </c>
      <c r="F139" s="37" t="s">
        <v>464</v>
      </c>
      <c r="G139" s="38" t="s">
        <v>464</v>
      </c>
      <c r="H139" s="24">
        <v>0.01</v>
      </c>
      <c r="I139" s="25" t="s">
        <v>50</v>
      </c>
      <c r="J139" s="42" t="s">
        <v>50</v>
      </c>
    </row>
    <row r="140" spans="1:10" x14ac:dyDescent="0.3">
      <c r="A140" s="33">
        <v>7613</v>
      </c>
      <c r="B140" s="58" t="s">
        <v>161</v>
      </c>
      <c r="C140" s="34">
        <v>1</v>
      </c>
      <c r="D140" s="35">
        <v>0</v>
      </c>
      <c r="E140" s="36" t="s">
        <v>284</v>
      </c>
      <c r="F140" s="37" t="s">
        <v>464</v>
      </c>
      <c r="G140" s="38" t="s">
        <v>464</v>
      </c>
      <c r="H140" s="34">
        <v>0.01</v>
      </c>
      <c r="I140" s="47" t="s">
        <v>50</v>
      </c>
      <c r="J140" s="40" t="s">
        <v>50</v>
      </c>
    </row>
    <row r="141" spans="1:10" x14ac:dyDescent="0.3">
      <c r="A141" s="20">
        <v>7614</v>
      </c>
      <c r="B141" s="54" t="s">
        <v>163</v>
      </c>
      <c r="C141" s="24">
        <v>1</v>
      </c>
      <c r="D141" s="22">
        <v>0</v>
      </c>
      <c r="E141" s="41" t="s">
        <v>284</v>
      </c>
      <c r="F141" s="37" t="s">
        <v>464</v>
      </c>
      <c r="G141" s="38" t="s">
        <v>464</v>
      </c>
      <c r="H141" s="24">
        <v>0</v>
      </c>
      <c r="I141" s="25" t="s">
        <v>50</v>
      </c>
      <c r="J141" s="42" t="s">
        <v>50</v>
      </c>
    </row>
    <row r="142" spans="1:10" x14ac:dyDescent="0.3">
      <c r="A142" s="33">
        <v>8301</v>
      </c>
      <c r="B142" s="58" t="s">
        <v>165</v>
      </c>
      <c r="C142" s="34">
        <v>4267</v>
      </c>
      <c r="D142" s="35">
        <v>1532714</v>
      </c>
      <c r="E142" s="36" t="s">
        <v>283</v>
      </c>
      <c r="F142" s="37" t="s">
        <v>556</v>
      </c>
      <c r="G142" s="38" t="s">
        <v>283</v>
      </c>
      <c r="H142" s="34">
        <v>3.33</v>
      </c>
      <c r="I142" s="35">
        <v>7</v>
      </c>
      <c r="J142" s="40" t="s">
        <v>50</v>
      </c>
    </row>
    <row r="143" spans="1:10" x14ac:dyDescent="0.3">
      <c r="A143" s="20">
        <v>8302</v>
      </c>
      <c r="B143" s="54" t="s">
        <v>166</v>
      </c>
      <c r="C143" s="24">
        <v>842</v>
      </c>
      <c r="D143" s="22">
        <v>95</v>
      </c>
      <c r="E143" s="41" t="s">
        <v>284</v>
      </c>
      <c r="F143" s="37" t="s">
        <v>557</v>
      </c>
      <c r="G143" s="38" t="s">
        <v>284</v>
      </c>
      <c r="H143" s="24">
        <v>0.19</v>
      </c>
      <c r="I143" s="22">
        <v>12</v>
      </c>
      <c r="J143" s="5">
        <v>1</v>
      </c>
    </row>
    <row r="144" spans="1:10" x14ac:dyDescent="0.3">
      <c r="A144" s="33">
        <v>8306</v>
      </c>
      <c r="B144" s="58" t="s">
        <v>173</v>
      </c>
      <c r="C144" s="34">
        <v>353</v>
      </c>
      <c r="D144" s="35">
        <v>21</v>
      </c>
      <c r="E144" s="36" t="s">
        <v>284</v>
      </c>
      <c r="F144" s="37" t="s">
        <v>558</v>
      </c>
      <c r="G144" s="38" t="s">
        <v>284</v>
      </c>
      <c r="H144" s="34">
        <v>0.99</v>
      </c>
      <c r="I144" s="35">
        <v>10</v>
      </c>
      <c r="J144" s="44">
        <v>-1</v>
      </c>
    </row>
    <row r="145" spans="1:10" x14ac:dyDescent="0.3">
      <c r="A145" s="20">
        <v>8307</v>
      </c>
      <c r="B145" s="54" t="s">
        <v>167</v>
      </c>
      <c r="C145" s="24">
        <v>221</v>
      </c>
      <c r="D145" s="22">
        <v>12</v>
      </c>
      <c r="E145" s="41" t="s">
        <v>284</v>
      </c>
      <c r="F145" s="37" t="s">
        <v>559</v>
      </c>
      <c r="G145" s="38" t="s">
        <v>284</v>
      </c>
      <c r="H145" s="24">
        <v>0.19</v>
      </c>
      <c r="I145" s="23">
        <v>-11</v>
      </c>
      <c r="J145" s="46">
        <v>-31</v>
      </c>
    </row>
    <row r="146" spans="1:10" x14ac:dyDescent="0.3">
      <c r="A146" s="33">
        <v>8311</v>
      </c>
      <c r="B146" s="58" t="s">
        <v>164</v>
      </c>
      <c r="C146" s="34">
        <v>193</v>
      </c>
      <c r="D146" s="35">
        <v>6</v>
      </c>
      <c r="E146" s="36" t="s">
        <v>284</v>
      </c>
      <c r="F146" s="37" t="s">
        <v>560</v>
      </c>
      <c r="G146" s="38" t="s">
        <v>284</v>
      </c>
      <c r="H146" s="34">
        <v>0.21</v>
      </c>
      <c r="I146" s="35">
        <v>5</v>
      </c>
      <c r="J146" s="45">
        <v>25</v>
      </c>
    </row>
    <row r="147" spans="1:10" x14ac:dyDescent="0.3">
      <c r="A147" s="20">
        <v>8305</v>
      </c>
      <c r="B147" s="54" t="s">
        <v>171</v>
      </c>
      <c r="C147" s="24">
        <v>87</v>
      </c>
      <c r="D147" s="22">
        <v>21</v>
      </c>
      <c r="E147" s="41" t="s">
        <v>284</v>
      </c>
      <c r="F147" s="37" t="s">
        <v>561</v>
      </c>
      <c r="G147" s="38" t="s">
        <v>284</v>
      </c>
      <c r="H147" s="24">
        <v>0.41</v>
      </c>
      <c r="I147" s="22">
        <v>4</v>
      </c>
      <c r="J147" s="46">
        <v>-3</v>
      </c>
    </row>
    <row r="148" spans="1:10" x14ac:dyDescent="0.3">
      <c r="A148" s="33">
        <v>8309</v>
      </c>
      <c r="B148" s="58" t="s">
        <v>169</v>
      </c>
      <c r="C148" s="34">
        <v>50</v>
      </c>
      <c r="D148" s="35">
        <v>27</v>
      </c>
      <c r="E148" s="36" t="s">
        <v>284</v>
      </c>
      <c r="F148" s="37" t="s">
        <v>562</v>
      </c>
      <c r="G148" s="38" t="s">
        <v>284</v>
      </c>
      <c r="H148" s="34">
        <v>0.04</v>
      </c>
      <c r="I148" s="35">
        <v>11</v>
      </c>
      <c r="J148" s="45">
        <v>21</v>
      </c>
    </row>
    <row r="149" spans="1:10" x14ac:dyDescent="0.3">
      <c r="A149" s="20">
        <v>8310</v>
      </c>
      <c r="B149" s="54" t="s">
        <v>168</v>
      </c>
      <c r="C149" s="24">
        <v>14</v>
      </c>
      <c r="D149" s="22">
        <v>0</v>
      </c>
      <c r="E149" s="41" t="s">
        <v>284</v>
      </c>
      <c r="F149" s="37" t="s">
        <v>464</v>
      </c>
      <c r="G149" s="38" t="s">
        <v>464</v>
      </c>
      <c r="H149" s="24">
        <v>0.17</v>
      </c>
      <c r="I149" s="22">
        <v>5</v>
      </c>
      <c r="J149" s="42" t="s">
        <v>50</v>
      </c>
    </row>
    <row r="150" spans="1:10" x14ac:dyDescent="0.3">
      <c r="A150" s="33">
        <v>8308</v>
      </c>
      <c r="B150" s="58" t="s">
        <v>170</v>
      </c>
      <c r="C150" s="34">
        <v>11</v>
      </c>
      <c r="D150" s="35">
        <v>0</v>
      </c>
      <c r="E150" s="36" t="s">
        <v>284</v>
      </c>
      <c r="F150" s="37" t="s">
        <v>464</v>
      </c>
      <c r="G150" s="38" t="s">
        <v>464</v>
      </c>
      <c r="H150" s="34">
        <v>0.05</v>
      </c>
      <c r="I150" s="43">
        <v>-16</v>
      </c>
      <c r="J150" s="40" t="s">
        <v>50</v>
      </c>
    </row>
    <row r="151" spans="1:10" x14ac:dyDescent="0.3">
      <c r="A151" s="20">
        <v>8303</v>
      </c>
      <c r="B151" s="54" t="s">
        <v>172</v>
      </c>
      <c r="C151" s="24">
        <v>2</v>
      </c>
      <c r="D151" s="22">
        <v>1</v>
      </c>
      <c r="E151" s="41" t="s">
        <v>284</v>
      </c>
      <c r="F151" s="37" t="s">
        <v>563</v>
      </c>
      <c r="G151" s="38" t="s">
        <v>284</v>
      </c>
      <c r="H151" s="24">
        <v>0.01</v>
      </c>
      <c r="I151" s="23">
        <v>-31</v>
      </c>
      <c r="J151" s="5">
        <v>0</v>
      </c>
    </row>
    <row r="152" spans="1:10" x14ac:dyDescent="0.3">
      <c r="A152" s="33">
        <v>8411</v>
      </c>
      <c r="B152" s="58" t="s">
        <v>177</v>
      </c>
      <c r="C152" s="34">
        <v>326438</v>
      </c>
      <c r="D152" s="35">
        <v>29</v>
      </c>
      <c r="E152" s="36" t="s">
        <v>283</v>
      </c>
      <c r="F152" s="37" t="s">
        <v>564</v>
      </c>
      <c r="G152" s="38" t="s">
        <v>283</v>
      </c>
      <c r="H152" s="34">
        <v>5.71</v>
      </c>
      <c r="I152" s="35">
        <v>28</v>
      </c>
      <c r="J152" s="40" t="s">
        <v>50</v>
      </c>
    </row>
    <row r="153" spans="1:10" x14ac:dyDescent="0.3">
      <c r="A153" s="20">
        <v>8409</v>
      </c>
      <c r="B153" s="54" t="s">
        <v>179</v>
      </c>
      <c r="C153" s="24">
        <v>40397</v>
      </c>
      <c r="D153" s="22">
        <v>4894</v>
      </c>
      <c r="E153" s="41" t="s">
        <v>284</v>
      </c>
      <c r="F153" s="37" t="s">
        <v>565</v>
      </c>
      <c r="G153" s="38" t="s">
        <v>284</v>
      </c>
      <c r="H153" s="24">
        <v>2.29</v>
      </c>
      <c r="I153" s="22">
        <v>14</v>
      </c>
      <c r="J153" s="5">
        <v>19</v>
      </c>
    </row>
    <row r="154" spans="1:10" x14ac:dyDescent="0.3">
      <c r="A154" s="33">
        <v>8413</v>
      </c>
      <c r="B154" s="58" t="s">
        <v>185</v>
      </c>
      <c r="C154" s="34">
        <v>22557</v>
      </c>
      <c r="D154" s="35">
        <v>0</v>
      </c>
      <c r="E154" s="36" t="s">
        <v>287</v>
      </c>
      <c r="F154" s="37" t="s">
        <v>464</v>
      </c>
      <c r="G154" s="38" t="s">
        <v>464</v>
      </c>
      <c r="H154" s="34">
        <v>1.4</v>
      </c>
      <c r="I154" s="35">
        <v>16</v>
      </c>
      <c r="J154" s="40" t="s">
        <v>50</v>
      </c>
    </row>
    <row r="155" spans="1:10" x14ac:dyDescent="0.3">
      <c r="A155" s="20">
        <v>8481</v>
      </c>
      <c r="B155" s="54" t="s">
        <v>180</v>
      </c>
      <c r="C155" s="24">
        <v>19694</v>
      </c>
      <c r="D155" s="22">
        <v>769</v>
      </c>
      <c r="E155" s="41" t="s">
        <v>284</v>
      </c>
      <c r="F155" s="37" t="s">
        <v>566</v>
      </c>
      <c r="G155" s="38" t="s">
        <v>284</v>
      </c>
      <c r="H155" s="24">
        <v>0.71</v>
      </c>
      <c r="I155" s="23">
        <v>-9</v>
      </c>
      <c r="J155" s="46">
        <v>-13</v>
      </c>
    </row>
    <row r="156" spans="1:10" x14ac:dyDescent="0.3">
      <c r="A156" s="33">
        <v>8477</v>
      </c>
      <c r="B156" s="58" t="s">
        <v>181</v>
      </c>
      <c r="C156" s="34">
        <v>19467</v>
      </c>
      <c r="D156" s="35">
        <v>0</v>
      </c>
      <c r="E156" s="36" t="s">
        <v>287</v>
      </c>
      <c r="F156" s="37" t="s">
        <v>464</v>
      </c>
      <c r="G156" s="38" t="s">
        <v>464</v>
      </c>
      <c r="H156" s="34">
        <v>4.72</v>
      </c>
      <c r="I156" s="43">
        <v>-2</v>
      </c>
      <c r="J156" s="40" t="s">
        <v>50</v>
      </c>
    </row>
    <row r="157" spans="1:10" x14ac:dyDescent="0.3">
      <c r="A157" s="20">
        <v>8408</v>
      </c>
      <c r="B157" s="54" t="s">
        <v>191</v>
      </c>
      <c r="C157" s="24">
        <v>18572</v>
      </c>
      <c r="D157" s="22">
        <v>4662</v>
      </c>
      <c r="E157" s="41" t="s">
        <v>283</v>
      </c>
      <c r="F157" s="37" t="s">
        <v>567</v>
      </c>
      <c r="G157" s="38" t="s">
        <v>283</v>
      </c>
      <c r="H157" s="24">
        <v>1.3</v>
      </c>
      <c r="I157" s="23">
        <v>-3</v>
      </c>
      <c r="J157" s="42" t="s">
        <v>50</v>
      </c>
    </row>
    <row r="158" spans="1:10" x14ac:dyDescent="0.3">
      <c r="A158" s="33">
        <v>8431</v>
      </c>
      <c r="B158" s="58" t="s">
        <v>184</v>
      </c>
      <c r="C158" s="34">
        <v>17185</v>
      </c>
      <c r="D158" s="35">
        <v>6400</v>
      </c>
      <c r="E158" s="36" t="s">
        <v>284</v>
      </c>
      <c r="F158" s="37" t="s">
        <v>568</v>
      </c>
      <c r="G158" s="38" t="s">
        <v>284</v>
      </c>
      <c r="H158" s="34">
        <v>1.1499999999999999</v>
      </c>
      <c r="I158" s="35">
        <v>2</v>
      </c>
      <c r="J158" s="45">
        <v>7</v>
      </c>
    </row>
    <row r="159" spans="1:10" x14ac:dyDescent="0.3">
      <c r="A159" s="20">
        <v>8406</v>
      </c>
      <c r="B159" s="54" t="s">
        <v>210</v>
      </c>
      <c r="C159" s="24">
        <v>16911</v>
      </c>
      <c r="D159" s="22">
        <v>0</v>
      </c>
      <c r="E159" s="41" t="s">
        <v>287</v>
      </c>
      <c r="F159" s="37" t="s">
        <v>464</v>
      </c>
      <c r="G159" s="38" t="s">
        <v>464</v>
      </c>
      <c r="H159" s="24">
        <v>11.84</v>
      </c>
      <c r="I159" s="23">
        <v>-36</v>
      </c>
      <c r="J159" s="42" t="s">
        <v>50</v>
      </c>
    </row>
    <row r="160" spans="1:10" x14ac:dyDescent="0.3">
      <c r="A160" s="33">
        <v>8421</v>
      </c>
      <c r="B160" s="58" t="s">
        <v>188</v>
      </c>
      <c r="C160" s="34">
        <v>14078</v>
      </c>
      <c r="D160" s="35">
        <v>0</v>
      </c>
      <c r="E160" s="36" t="s">
        <v>288</v>
      </c>
      <c r="F160" s="37" t="s">
        <v>464</v>
      </c>
      <c r="G160" s="38" t="s">
        <v>464</v>
      </c>
      <c r="H160" s="34">
        <v>0.96</v>
      </c>
      <c r="I160" s="43">
        <v>-14</v>
      </c>
      <c r="J160" s="40" t="s">
        <v>50</v>
      </c>
    </row>
    <row r="161" spans="1:10" x14ac:dyDescent="0.3">
      <c r="A161" s="20">
        <v>8482</v>
      </c>
      <c r="B161" s="54" t="s">
        <v>183</v>
      </c>
      <c r="C161" s="24">
        <v>13437</v>
      </c>
      <c r="D161" s="22">
        <v>0</v>
      </c>
      <c r="E161" s="41" t="s">
        <v>287</v>
      </c>
      <c r="F161" s="37" t="s">
        <v>464</v>
      </c>
      <c r="G161" s="38" t="s">
        <v>464</v>
      </c>
      <c r="H161" s="24">
        <v>1.68</v>
      </c>
      <c r="I161" s="23">
        <v>-3</v>
      </c>
      <c r="J161" s="42" t="s">
        <v>50</v>
      </c>
    </row>
    <row r="162" spans="1:10" x14ac:dyDescent="0.3">
      <c r="A162" s="33">
        <v>8483</v>
      </c>
      <c r="B162" s="58" t="s">
        <v>190</v>
      </c>
      <c r="C162" s="34">
        <v>13041</v>
      </c>
      <c r="D162" s="35">
        <v>1924457</v>
      </c>
      <c r="E162" s="36" t="s">
        <v>283</v>
      </c>
      <c r="F162" s="37" t="s">
        <v>569</v>
      </c>
      <c r="G162" s="38" t="s">
        <v>283</v>
      </c>
      <c r="H162" s="34">
        <v>0.57999999999999996</v>
      </c>
      <c r="I162" s="35">
        <v>3</v>
      </c>
      <c r="J162" s="40" t="s">
        <v>50</v>
      </c>
    </row>
    <row r="163" spans="1:10" x14ac:dyDescent="0.3">
      <c r="A163" s="20">
        <v>8480</v>
      </c>
      <c r="B163" s="54" t="s">
        <v>217</v>
      </c>
      <c r="C163" s="24">
        <v>9618</v>
      </c>
      <c r="D163" s="22">
        <v>255</v>
      </c>
      <c r="E163" s="41" t="s">
        <v>284</v>
      </c>
      <c r="F163" s="37" t="s">
        <v>570</v>
      </c>
      <c r="G163" s="38" t="s">
        <v>284</v>
      </c>
      <c r="H163" s="24">
        <v>4.2</v>
      </c>
      <c r="I163" s="22">
        <v>2</v>
      </c>
      <c r="J163" s="5">
        <v>4</v>
      </c>
    </row>
    <row r="164" spans="1:10" x14ac:dyDescent="0.3">
      <c r="A164" s="33">
        <v>8414</v>
      </c>
      <c r="B164" s="58" t="s">
        <v>182</v>
      </c>
      <c r="C164" s="34">
        <v>9562</v>
      </c>
      <c r="D164" s="35">
        <v>0</v>
      </c>
      <c r="E164" s="36" t="s">
        <v>288</v>
      </c>
      <c r="F164" s="37" t="s">
        <v>464</v>
      </c>
      <c r="G164" s="38" t="s">
        <v>464</v>
      </c>
      <c r="H164" s="34">
        <v>0.78</v>
      </c>
      <c r="I164" s="43">
        <v>-11</v>
      </c>
      <c r="J164" s="40" t="s">
        <v>50</v>
      </c>
    </row>
    <row r="165" spans="1:10" x14ac:dyDescent="0.3">
      <c r="A165" s="20">
        <v>8486</v>
      </c>
      <c r="B165" s="54" t="s">
        <v>216</v>
      </c>
      <c r="C165" s="24">
        <v>8882</v>
      </c>
      <c r="D165" s="22">
        <v>0</v>
      </c>
      <c r="E165" s="41" t="s">
        <v>287</v>
      </c>
      <c r="F165" s="37" t="s">
        <v>464</v>
      </c>
      <c r="G165" s="38" t="s">
        <v>464</v>
      </c>
      <c r="H165" s="24">
        <v>10.119999999999999</v>
      </c>
      <c r="I165" s="22">
        <v>7</v>
      </c>
      <c r="J165" s="42" t="s">
        <v>50</v>
      </c>
    </row>
    <row r="166" spans="1:10" x14ac:dyDescent="0.3">
      <c r="A166" s="33">
        <v>8479</v>
      </c>
      <c r="B166" s="58" t="s">
        <v>175</v>
      </c>
      <c r="C166" s="34">
        <v>7713</v>
      </c>
      <c r="D166" s="35">
        <v>0</v>
      </c>
      <c r="E166" s="36" t="s">
        <v>288</v>
      </c>
      <c r="F166" s="37" t="s">
        <v>464</v>
      </c>
      <c r="G166" s="38" t="s">
        <v>464</v>
      </c>
      <c r="H166" s="34">
        <v>0.61</v>
      </c>
      <c r="I166" s="35">
        <v>17</v>
      </c>
      <c r="J166" s="40" t="s">
        <v>50</v>
      </c>
    </row>
    <row r="167" spans="1:10" x14ac:dyDescent="0.3">
      <c r="A167" s="20">
        <v>8473</v>
      </c>
      <c r="B167" s="54" t="s">
        <v>202</v>
      </c>
      <c r="C167" s="24">
        <v>7355</v>
      </c>
      <c r="D167" s="22">
        <v>0</v>
      </c>
      <c r="E167" s="41" t="s">
        <v>288</v>
      </c>
      <c r="F167" s="37" t="s">
        <v>464</v>
      </c>
      <c r="G167" s="38" t="s">
        <v>464</v>
      </c>
      <c r="H167" s="24">
        <v>1.56</v>
      </c>
      <c r="I167" s="22">
        <v>71</v>
      </c>
      <c r="J167" s="42" t="s">
        <v>50</v>
      </c>
    </row>
    <row r="168" spans="1:10" x14ac:dyDescent="0.3">
      <c r="A168" s="33">
        <v>8474</v>
      </c>
      <c r="B168" s="58" t="s">
        <v>224</v>
      </c>
      <c r="C168" s="34">
        <v>6458</v>
      </c>
      <c r="D168" s="35">
        <v>0</v>
      </c>
      <c r="E168" s="36" t="s">
        <v>287</v>
      </c>
      <c r="F168" s="37" t="s">
        <v>464</v>
      </c>
      <c r="G168" s="38" t="s">
        <v>464</v>
      </c>
      <c r="H168" s="34">
        <v>0.72</v>
      </c>
      <c r="I168" s="35">
        <v>10</v>
      </c>
      <c r="J168" s="40" t="s">
        <v>50</v>
      </c>
    </row>
    <row r="169" spans="1:10" x14ac:dyDescent="0.3">
      <c r="A169" s="20">
        <v>8443</v>
      </c>
      <c r="B169" s="54" t="s">
        <v>178</v>
      </c>
      <c r="C169" s="24">
        <v>4833</v>
      </c>
      <c r="D169" s="22">
        <v>0</v>
      </c>
      <c r="E169" s="41" t="s">
        <v>288</v>
      </c>
      <c r="F169" s="37" t="s">
        <v>464</v>
      </c>
      <c r="G169" s="38" t="s">
        <v>464</v>
      </c>
      <c r="H169" s="24">
        <v>1.8</v>
      </c>
      <c r="I169" s="23">
        <v>-8</v>
      </c>
      <c r="J169" s="42" t="s">
        <v>50</v>
      </c>
    </row>
    <row r="170" spans="1:10" x14ac:dyDescent="0.3">
      <c r="A170" s="33">
        <v>8412</v>
      </c>
      <c r="B170" s="58" t="s">
        <v>196</v>
      </c>
      <c r="C170" s="34">
        <v>4368</v>
      </c>
      <c r="D170" s="35">
        <v>0</v>
      </c>
      <c r="E170" s="36" t="s">
        <v>288</v>
      </c>
      <c r="F170" s="37" t="s">
        <v>464</v>
      </c>
      <c r="G170" s="38" t="s">
        <v>464</v>
      </c>
      <c r="H170" s="34">
        <v>0.62</v>
      </c>
      <c r="I170" s="43">
        <v>-6</v>
      </c>
      <c r="J170" s="40" t="s">
        <v>50</v>
      </c>
    </row>
    <row r="171" spans="1:10" x14ac:dyDescent="0.3">
      <c r="A171" s="20">
        <v>8410</v>
      </c>
      <c r="B171" s="54" t="s">
        <v>252</v>
      </c>
      <c r="C171" s="24">
        <v>4082</v>
      </c>
      <c r="D171" s="22">
        <v>341</v>
      </c>
      <c r="E171" s="41" t="s">
        <v>284</v>
      </c>
      <c r="F171" s="37" t="s">
        <v>571</v>
      </c>
      <c r="G171" s="38" t="s">
        <v>284</v>
      </c>
      <c r="H171" s="24">
        <v>6.81</v>
      </c>
      <c r="I171" s="25" t="s">
        <v>50</v>
      </c>
      <c r="J171" s="5">
        <v>243</v>
      </c>
    </row>
    <row r="172" spans="1:10" x14ac:dyDescent="0.3">
      <c r="A172" s="33">
        <v>8466</v>
      </c>
      <c r="B172" s="58" t="s">
        <v>189</v>
      </c>
      <c r="C172" s="34">
        <v>3718</v>
      </c>
      <c r="D172" s="35">
        <v>65789</v>
      </c>
      <c r="E172" s="36" t="s">
        <v>283</v>
      </c>
      <c r="F172" s="37" t="s">
        <v>572</v>
      </c>
      <c r="G172" s="38" t="s">
        <v>283</v>
      </c>
      <c r="H172" s="34">
        <v>1.43</v>
      </c>
      <c r="I172" s="35">
        <v>5</v>
      </c>
      <c r="J172" s="40" t="s">
        <v>50</v>
      </c>
    </row>
    <row r="173" spans="1:10" x14ac:dyDescent="0.3">
      <c r="A173" s="20">
        <v>8419</v>
      </c>
      <c r="B173" s="54" t="s">
        <v>206</v>
      </c>
      <c r="C173" s="24">
        <v>3244</v>
      </c>
      <c r="D173" s="22">
        <v>0</v>
      </c>
      <c r="E173" s="41" t="s">
        <v>288</v>
      </c>
      <c r="F173" s="37" t="s">
        <v>464</v>
      </c>
      <c r="G173" s="38" t="s">
        <v>464</v>
      </c>
      <c r="H173" s="24">
        <v>0.24</v>
      </c>
      <c r="I173" s="22">
        <v>11</v>
      </c>
      <c r="J173" s="42" t="s">
        <v>50</v>
      </c>
    </row>
    <row r="174" spans="1:10" x14ac:dyDescent="0.3">
      <c r="A174" s="33">
        <v>8415</v>
      </c>
      <c r="B174" s="58" t="s">
        <v>199</v>
      </c>
      <c r="C174" s="34">
        <v>3121</v>
      </c>
      <c r="D174" s="35">
        <v>0</v>
      </c>
      <c r="E174" s="36" t="s">
        <v>288</v>
      </c>
      <c r="F174" s="37" t="s">
        <v>464</v>
      </c>
      <c r="G174" s="38" t="s">
        <v>464</v>
      </c>
      <c r="H174" s="34">
        <v>0.59</v>
      </c>
      <c r="I174" s="35">
        <v>53</v>
      </c>
      <c r="J174" s="40" t="s">
        <v>50</v>
      </c>
    </row>
    <row r="175" spans="1:10" x14ac:dyDescent="0.3">
      <c r="A175" s="20">
        <v>8428</v>
      </c>
      <c r="B175" s="54" t="s">
        <v>198</v>
      </c>
      <c r="C175" s="24">
        <v>2866</v>
      </c>
      <c r="D175" s="22">
        <v>0</v>
      </c>
      <c r="E175" s="41" t="s">
        <v>288</v>
      </c>
      <c r="F175" s="37" t="s">
        <v>464</v>
      </c>
      <c r="G175" s="38" t="s">
        <v>464</v>
      </c>
      <c r="H175" s="24">
        <v>0.79</v>
      </c>
      <c r="I175" s="22">
        <v>5</v>
      </c>
      <c r="J175" s="42" t="s">
        <v>50</v>
      </c>
    </row>
    <row r="176" spans="1:10" x14ac:dyDescent="0.3">
      <c r="A176" s="33">
        <v>8475</v>
      </c>
      <c r="B176" s="58" t="s">
        <v>243</v>
      </c>
      <c r="C176" s="34">
        <v>2775</v>
      </c>
      <c r="D176" s="35">
        <v>10</v>
      </c>
      <c r="E176" s="36" t="s">
        <v>283</v>
      </c>
      <c r="F176" s="37" t="s">
        <v>573</v>
      </c>
      <c r="G176" s="38" t="s">
        <v>283</v>
      </c>
      <c r="H176" s="34">
        <v>2.25</v>
      </c>
      <c r="I176" s="43">
        <v>-13</v>
      </c>
      <c r="J176" s="40" t="s">
        <v>50</v>
      </c>
    </row>
    <row r="177" spans="1:10" x14ac:dyDescent="0.3">
      <c r="A177" s="20">
        <v>8471</v>
      </c>
      <c r="B177" s="54" t="s">
        <v>208</v>
      </c>
      <c r="C177" s="24">
        <v>1495</v>
      </c>
      <c r="D177" s="22">
        <v>0</v>
      </c>
      <c r="E177" s="41" t="s">
        <v>288</v>
      </c>
      <c r="F177" s="37" t="s">
        <v>464</v>
      </c>
      <c r="G177" s="38" t="s">
        <v>464</v>
      </c>
      <c r="H177" s="24">
        <v>0.14000000000000001</v>
      </c>
      <c r="I177" s="22">
        <v>2</v>
      </c>
      <c r="J177" s="42" t="s">
        <v>50</v>
      </c>
    </row>
    <row r="178" spans="1:10" x14ac:dyDescent="0.3">
      <c r="A178" s="33">
        <v>8484</v>
      </c>
      <c r="B178" s="58" t="s">
        <v>219</v>
      </c>
      <c r="C178" s="34">
        <v>1483</v>
      </c>
      <c r="D178" s="35">
        <v>11</v>
      </c>
      <c r="E178" s="36" t="s">
        <v>284</v>
      </c>
      <c r="F178" s="37" t="s">
        <v>574</v>
      </c>
      <c r="G178" s="38" t="s">
        <v>284</v>
      </c>
      <c r="H178" s="34">
        <v>0.77</v>
      </c>
      <c r="I178" s="43">
        <v>-6</v>
      </c>
      <c r="J178" s="44">
        <v>-4</v>
      </c>
    </row>
    <row r="179" spans="1:10" x14ac:dyDescent="0.3">
      <c r="A179" s="20">
        <v>8487</v>
      </c>
      <c r="B179" s="54" t="s">
        <v>225</v>
      </c>
      <c r="C179" s="24">
        <v>1435</v>
      </c>
      <c r="D179" s="22">
        <v>220</v>
      </c>
      <c r="E179" s="41" t="s">
        <v>284</v>
      </c>
      <c r="F179" s="37" t="s">
        <v>575</v>
      </c>
      <c r="G179" s="38" t="s">
        <v>284</v>
      </c>
      <c r="H179" s="24">
        <v>0.68</v>
      </c>
      <c r="I179" s="22">
        <v>42</v>
      </c>
      <c r="J179" s="5">
        <v>64</v>
      </c>
    </row>
    <row r="180" spans="1:10" x14ac:dyDescent="0.3">
      <c r="A180" s="33">
        <v>8448</v>
      </c>
      <c r="B180" s="58" t="s">
        <v>211</v>
      </c>
      <c r="C180" s="34">
        <v>1329</v>
      </c>
      <c r="D180" s="35">
        <v>120</v>
      </c>
      <c r="E180" s="36" t="s">
        <v>284</v>
      </c>
      <c r="F180" s="37" t="s">
        <v>576</v>
      </c>
      <c r="G180" s="38" t="s">
        <v>284</v>
      </c>
      <c r="H180" s="34">
        <v>0.96</v>
      </c>
      <c r="I180" s="43">
        <v>-50</v>
      </c>
      <c r="J180" s="44">
        <v>-56</v>
      </c>
    </row>
    <row r="181" spans="1:10" x14ac:dyDescent="0.3">
      <c r="A181" s="20">
        <v>8438</v>
      </c>
      <c r="B181" s="54" t="s">
        <v>226</v>
      </c>
      <c r="C181" s="24">
        <v>1304</v>
      </c>
      <c r="D181" s="22">
        <v>0</v>
      </c>
      <c r="E181" s="41" t="s">
        <v>288</v>
      </c>
      <c r="F181" s="37" t="s">
        <v>464</v>
      </c>
      <c r="G181" s="38" t="s">
        <v>464</v>
      </c>
      <c r="H181" s="24">
        <v>0.35</v>
      </c>
      <c r="I181" s="22">
        <v>93</v>
      </c>
      <c r="J181" s="42" t="s">
        <v>50</v>
      </c>
    </row>
    <row r="182" spans="1:10" x14ac:dyDescent="0.3">
      <c r="A182" s="33">
        <v>8422</v>
      </c>
      <c r="B182" s="58" t="s">
        <v>203</v>
      </c>
      <c r="C182" s="34">
        <v>1285</v>
      </c>
      <c r="D182" s="35">
        <v>0</v>
      </c>
      <c r="E182" s="36" t="s">
        <v>288</v>
      </c>
      <c r="F182" s="37" t="s">
        <v>464</v>
      </c>
      <c r="G182" s="38" t="s">
        <v>464</v>
      </c>
      <c r="H182" s="34">
        <v>0.43</v>
      </c>
      <c r="I182" s="35">
        <v>44</v>
      </c>
      <c r="J182" s="40" t="s">
        <v>50</v>
      </c>
    </row>
    <row r="183" spans="1:10" x14ac:dyDescent="0.3">
      <c r="A183" s="20">
        <v>8445</v>
      </c>
      <c r="B183" s="54" t="s">
        <v>195</v>
      </c>
      <c r="C183" s="24">
        <v>1244</v>
      </c>
      <c r="D183" s="22">
        <v>6</v>
      </c>
      <c r="E183" s="41" t="s">
        <v>283</v>
      </c>
      <c r="F183" s="37" t="s">
        <v>577</v>
      </c>
      <c r="G183" s="38" t="s">
        <v>283</v>
      </c>
      <c r="H183" s="24">
        <v>0.88</v>
      </c>
      <c r="I183" s="22">
        <v>157</v>
      </c>
      <c r="J183" s="5">
        <v>56</v>
      </c>
    </row>
    <row r="184" spans="1:10" x14ac:dyDescent="0.3">
      <c r="A184" s="33">
        <v>8465</v>
      </c>
      <c r="B184" s="58" t="s">
        <v>240</v>
      </c>
      <c r="C184" s="34">
        <v>1208</v>
      </c>
      <c r="D184" s="35">
        <v>0</v>
      </c>
      <c r="E184" s="36" t="s">
        <v>287</v>
      </c>
      <c r="F184" s="37" t="s">
        <v>464</v>
      </c>
      <c r="G184" s="38" t="s">
        <v>464</v>
      </c>
      <c r="H184" s="34">
        <v>2.41</v>
      </c>
      <c r="I184" s="35">
        <v>78</v>
      </c>
      <c r="J184" s="40" t="s">
        <v>50</v>
      </c>
    </row>
    <row r="185" spans="1:10" x14ac:dyDescent="0.3">
      <c r="A185" s="20">
        <v>8456</v>
      </c>
      <c r="B185" s="54" t="s">
        <v>207</v>
      </c>
      <c r="C185" s="24">
        <v>1176</v>
      </c>
      <c r="D185" s="22">
        <v>62</v>
      </c>
      <c r="E185" s="41" t="s">
        <v>283</v>
      </c>
      <c r="F185" s="37" t="s">
        <v>578</v>
      </c>
      <c r="G185" s="38" t="s">
        <v>283</v>
      </c>
      <c r="H185" s="24">
        <v>5.8</v>
      </c>
      <c r="I185" s="22">
        <v>8</v>
      </c>
      <c r="J185" s="5">
        <v>2</v>
      </c>
    </row>
    <row r="186" spans="1:10" x14ac:dyDescent="0.3">
      <c r="A186" s="33">
        <v>8418</v>
      </c>
      <c r="B186" s="58" t="s">
        <v>232</v>
      </c>
      <c r="C186" s="34">
        <v>1138</v>
      </c>
      <c r="D186" s="35">
        <v>0</v>
      </c>
      <c r="E186" s="36" t="s">
        <v>288</v>
      </c>
      <c r="F186" s="37" t="s">
        <v>464</v>
      </c>
      <c r="G186" s="38" t="s">
        <v>464</v>
      </c>
      <c r="H186" s="34">
        <v>0.32</v>
      </c>
      <c r="I186" s="35">
        <v>9</v>
      </c>
      <c r="J186" s="40" t="s">
        <v>50</v>
      </c>
    </row>
    <row r="187" spans="1:10" x14ac:dyDescent="0.3">
      <c r="A187" s="20">
        <v>8455</v>
      </c>
      <c r="B187" s="54" t="s">
        <v>197</v>
      </c>
      <c r="C187" s="24">
        <v>891</v>
      </c>
      <c r="D187" s="22">
        <v>110</v>
      </c>
      <c r="E187" s="41" t="s">
        <v>284</v>
      </c>
      <c r="F187" s="37" t="s">
        <v>579</v>
      </c>
      <c r="G187" s="38" t="s">
        <v>284</v>
      </c>
      <c r="H187" s="24">
        <v>0.41</v>
      </c>
      <c r="I187" s="22">
        <v>61</v>
      </c>
      <c r="J187" s="5">
        <v>14</v>
      </c>
    </row>
    <row r="188" spans="1:10" x14ac:dyDescent="0.3">
      <c r="A188" s="33">
        <v>8420</v>
      </c>
      <c r="B188" s="58" t="s">
        <v>244</v>
      </c>
      <c r="C188" s="34">
        <v>767</v>
      </c>
      <c r="D188" s="35">
        <v>152</v>
      </c>
      <c r="E188" s="36" t="s">
        <v>284</v>
      </c>
      <c r="F188" s="37" t="s">
        <v>580</v>
      </c>
      <c r="G188" s="38" t="s">
        <v>284</v>
      </c>
      <c r="H188" s="34">
        <v>4.0199999999999996</v>
      </c>
      <c r="I188" s="43">
        <v>-2</v>
      </c>
      <c r="J188" s="45">
        <v>5</v>
      </c>
    </row>
    <row r="189" spans="1:10" x14ac:dyDescent="0.3">
      <c r="A189" s="20">
        <v>8429</v>
      </c>
      <c r="B189" s="54" t="s">
        <v>192</v>
      </c>
      <c r="C189" s="24">
        <v>589</v>
      </c>
      <c r="D189" s="22">
        <v>0</v>
      </c>
      <c r="E189" s="41" t="s">
        <v>287</v>
      </c>
      <c r="F189" s="37" t="s">
        <v>464</v>
      </c>
      <c r="G189" s="38" t="s">
        <v>464</v>
      </c>
      <c r="H189" s="24">
        <v>0.04</v>
      </c>
      <c r="I189" s="22">
        <v>35</v>
      </c>
      <c r="J189" s="42" t="s">
        <v>50</v>
      </c>
    </row>
    <row r="190" spans="1:10" x14ac:dyDescent="0.3">
      <c r="A190" s="33">
        <v>8454</v>
      </c>
      <c r="B190" s="58" t="s">
        <v>201</v>
      </c>
      <c r="C190" s="34">
        <v>453</v>
      </c>
      <c r="D190" s="35">
        <v>0</v>
      </c>
      <c r="E190" s="36" t="s">
        <v>287</v>
      </c>
      <c r="F190" s="37" t="s">
        <v>464</v>
      </c>
      <c r="G190" s="38" t="s">
        <v>464</v>
      </c>
      <c r="H190" s="34">
        <v>0.84</v>
      </c>
      <c r="I190" s="35">
        <v>69</v>
      </c>
      <c r="J190" s="40" t="s">
        <v>50</v>
      </c>
    </row>
    <row r="191" spans="1:10" x14ac:dyDescent="0.3">
      <c r="A191" s="20">
        <v>8472</v>
      </c>
      <c r="B191" s="54" t="s">
        <v>241</v>
      </c>
      <c r="C191" s="24">
        <v>413</v>
      </c>
      <c r="D191" s="22">
        <v>152903</v>
      </c>
      <c r="E191" s="41" t="s">
        <v>283</v>
      </c>
      <c r="F191" s="37" t="s">
        <v>581</v>
      </c>
      <c r="G191" s="38" t="s">
        <v>283</v>
      </c>
      <c r="H191" s="24">
        <v>0.11</v>
      </c>
      <c r="I191" s="23">
        <v>-7</v>
      </c>
      <c r="J191" s="42" t="s">
        <v>50</v>
      </c>
    </row>
    <row r="192" spans="1:10" x14ac:dyDescent="0.3">
      <c r="A192" s="33">
        <v>8441</v>
      </c>
      <c r="B192" s="58" t="s">
        <v>221</v>
      </c>
      <c r="C192" s="34">
        <v>401</v>
      </c>
      <c r="D192" s="35">
        <v>0</v>
      </c>
      <c r="E192" s="36" t="s">
        <v>288</v>
      </c>
      <c r="F192" s="37" t="s">
        <v>464</v>
      </c>
      <c r="G192" s="38" t="s">
        <v>464</v>
      </c>
      <c r="H192" s="34">
        <v>0.56000000000000005</v>
      </c>
      <c r="I192" s="43">
        <v>-14</v>
      </c>
      <c r="J192" s="40" t="s">
        <v>50</v>
      </c>
    </row>
    <row r="193" spans="1:10" x14ac:dyDescent="0.3">
      <c r="A193" s="20">
        <v>8467</v>
      </c>
      <c r="B193" s="54" t="s">
        <v>220</v>
      </c>
      <c r="C193" s="24">
        <v>356</v>
      </c>
      <c r="D193" s="22">
        <v>0</v>
      </c>
      <c r="E193" s="41" t="s">
        <v>288</v>
      </c>
      <c r="F193" s="37" t="s">
        <v>464</v>
      </c>
      <c r="G193" s="38" t="s">
        <v>464</v>
      </c>
      <c r="H193" s="24">
        <v>0.15</v>
      </c>
      <c r="I193" s="22">
        <v>13</v>
      </c>
      <c r="J193" s="42" t="s">
        <v>50</v>
      </c>
    </row>
    <row r="194" spans="1:10" x14ac:dyDescent="0.3">
      <c r="A194" s="33">
        <v>8407</v>
      </c>
      <c r="B194" s="58" t="s">
        <v>218</v>
      </c>
      <c r="C194" s="34">
        <v>314</v>
      </c>
      <c r="D194" s="35">
        <v>0</v>
      </c>
      <c r="E194" s="36" t="s">
        <v>288</v>
      </c>
      <c r="F194" s="37" t="s">
        <v>464</v>
      </c>
      <c r="G194" s="38" t="s">
        <v>464</v>
      </c>
      <c r="H194" s="34">
        <v>0.05</v>
      </c>
      <c r="I194" s="35">
        <v>4</v>
      </c>
      <c r="J194" s="40" t="s">
        <v>50</v>
      </c>
    </row>
    <row r="195" spans="1:10" x14ac:dyDescent="0.3">
      <c r="A195" s="20">
        <v>8424</v>
      </c>
      <c r="B195" s="54" t="s">
        <v>204</v>
      </c>
      <c r="C195" s="24">
        <v>203</v>
      </c>
      <c r="D195" s="22">
        <v>0</v>
      </c>
      <c r="E195" s="41" t="s">
        <v>288</v>
      </c>
      <c r="F195" s="37" t="s">
        <v>464</v>
      </c>
      <c r="G195" s="38" t="s">
        <v>464</v>
      </c>
      <c r="H195" s="24">
        <v>0.11</v>
      </c>
      <c r="I195" s="22">
        <v>3</v>
      </c>
      <c r="J195" s="42" t="s">
        <v>50</v>
      </c>
    </row>
    <row r="196" spans="1:10" x14ac:dyDescent="0.3">
      <c r="A196" s="33">
        <v>8417</v>
      </c>
      <c r="B196" s="58" t="s">
        <v>215</v>
      </c>
      <c r="C196" s="34">
        <v>198</v>
      </c>
      <c r="D196" s="35">
        <v>0</v>
      </c>
      <c r="E196" s="36" t="s">
        <v>288</v>
      </c>
      <c r="F196" s="37" t="s">
        <v>464</v>
      </c>
      <c r="G196" s="38" t="s">
        <v>464</v>
      </c>
      <c r="H196" s="34">
        <v>0.22</v>
      </c>
      <c r="I196" s="43">
        <v>-41</v>
      </c>
      <c r="J196" s="40" t="s">
        <v>50</v>
      </c>
    </row>
    <row r="197" spans="1:10" x14ac:dyDescent="0.3">
      <c r="A197" s="20">
        <v>8425</v>
      </c>
      <c r="B197" s="54" t="s">
        <v>227</v>
      </c>
      <c r="C197" s="24">
        <v>170</v>
      </c>
      <c r="D197" s="22">
        <v>0</v>
      </c>
      <c r="E197" s="41" t="s">
        <v>287</v>
      </c>
      <c r="F197" s="37" t="s">
        <v>464</v>
      </c>
      <c r="G197" s="38" t="s">
        <v>464</v>
      </c>
      <c r="H197" s="24">
        <v>0.18</v>
      </c>
      <c r="I197" s="22">
        <v>103</v>
      </c>
      <c r="J197" s="42" t="s">
        <v>50</v>
      </c>
    </row>
    <row r="198" spans="1:10" x14ac:dyDescent="0.3">
      <c r="A198" s="33">
        <v>8423</v>
      </c>
      <c r="B198" s="58" t="s">
        <v>214</v>
      </c>
      <c r="C198" s="34">
        <v>167</v>
      </c>
      <c r="D198" s="35">
        <v>0</v>
      </c>
      <c r="E198" s="36" t="s">
        <v>288</v>
      </c>
      <c r="F198" s="37" t="s">
        <v>464</v>
      </c>
      <c r="G198" s="38" t="s">
        <v>464</v>
      </c>
      <c r="H198" s="34">
        <v>0.31</v>
      </c>
      <c r="I198" s="35">
        <v>64</v>
      </c>
      <c r="J198" s="40" t="s">
        <v>50</v>
      </c>
    </row>
    <row r="199" spans="1:10" x14ac:dyDescent="0.3">
      <c r="A199" s="20">
        <v>8462</v>
      </c>
      <c r="B199" s="54" t="s">
        <v>186</v>
      </c>
      <c r="C199" s="24">
        <v>161</v>
      </c>
      <c r="D199" s="22">
        <v>0</v>
      </c>
      <c r="E199" s="41" t="s">
        <v>288</v>
      </c>
      <c r="F199" s="37" t="s">
        <v>464</v>
      </c>
      <c r="G199" s="38" t="s">
        <v>464</v>
      </c>
      <c r="H199" s="24">
        <v>0.21</v>
      </c>
      <c r="I199" s="22">
        <v>55</v>
      </c>
      <c r="J199" s="42" t="s">
        <v>50</v>
      </c>
    </row>
    <row r="200" spans="1:10" x14ac:dyDescent="0.3">
      <c r="A200" s="33">
        <v>8416</v>
      </c>
      <c r="B200" s="58" t="s">
        <v>231</v>
      </c>
      <c r="C200" s="34">
        <v>160</v>
      </c>
      <c r="D200" s="35">
        <v>13</v>
      </c>
      <c r="E200" s="36" t="s">
        <v>284</v>
      </c>
      <c r="F200" s="37" t="s">
        <v>582</v>
      </c>
      <c r="G200" s="38" t="s">
        <v>284</v>
      </c>
      <c r="H200" s="34">
        <v>0.53</v>
      </c>
      <c r="I200" s="35">
        <v>68</v>
      </c>
      <c r="J200" s="45">
        <v>48</v>
      </c>
    </row>
    <row r="201" spans="1:10" x14ac:dyDescent="0.3">
      <c r="A201" s="20">
        <v>8468</v>
      </c>
      <c r="B201" s="54" t="s">
        <v>233</v>
      </c>
      <c r="C201" s="24">
        <v>149</v>
      </c>
      <c r="D201" s="22">
        <v>1</v>
      </c>
      <c r="E201" s="41" t="s">
        <v>284</v>
      </c>
      <c r="F201" s="37" t="s">
        <v>583</v>
      </c>
      <c r="G201" s="38" t="s">
        <v>284</v>
      </c>
      <c r="H201" s="24">
        <v>0.64</v>
      </c>
      <c r="I201" s="22">
        <v>11</v>
      </c>
      <c r="J201" s="5">
        <v>0</v>
      </c>
    </row>
    <row r="202" spans="1:10" x14ac:dyDescent="0.3">
      <c r="A202" s="33">
        <v>8437</v>
      </c>
      <c r="B202" s="58" t="s">
        <v>247</v>
      </c>
      <c r="C202" s="34">
        <v>124</v>
      </c>
      <c r="D202" s="35">
        <v>0</v>
      </c>
      <c r="E202" s="36" t="s">
        <v>287</v>
      </c>
      <c r="F202" s="37" t="s">
        <v>464</v>
      </c>
      <c r="G202" s="38" t="s">
        <v>464</v>
      </c>
      <c r="H202" s="34">
        <v>0.14000000000000001</v>
      </c>
      <c r="I202" s="43">
        <v>-3</v>
      </c>
      <c r="J202" s="40" t="s">
        <v>50</v>
      </c>
    </row>
    <row r="203" spans="1:10" x14ac:dyDescent="0.3">
      <c r="A203" s="20">
        <v>8405</v>
      </c>
      <c r="B203" s="54" t="s">
        <v>249</v>
      </c>
      <c r="C203" s="24">
        <v>119</v>
      </c>
      <c r="D203" s="22">
        <v>7</v>
      </c>
      <c r="E203" s="41" t="s">
        <v>283</v>
      </c>
      <c r="F203" s="37" t="s">
        <v>584</v>
      </c>
      <c r="G203" s="38" t="s">
        <v>283</v>
      </c>
      <c r="H203" s="24">
        <v>0.77</v>
      </c>
      <c r="I203" s="22">
        <v>58</v>
      </c>
      <c r="J203" s="42" t="s">
        <v>50</v>
      </c>
    </row>
    <row r="204" spans="1:10" x14ac:dyDescent="0.3">
      <c r="A204" s="33">
        <v>8457</v>
      </c>
      <c r="B204" s="58" t="s">
        <v>176</v>
      </c>
      <c r="C204" s="34">
        <v>114</v>
      </c>
      <c r="D204" s="35">
        <v>0</v>
      </c>
      <c r="E204" s="36" t="s">
        <v>288</v>
      </c>
      <c r="F204" s="37" t="s">
        <v>464</v>
      </c>
      <c r="G204" s="38" t="s">
        <v>464</v>
      </c>
      <c r="H204" s="34">
        <v>0.11</v>
      </c>
      <c r="I204" s="43">
        <v>-8</v>
      </c>
      <c r="J204" s="40" t="s">
        <v>50</v>
      </c>
    </row>
    <row r="205" spans="1:10" x14ac:dyDescent="0.3">
      <c r="A205" s="20">
        <v>8461</v>
      </c>
      <c r="B205" s="54" t="s">
        <v>205</v>
      </c>
      <c r="C205" s="24">
        <v>111</v>
      </c>
      <c r="D205" s="22">
        <v>0</v>
      </c>
      <c r="E205" s="41" t="s">
        <v>288</v>
      </c>
      <c r="F205" s="37" t="s">
        <v>464</v>
      </c>
      <c r="G205" s="38" t="s">
        <v>464</v>
      </c>
      <c r="H205" s="24">
        <v>0.47</v>
      </c>
      <c r="I205" s="22">
        <v>108</v>
      </c>
      <c r="J205" s="42" t="s">
        <v>50</v>
      </c>
    </row>
    <row r="206" spans="1:10" x14ac:dyDescent="0.3">
      <c r="A206" s="33">
        <v>8439</v>
      </c>
      <c r="B206" s="58" t="s">
        <v>238</v>
      </c>
      <c r="C206" s="34">
        <v>101</v>
      </c>
      <c r="D206" s="35">
        <v>9</v>
      </c>
      <c r="E206" s="36" t="s">
        <v>284</v>
      </c>
      <c r="F206" s="37" t="s">
        <v>585</v>
      </c>
      <c r="G206" s="38" t="s">
        <v>284</v>
      </c>
      <c r="H206" s="34">
        <v>0.15</v>
      </c>
      <c r="I206" s="43">
        <v>-7</v>
      </c>
      <c r="J206" s="45">
        <v>3</v>
      </c>
    </row>
    <row r="207" spans="1:10" x14ac:dyDescent="0.3">
      <c r="A207" s="20">
        <v>8433</v>
      </c>
      <c r="B207" s="54" t="s">
        <v>200</v>
      </c>
      <c r="C207" s="24">
        <v>86</v>
      </c>
      <c r="D207" s="22">
        <v>0</v>
      </c>
      <c r="E207" s="41" t="s">
        <v>288</v>
      </c>
      <c r="F207" s="37" t="s">
        <v>464</v>
      </c>
      <c r="G207" s="38" t="s">
        <v>464</v>
      </c>
      <c r="H207" s="24">
        <v>0.08</v>
      </c>
      <c r="I207" s="22">
        <v>186</v>
      </c>
      <c r="J207" s="42" t="s">
        <v>50</v>
      </c>
    </row>
    <row r="208" spans="1:10" x14ac:dyDescent="0.3">
      <c r="A208" s="33">
        <v>8426</v>
      </c>
      <c r="B208" s="58" t="s">
        <v>222</v>
      </c>
      <c r="C208" s="34">
        <v>81</v>
      </c>
      <c r="D208" s="35">
        <v>0</v>
      </c>
      <c r="E208" s="36" t="s">
        <v>288</v>
      </c>
      <c r="F208" s="37" t="s">
        <v>464</v>
      </c>
      <c r="G208" s="38" t="s">
        <v>464</v>
      </c>
      <c r="H208" s="34">
        <v>7.0000000000000007E-2</v>
      </c>
      <c r="I208" s="43">
        <v>-34</v>
      </c>
      <c r="J208" s="40" t="s">
        <v>50</v>
      </c>
    </row>
    <row r="209" spans="1:10" x14ac:dyDescent="0.3">
      <c r="A209" s="20">
        <v>8434</v>
      </c>
      <c r="B209" s="54" t="s">
        <v>258</v>
      </c>
      <c r="C209" s="24">
        <v>62</v>
      </c>
      <c r="D209" s="22">
        <v>3</v>
      </c>
      <c r="E209" s="41" t="s">
        <v>284</v>
      </c>
      <c r="F209" s="37" t="s">
        <v>586</v>
      </c>
      <c r="G209" s="38" t="s">
        <v>284</v>
      </c>
      <c r="H209" s="24">
        <v>0.26</v>
      </c>
      <c r="I209" s="25" t="s">
        <v>50</v>
      </c>
      <c r="J209" s="42" t="s">
        <v>50</v>
      </c>
    </row>
    <row r="210" spans="1:10" x14ac:dyDescent="0.3">
      <c r="A210" s="33">
        <v>8430</v>
      </c>
      <c r="B210" s="58" t="s">
        <v>235</v>
      </c>
      <c r="C210" s="34">
        <v>52</v>
      </c>
      <c r="D210" s="35">
        <v>0</v>
      </c>
      <c r="E210" s="36" t="s">
        <v>288</v>
      </c>
      <c r="F210" s="37" t="s">
        <v>464</v>
      </c>
      <c r="G210" s="38" t="s">
        <v>464</v>
      </c>
      <c r="H210" s="34">
        <v>0.03</v>
      </c>
      <c r="I210" s="43">
        <v>-39</v>
      </c>
      <c r="J210" s="40" t="s">
        <v>50</v>
      </c>
    </row>
    <row r="211" spans="1:10" x14ac:dyDescent="0.3">
      <c r="A211" s="20">
        <v>8432</v>
      </c>
      <c r="B211" s="54" t="s">
        <v>242</v>
      </c>
      <c r="C211" s="24">
        <v>41</v>
      </c>
      <c r="D211" s="22">
        <v>0</v>
      </c>
      <c r="E211" s="41" t="s">
        <v>288</v>
      </c>
      <c r="F211" s="37" t="s">
        <v>464</v>
      </c>
      <c r="G211" s="38" t="s">
        <v>464</v>
      </c>
      <c r="H211" s="24">
        <v>0.02</v>
      </c>
      <c r="I211" s="23">
        <v>-2</v>
      </c>
      <c r="J211" s="42" t="s">
        <v>50</v>
      </c>
    </row>
    <row r="212" spans="1:10" x14ac:dyDescent="0.3">
      <c r="A212" s="33">
        <v>8451</v>
      </c>
      <c r="B212" s="58" t="s">
        <v>234</v>
      </c>
      <c r="C212" s="34">
        <v>41</v>
      </c>
      <c r="D212" s="35">
        <v>0</v>
      </c>
      <c r="E212" s="36" t="s">
        <v>288</v>
      </c>
      <c r="F212" s="37" t="s">
        <v>464</v>
      </c>
      <c r="G212" s="38" t="s">
        <v>464</v>
      </c>
      <c r="H212" s="34">
        <v>0.05</v>
      </c>
      <c r="I212" s="35">
        <v>4</v>
      </c>
      <c r="J212" s="40" t="s">
        <v>50</v>
      </c>
    </row>
    <row r="213" spans="1:10" x14ac:dyDescent="0.3">
      <c r="A213" s="20">
        <v>8458</v>
      </c>
      <c r="B213" s="54" t="s">
        <v>194</v>
      </c>
      <c r="C213" s="24">
        <v>36</v>
      </c>
      <c r="D213" s="22">
        <v>0</v>
      </c>
      <c r="E213" s="41" t="s">
        <v>287</v>
      </c>
      <c r="F213" s="37" t="s">
        <v>464</v>
      </c>
      <c r="G213" s="38" t="s">
        <v>464</v>
      </c>
      <c r="H213" s="24">
        <v>7.0000000000000007E-2</v>
      </c>
      <c r="I213" s="22">
        <v>51</v>
      </c>
      <c r="J213" s="42" t="s">
        <v>50</v>
      </c>
    </row>
    <row r="214" spans="1:10" x14ac:dyDescent="0.3">
      <c r="A214" s="33">
        <v>8460</v>
      </c>
      <c r="B214" s="58" t="s">
        <v>193</v>
      </c>
      <c r="C214" s="34">
        <v>35</v>
      </c>
      <c r="D214" s="35">
        <v>0</v>
      </c>
      <c r="E214" s="36" t="s">
        <v>288</v>
      </c>
      <c r="F214" s="37" t="s">
        <v>464</v>
      </c>
      <c r="G214" s="38" t="s">
        <v>464</v>
      </c>
      <c r="H214" s="34">
        <v>0.11</v>
      </c>
      <c r="I214" s="43">
        <v>-44</v>
      </c>
      <c r="J214" s="40" t="s">
        <v>50</v>
      </c>
    </row>
    <row r="215" spans="1:10" x14ac:dyDescent="0.3">
      <c r="A215" s="20">
        <v>8404</v>
      </c>
      <c r="B215" s="54" t="s">
        <v>248</v>
      </c>
      <c r="C215" s="24">
        <v>32</v>
      </c>
      <c r="D215" s="22">
        <v>0</v>
      </c>
      <c r="E215" s="41" t="s">
        <v>284</v>
      </c>
      <c r="F215" s="37" t="s">
        <v>464</v>
      </c>
      <c r="G215" s="38" t="s">
        <v>464</v>
      </c>
      <c r="H215" s="24">
        <v>0.09</v>
      </c>
      <c r="I215" s="22">
        <v>117</v>
      </c>
      <c r="J215" s="42" t="s">
        <v>50</v>
      </c>
    </row>
    <row r="216" spans="1:10" x14ac:dyDescent="0.3">
      <c r="A216" s="33">
        <v>8402</v>
      </c>
      <c r="B216" s="58" t="s">
        <v>251</v>
      </c>
      <c r="C216" s="34">
        <v>29</v>
      </c>
      <c r="D216" s="35">
        <v>2</v>
      </c>
      <c r="E216" s="36" t="s">
        <v>284</v>
      </c>
      <c r="F216" s="37" t="s">
        <v>587</v>
      </c>
      <c r="G216" s="38" t="s">
        <v>284</v>
      </c>
      <c r="H216" s="34">
        <v>0.01</v>
      </c>
      <c r="I216" s="43">
        <v>-79</v>
      </c>
      <c r="J216" s="44">
        <v>-84</v>
      </c>
    </row>
    <row r="217" spans="1:10" x14ac:dyDescent="0.3">
      <c r="A217" s="20">
        <v>8442</v>
      </c>
      <c r="B217" s="54" t="s">
        <v>245</v>
      </c>
      <c r="C217" s="24">
        <v>28</v>
      </c>
      <c r="D217" s="22">
        <v>0</v>
      </c>
      <c r="E217" s="41" t="s">
        <v>288</v>
      </c>
      <c r="F217" s="37" t="s">
        <v>464</v>
      </c>
      <c r="G217" s="38" t="s">
        <v>464</v>
      </c>
      <c r="H217" s="24">
        <v>0.16</v>
      </c>
      <c r="I217" s="25" t="s">
        <v>50</v>
      </c>
      <c r="J217" s="42" t="s">
        <v>50</v>
      </c>
    </row>
    <row r="218" spans="1:10" x14ac:dyDescent="0.3">
      <c r="A218" s="33">
        <v>8459</v>
      </c>
      <c r="B218" s="58" t="s">
        <v>212</v>
      </c>
      <c r="C218" s="34">
        <v>26</v>
      </c>
      <c r="D218" s="35">
        <v>0</v>
      </c>
      <c r="E218" s="36" t="s">
        <v>288</v>
      </c>
      <c r="F218" s="37" t="s">
        <v>464</v>
      </c>
      <c r="G218" s="38" t="s">
        <v>464</v>
      </c>
      <c r="H218" s="34">
        <v>0.11</v>
      </c>
      <c r="I218" s="43">
        <v>-41</v>
      </c>
      <c r="J218" s="40" t="s">
        <v>50</v>
      </c>
    </row>
    <row r="219" spans="1:10" x14ac:dyDescent="0.3">
      <c r="A219" s="20">
        <v>8427</v>
      </c>
      <c r="B219" s="54" t="s">
        <v>213</v>
      </c>
      <c r="C219" s="24">
        <v>24</v>
      </c>
      <c r="D219" s="22">
        <v>0</v>
      </c>
      <c r="E219" s="41" t="s">
        <v>288</v>
      </c>
      <c r="F219" s="37" t="s">
        <v>464</v>
      </c>
      <c r="G219" s="38" t="s">
        <v>464</v>
      </c>
      <c r="H219" s="24">
        <v>0.01</v>
      </c>
      <c r="I219" s="23">
        <v>-2</v>
      </c>
      <c r="J219" s="42" t="s">
        <v>50</v>
      </c>
    </row>
    <row r="220" spans="1:10" x14ac:dyDescent="0.3">
      <c r="A220" s="33">
        <v>8436</v>
      </c>
      <c r="B220" s="58" t="s">
        <v>253</v>
      </c>
      <c r="C220" s="34">
        <v>21</v>
      </c>
      <c r="D220" s="35">
        <v>0</v>
      </c>
      <c r="E220" s="36" t="s">
        <v>288</v>
      </c>
      <c r="F220" s="37" t="s">
        <v>464</v>
      </c>
      <c r="G220" s="38" t="s">
        <v>464</v>
      </c>
      <c r="H220" s="34">
        <v>0.05</v>
      </c>
      <c r="I220" s="47" t="s">
        <v>50</v>
      </c>
      <c r="J220" s="40" t="s">
        <v>50</v>
      </c>
    </row>
    <row r="221" spans="1:10" x14ac:dyDescent="0.3">
      <c r="A221" s="20">
        <v>8450</v>
      </c>
      <c r="B221" s="54" t="s">
        <v>250</v>
      </c>
      <c r="C221" s="24">
        <v>21</v>
      </c>
      <c r="D221" s="22">
        <v>0</v>
      </c>
      <c r="E221" s="41" t="s">
        <v>288</v>
      </c>
      <c r="F221" s="37" t="s">
        <v>464</v>
      </c>
      <c r="G221" s="38" t="s">
        <v>464</v>
      </c>
      <c r="H221" s="24">
        <v>0.02</v>
      </c>
      <c r="I221" s="23">
        <v>-23</v>
      </c>
      <c r="J221" s="42" t="s">
        <v>50</v>
      </c>
    </row>
    <row r="222" spans="1:10" x14ac:dyDescent="0.3">
      <c r="A222" s="33">
        <v>8452</v>
      </c>
      <c r="B222" s="58" t="s">
        <v>223</v>
      </c>
      <c r="C222" s="34">
        <v>18</v>
      </c>
      <c r="D222" s="35">
        <v>0</v>
      </c>
      <c r="E222" s="36" t="s">
        <v>288</v>
      </c>
      <c r="F222" s="37" t="s">
        <v>464</v>
      </c>
      <c r="G222" s="38" t="s">
        <v>464</v>
      </c>
      <c r="H222" s="34">
        <v>0.03</v>
      </c>
      <c r="I222" s="35">
        <v>36</v>
      </c>
      <c r="J222" s="40" t="s">
        <v>50</v>
      </c>
    </row>
    <row r="223" spans="1:10" x14ac:dyDescent="0.3">
      <c r="A223" s="20">
        <v>8464</v>
      </c>
      <c r="B223" s="54" t="s">
        <v>228</v>
      </c>
      <c r="C223" s="24">
        <v>15</v>
      </c>
      <c r="D223" s="22">
        <v>0</v>
      </c>
      <c r="E223" s="41" t="s">
        <v>288</v>
      </c>
      <c r="F223" s="37" t="s">
        <v>464</v>
      </c>
      <c r="G223" s="38" t="s">
        <v>464</v>
      </c>
      <c r="H223" s="24">
        <v>0.15</v>
      </c>
      <c r="I223" s="22">
        <v>22</v>
      </c>
      <c r="J223" s="42" t="s">
        <v>50</v>
      </c>
    </row>
    <row r="224" spans="1:10" x14ac:dyDescent="0.3">
      <c r="A224" s="33">
        <v>8403</v>
      </c>
      <c r="B224" s="58" t="s">
        <v>257</v>
      </c>
      <c r="C224" s="34">
        <v>7</v>
      </c>
      <c r="D224" s="35">
        <v>2</v>
      </c>
      <c r="E224" s="36" t="s">
        <v>284</v>
      </c>
      <c r="F224" s="37" t="s">
        <v>477</v>
      </c>
      <c r="G224" s="38" t="s">
        <v>284</v>
      </c>
      <c r="H224" s="34">
        <v>0.19</v>
      </c>
      <c r="I224" s="47" t="s">
        <v>50</v>
      </c>
      <c r="J224" s="40" t="s">
        <v>50</v>
      </c>
    </row>
    <row r="225" spans="1:10" x14ac:dyDescent="0.3">
      <c r="A225" s="20">
        <v>8446</v>
      </c>
      <c r="B225" s="54" t="s">
        <v>187</v>
      </c>
      <c r="C225" s="24">
        <v>6</v>
      </c>
      <c r="D225" s="22">
        <v>0</v>
      </c>
      <c r="E225" s="41" t="s">
        <v>287</v>
      </c>
      <c r="F225" s="37" t="s">
        <v>464</v>
      </c>
      <c r="G225" s="38" t="s">
        <v>464</v>
      </c>
      <c r="H225" s="24">
        <v>0.01</v>
      </c>
      <c r="I225" s="23">
        <v>-40</v>
      </c>
      <c r="J225" s="42" t="s">
        <v>50</v>
      </c>
    </row>
    <row r="226" spans="1:10" x14ac:dyDescent="0.3">
      <c r="A226" s="33">
        <v>8470</v>
      </c>
      <c r="B226" s="58" t="s">
        <v>261</v>
      </c>
      <c r="C226" s="34">
        <v>6</v>
      </c>
      <c r="D226" s="35">
        <v>0</v>
      </c>
      <c r="E226" s="36" t="s">
        <v>288</v>
      </c>
      <c r="F226" s="37" t="s">
        <v>464</v>
      </c>
      <c r="G226" s="38" t="s">
        <v>464</v>
      </c>
      <c r="H226" s="34">
        <v>0.11</v>
      </c>
      <c r="I226" s="47" t="s">
        <v>50</v>
      </c>
      <c r="J226" s="40" t="s">
        <v>50</v>
      </c>
    </row>
    <row r="227" spans="1:10" x14ac:dyDescent="0.3">
      <c r="A227" s="20">
        <v>8476</v>
      </c>
      <c r="B227" s="54" t="s">
        <v>236</v>
      </c>
      <c r="C227" s="24">
        <v>5</v>
      </c>
      <c r="D227" s="22">
        <v>0</v>
      </c>
      <c r="E227" s="41" t="s">
        <v>288</v>
      </c>
      <c r="F227" s="37" t="s">
        <v>464</v>
      </c>
      <c r="G227" s="38" t="s">
        <v>464</v>
      </c>
      <c r="H227" s="24">
        <v>0.03</v>
      </c>
      <c r="I227" s="25" t="s">
        <v>50</v>
      </c>
      <c r="J227" s="42" t="s">
        <v>50</v>
      </c>
    </row>
    <row r="228" spans="1:10" x14ac:dyDescent="0.3">
      <c r="A228" s="33">
        <v>8401</v>
      </c>
      <c r="B228" s="58" t="s">
        <v>256</v>
      </c>
      <c r="C228" s="34">
        <v>3</v>
      </c>
      <c r="D228" s="35">
        <v>1</v>
      </c>
      <c r="E228" s="36" t="s">
        <v>284</v>
      </c>
      <c r="F228" s="37" t="s">
        <v>478</v>
      </c>
      <c r="G228" s="38" t="s">
        <v>284</v>
      </c>
      <c r="H228" s="34">
        <v>0.28000000000000003</v>
      </c>
      <c r="I228" s="47" t="s">
        <v>50</v>
      </c>
      <c r="J228" s="40" t="s">
        <v>50</v>
      </c>
    </row>
    <row r="229" spans="1:10" x14ac:dyDescent="0.3">
      <c r="A229" s="20">
        <v>8447</v>
      </c>
      <c r="B229" s="54" t="s">
        <v>209</v>
      </c>
      <c r="C229" s="24">
        <v>2</v>
      </c>
      <c r="D229" s="22">
        <v>1</v>
      </c>
      <c r="E229" s="41" t="s">
        <v>284</v>
      </c>
      <c r="F229" s="37" t="s">
        <v>563</v>
      </c>
      <c r="G229" s="38" t="s">
        <v>284</v>
      </c>
      <c r="H229" s="24">
        <v>0.06</v>
      </c>
      <c r="I229" s="23">
        <v>-59</v>
      </c>
      <c r="J229" s="46">
        <v>-29</v>
      </c>
    </row>
    <row r="230" spans="1:10" x14ac:dyDescent="0.3">
      <c r="A230" s="33">
        <v>8463</v>
      </c>
      <c r="B230" s="58" t="s">
        <v>229</v>
      </c>
      <c r="C230" s="34">
        <v>2</v>
      </c>
      <c r="D230" s="35">
        <v>0</v>
      </c>
      <c r="E230" s="36" t="s">
        <v>284</v>
      </c>
      <c r="F230" s="37" t="s">
        <v>464</v>
      </c>
      <c r="G230" s="38" t="s">
        <v>464</v>
      </c>
      <c r="H230" s="34">
        <v>0.01</v>
      </c>
      <c r="I230" s="47" t="s">
        <v>50</v>
      </c>
      <c r="J230" s="40" t="s">
        <v>50</v>
      </c>
    </row>
    <row r="231" spans="1:10" x14ac:dyDescent="0.3">
      <c r="A231" s="20">
        <v>8478</v>
      </c>
      <c r="B231" s="54" t="s">
        <v>255</v>
      </c>
      <c r="C231" s="24">
        <v>2</v>
      </c>
      <c r="D231" s="22">
        <v>0</v>
      </c>
      <c r="E231" s="41" t="s">
        <v>288</v>
      </c>
      <c r="F231" s="37" t="s">
        <v>464</v>
      </c>
      <c r="G231" s="38" t="s">
        <v>464</v>
      </c>
      <c r="H231" s="24">
        <v>0.01</v>
      </c>
      <c r="I231" s="25" t="s">
        <v>50</v>
      </c>
      <c r="J231" s="42" t="s">
        <v>50</v>
      </c>
    </row>
    <row r="232" spans="1:10" x14ac:dyDescent="0.3">
      <c r="A232" s="33">
        <v>8440</v>
      </c>
      <c r="B232" s="58" t="s">
        <v>239</v>
      </c>
      <c r="C232" s="34">
        <v>1</v>
      </c>
      <c r="D232" s="35">
        <v>0</v>
      </c>
      <c r="E232" s="36" t="s">
        <v>284</v>
      </c>
      <c r="F232" s="37" t="s">
        <v>464</v>
      </c>
      <c r="G232" s="38" t="s">
        <v>464</v>
      </c>
      <c r="H232" s="34">
        <v>0.01</v>
      </c>
      <c r="I232" s="47" t="s">
        <v>50</v>
      </c>
      <c r="J232" s="40" t="s">
        <v>50</v>
      </c>
    </row>
    <row r="233" spans="1:10" x14ac:dyDescent="0.3">
      <c r="A233" s="20">
        <v>8444</v>
      </c>
      <c r="B233" s="54" t="s">
        <v>230</v>
      </c>
      <c r="C233" s="24">
        <v>1</v>
      </c>
      <c r="D233" s="22">
        <v>0</v>
      </c>
      <c r="E233" s="41" t="s">
        <v>284</v>
      </c>
      <c r="F233" s="37" t="s">
        <v>464</v>
      </c>
      <c r="G233" s="38" t="s">
        <v>464</v>
      </c>
      <c r="H233" s="24">
        <v>0.01</v>
      </c>
      <c r="I233" s="25" t="s">
        <v>50</v>
      </c>
      <c r="J233" s="42" t="s">
        <v>50</v>
      </c>
    </row>
    <row r="234" spans="1:10" x14ac:dyDescent="0.3">
      <c r="A234" s="33">
        <v>8449</v>
      </c>
      <c r="B234" s="58" t="s">
        <v>254</v>
      </c>
      <c r="C234" s="34">
        <v>1</v>
      </c>
      <c r="D234" s="35">
        <v>0</v>
      </c>
      <c r="E234" s="36" t="s">
        <v>284</v>
      </c>
      <c r="F234" s="37"/>
      <c r="G234" s="38"/>
      <c r="H234" s="34">
        <v>0.13</v>
      </c>
      <c r="I234" s="47" t="s">
        <v>50</v>
      </c>
      <c r="J234" s="40" t="s">
        <v>50</v>
      </c>
    </row>
    <row r="235" spans="1:10" x14ac:dyDescent="0.3">
      <c r="A235" s="21" t="s">
        <v>589</v>
      </c>
      <c r="B235" s="55" t="s">
        <v>237</v>
      </c>
      <c r="C235" s="8">
        <v>1</v>
      </c>
      <c r="D235" s="48">
        <v>0</v>
      </c>
      <c r="E235" s="49" t="s">
        <v>284</v>
      </c>
      <c r="F235" s="50"/>
      <c r="G235" s="51"/>
      <c r="H235" s="8">
        <v>0.06</v>
      </c>
      <c r="I235" s="52" t="s">
        <v>50</v>
      </c>
      <c r="J235" s="53" t="s">
        <v>50</v>
      </c>
    </row>
  </sheetData>
  <pageMargins left="0.7" right="0.7" top="0.75" bottom="0.75" header="0.3" footer="0.3"/>
  <pageSetup paperSize="9"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9"/>
  <sheetViews>
    <sheetView topLeftCell="A102" workbookViewId="0">
      <selection activeCell="F8" sqref="F8"/>
    </sheetView>
  </sheetViews>
  <sheetFormatPr defaultRowHeight="14.4" x14ac:dyDescent="0.3"/>
  <cols>
    <col min="1" max="1" width="12.21875" style="18" customWidth="1"/>
    <col min="2" max="2" width="10.88671875" customWidth="1"/>
    <col min="3" max="3" width="19.44140625" style="60" customWidth="1"/>
    <col min="4" max="4" width="18.21875" bestFit="1" customWidth="1"/>
    <col min="5" max="5" width="26.88671875" style="19" bestFit="1" customWidth="1"/>
  </cols>
  <sheetData>
    <row r="1" spans="1:5" ht="15.6" x14ac:dyDescent="0.3">
      <c r="A1" s="142" t="s">
        <v>606</v>
      </c>
      <c r="B1" s="143" t="s">
        <v>273</v>
      </c>
      <c r="C1" s="144" t="s">
        <v>272</v>
      </c>
      <c r="D1" s="143" t="s">
        <v>683</v>
      </c>
      <c r="E1" s="143" t="s">
        <v>607</v>
      </c>
    </row>
    <row r="2" spans="1:5" x14ac:dyDescent="0.3">
      <c r="A2" s="18">
        <v>85</v>
      </c>
      <c r="B2" s="1">
        <v>8542</v>
      </c>
      <c r="C2" s="59" t="s">
        <v>0</v>
      </c>
      <c r="D2" s="19" t="str">
        <f>VLOOKUP(A2,[1]HS_Category_Map!$A$2:$B$10,2,FALSE)</f>
        <v>Electrical</v>
      </c>
      <c r="E2" s="19" t="str">
        <f>VLOOKUP(D2,[1]Category_Function_Map!$A$2:$C$7,2,FALSE)</f>
        <v>Electrical Supplies</v>
      </c>
    </row>
    <row r="3" spans="1:5" x14ac:dyDescent="0.3">
      <c r="A3" s="18">
        <v>85</v>
      </c>
      <c r="B3" s="1">
        <v>8536</v>
      </c>
      <c r="C3" s="59" t="s">
        <v>1</v>
      </c>
      <c r="D3" s="19" t="str">
        <f>VLOOKUP(A3,[1]HS_Category_Map!$A$2:$B$10,2,FALSE)</f>
        <v>Electrical</v>
      </c>
      <c r="E3" s="19" t="str">
        <f>VLOOKUP(D3,[1]Category_Function_Map!$A$2:$C$7,2,FALSE)</f>
        <v>Electrical Supplies</v>
      </c>
    </row>
    <row r="4" spans="1:5" x14ac:dyDescent="0.3">
      <c r="A4" s="18">
        <v>85</v>
      </c>
      <c r="B4" s="1">
        <v>8541</v>
      </c>
      <c r="C4" s="59" t="s">
        <v>2</v>
      </c>
      <c r="D4" s="19" t="str">
        <f>VLOOKUP(A4,[1]HS_Category_Map!$A$2:$B$10,2,FALSE)</f>
        <v>Electrical</v>
      </c>
      <c r="E4" s="19" t="str">
        <f>VLOOKUP(D4,[1]Category_Function_Map!$A$2:$C$7,2,FALSE)</f>
        <v>Electrical Supplies</v>
      </c>
    </row>
    <row r="5" spans="1:5" x14ac:dyDescent="0.3">
      <c r="A5" s="18">
        <v>85</v>
      </c>
      <c r="B5" s="1">
        <v>8504</v>
      </c>
      <c r="C5" s="59" t="s">
        <v>3</v>
      </c>
      <c r="D5" s="19" t="str">
        <f>VLOOKUP(A5,[1]HS_Category_Map!$A$2:$B$10,2,FALSE)</f>
        <v>Electrical</v>
      </c>
      <c r="E5" s="19" t="str">
        <f>VLOOKUP(D5,[1]Category_Function_Map!$A$2:$C$7,2,FALSE)</f>
        <v>Electrical Supplies</v>
      </c>
    </row>
    <row r="6" spans="1:5" x14ac:dyDescent="0.3">
      <c r="A6" s="18">
        <v>85</v>
      </c>
      <c r="B6" s="1">
        <v>8537</v>
      </c>
      <c r="C6" s="59" t="s">
        <v>4</v>
      </c>
      <c r="D6" s="19" t="str">
        <f>VLOOKUP(A6,[1]HS_Category_Map!$A$2:$B$10,2,FALSE)</f>
        <v>Electrical</v>
      </c>
      <c r="E6" s="19" t="str">
        <f>VLOOKUP(D6,[1]Category_Function_Map!$A$2:$C$7,2,FALSE)</f>
        <v>Electrical Supplies</v>
      </c>
    </row>
    <row r="7" spans="1:5" x14ac:dyDescent="0.3">
      <c r="A7" s="18">
        <v>85</v>
      </c>
      <c r="B7" s="1">
        <v>8515</v>
      </c>
      <c r="C7" s="59" t="s">
        <v>5</v>
      </c>
      <c r="D7" s="19" t="str">
        <f>VLOOKUP(A7,[1]HS_Category_Map!$A$2:$B$10,2,FALSE)</f>
        <v>Electrical</v>
      </c>
      <c r="E7" s="19" t="str">
        <f>VLOOKUP(D7,[1]Category_Function_Map!$A$2:$C$7,2,FALSE)</f>
        <v>Electrical Supplies</v>
      </c>
    </row>
    <row r="8" spans="1:5" x14ac:dyDescent="0.3">
      <c r="A8" s="18">
        <v>85</v>
      </c>
      <c r="B8" s="1">
        <v>8532</v>
      </c>
      <c r="C8" s="59" t="s">
        <v>6</v>
      </c>
      <c r="D8" s="19" t="str">
        <f>VLOOKUP(A8,[1]HS_Category_Map!$A$2:$B$10,2,FALSE)</f>
        <v>Electrical</v>
      </c>
      <c r="E8" s="19" t="str">
        <f>VLOOKUP(D8,[1]Category_Function_Map!$A$2:$C$7,2,FALSE)</f>
        <v>Electrical Supplies</v>
      </c>
    </row>
    <row r="9" spans="1:5" x14ac:dyDescent="0.3">
      <c r="A9" s="18">
        <v>85</v>
      </c>
      <c r="B9" s="1">
        <v>8511</v>
      </c>
      <c r="C9" s="59" t="s">
        <v>7</v>
      </c>
      <c r="D9" s="19" t="str">
        <f>VLOOKUP(A9,[1]HS_Category_Map!$A$2:$B$10,2,FALSE)</f>
        <v>Electrical</v>
      </c>
      <c r="E9" s="19" t="str">
        <f>VLOOKUP(D9,[1]Category_Function_Map!$A$2:$C$7,2,FALSE)</f>
        <v>Electrical Supplies</v>
      </c>
    </row>
    <row r="10" spans="1:5" x14ac:dyDescent="0.3">
      <c r="A10" s="18">
        <v>85</v>
      </c>
      <c r="B10" s="1">
        <v>8507</v>
      </c>
      <c r="C10" s="59" t="s">
        <v>8</v>
      </c>
      <c r="D10" s="19" t="str">
        <f>VLOOKUP(A10,[1]HS_Category_Map!$A$2:$B$10,2,FALSE)</f>
        <v>Electrical</v>
      </c>
      <c r="E10" s="19" t="str">
        <f>VLOOKUP(D10,[1]Category_Function_Map!$A$2:$C$7,2,FALSE)</f>
        <v>Electrical Supplies</v>
      </c>
    </row>
    <row r="11" spans="1:5" x14ac:dyDescent="0.3">
      <c r="A11" s="18">
        <v>85</v>
      </c>
      <c r="B11" s="1">
        <v>8501</v>
      </c>
      <c r="C11" s="59" t="s">
        <v>9</v>
      </c>
      <c r="D11" s="19" t="str">
        <f>VLOOKUP(A11,[1]HS_Category_Map!$A$2:$B$10,2,FALSE)</f>
        <v>Electrical</v>
      </c>
      <c r="E11" s="19" t="str">
        <f>VLOOKUP(D11,[1]Category_Function_Map!$A$2:$C$7,2,FALSE)</f>
        <v>Electrical Supplies</v>
      </c>
    </row>
    <row r="12" spans="1:5" x14ac:dyDescent="0.3">
      <c r="A12" s="18">
        <v>85</v>
      </c>
      <c r="B12" s="1">
        <v>8525</v>
      </c>
      <c r="C12" s="59" t="s">
        <v>10</v>
      </c>
      <c r="D12" s="19" t="str">
        <f>VLOOKUP(A12,[1]HS_Category_Map!$A$2:$B$10,2,FALSE)</f>
        <v>Electrical</v>
      </c>
      <c r="E12" s="19" t="str">
        <f>VLOOKUP(D12,[1]Category_Function_Map!$A$2:$C$7,2,FALSE)</f>
        <v>Electrical Supplies</v>
      </c>
    </row>
    <row r="13" spans="1:5" x14ac:dyDescent="0.3">
      <c r="A13" s="18">
        <v>85</v>
      </c>
      <c r="B13" s="1">
        <v>8538</v>
      </c>
      <c r="C13" s="59" t="s">
        <v>11</v>
      </c>
      <c r="D13" s="19" t="str">
        <f>VLOOKUP(A13,[1]HS_Category_Map!$A$2:$B$10,2,FALSE)</f>
        <v>Electrical</v>
      </c>
      <c r="E13" s="19" t="str">
        <f>VLOOKUP(D13,[1]Category_Function_Map!$A$2:$C$7,2,FALSE)</f>
        <v>Electrical Supplies</v>
      </c>
    </row>
    <row r="14" spans="1:5" x14ac:dyDescent="0.3">
      <c r="A14" s="18">
        <v>85</v>
      </c>
      <c r="B14" s="1">
        <v>8544</v>
      </c>
      <c r="C14" s="59" t="s">
        <v>12</v>
      </c>
      <c r="D14" s="19" t="str">
        <f>VLOOKUP(A14,[1]HS_Category_Map!$A$2:$B$10,2,FALSE)</f>
        <v>Electrical</v>
      </c>
      <c r="E14" s="19" t="str">
        <f>VLOOKUP(D14,[1]Category_Function_Map!$A$2:$C$7,2,FALSE)</f>
        <v>Electrical Supplies</v>
      </c>
    </row>
    <row r="15" spans="1:5" x14ac:dyDescent="0.3">
      <c r="A15" s="18">
        <v>85</v>
      </c>
      <c r="B15" s="1">
        <v>8524</v>
      </c>
      <c r="C15" s="59" t="s">
        <v>13</v>
      </c>
      <c r="D15" s="19" t="str">
        <f>VLOOKUP(A15,[1]HS_Category_Map!$A$2:$B$10,2,FALSE)</f>
        <v>Electrical</v>
      </c>
      <c r="E15" s="19" t="str">
        <f>VLOOKUP(D15,[1]Category_Function_Map!$A$2:$C$7,2,FALSE)</f>
        <v>Electrical Supplies</v>
      </c>
    </row>
    <row r="16" spans="1:5" x14ac:dyDescent="0.3">
      <c r="A16" s="18">
        <v>85</v>
      </c>
      <c r="B16" s="1">
        <v>8517</v>
      </c>
      <c r="C16" s="59" t="s">
        <v>14</v>
      </c>
      <c r="D16" s="19" t="str">
        <f>VLOOKUP(A16,[1]HS_Category_Map!$A$2:$B$10,2,FALSE)</f>
        <v>Electrical</v>
      </c>
      <c r="E16" s="19" t="str">
        <f>VLOOKUP(D16,[1]Category_Function_Map!$A$2:$C$7,2,FALSE)</f>
        <v>Electrical Supplies</v>
      </c>
    </row>
    <row r="17" spans="1:5" x14ac:dyDescent="0.3">
      <c r="A17" s="18">
        <v>85</v>
      </c>
      <c r="B17" s="1">
        <v>8547</v>
      </c>
      <c r="C17" s="59" t="s">
        <v>15</v>
      </c>
      <c r="D17" s="19" t="str">
        <f>VLOOKUP(A17,[1]HS_Category_Map!$A$2:$B$10,2,FALSE)</f>
        <v>Electrical</v>
      </c>
      <c r="E17" s="19" t="str">
        <f>VLOOKUP(D17,[1]Category_Function_Map!$A$2:$C$7,2,FALSE)</f>
        <v>Electrical Supplies</v>
      </c>
    </row>
    <row r="18" spans="1:5" x14ac:dyDescent="0.3">
      <c r="A18" s="18">
        <v>85</v>
      </c>
      <c r="B18" s="1">
        <v>8543</v>
      </c>
      <c r="C18" s="59" t="s">
        <v>16</v>
      </c>
      <c r="D18" s="19" t="str">
        <f>VLOOKUP(A18,[1]HS_Category_Map!$A$2:$B$10,2,FALSE)</f>
        <v>Electrical</v>
      </c>
      <c r="E18" s="19" t="str">
        <f>VLOOKUP(D18,[1]Category_Function_Map!$A$2:$C$7,2,FALSE)</f>
        <v>Electrical Supplies</v>
      </c>
    </row>
    <row r="19" spans="1:5" x14ac:dyDescent="0.3">
      <c r="A19" s="18">
        <v>85</v>
      </c>
      <c r="B19" s="1">
        <v>8533</v>
      </c>
      <c r="C19" s="59" t="s">
        <v>17</v>
      </c>
      <c r="D19" s="19" t="str">
        <f>VLOOKUP(A19,[1]HS_Category_Map!$A$2:$B$10,2,FALSE)</f>
        <v>Electrical</v>
      </c>
      <c r="E19" s="19" t="str">
        <f>VLOOKUP(D19,[1]Category_Function_Map!$A$2:$C$7,2,FALSE)</f>
        <v>Electrical Supplies</v>
      </c>
    </row>
    <row r="20" spans="1:5" x14ac:dyDescent="0.3">
      <c r="A20" s="18">
        <v>85</v>
      </c>
      <c r="B20" s="1">
        <v>8512</v>
      </c>
      <c r="C20" s="59" t="s">
        <v>18</v>
      </c>
      <c r="D20" s="19" t="str">
        <f>VLOOKUP(A20,[1]HS_Category_Map!$A$2:$B$10,2,FALSE)</f>
        <v>Electrical</v>
      </c>
      <c r="E20" s="19" t="str">
        <f>VLOOKUP(D20,[1]Category_Function_Map!$A$2:$C$7,2,FALSE)</f>
        <v>Electrical Supplies</v>
      </c>
    </row>
    <row r="21" spans="1:5" x14ac:dyDescent="0.3">
      <c r="A21" s="18">
        <v>85</v>
      </c>
      <c r="B21" s="1">
        <v>8523</v>
      </c>
      <c r="C21" s="59" t="s">
        <v>19</v>
      </c>
      <c r="D21" s="19" t="str">
        <f>VLOOKUP(A21,[1]HS_Category_Map!$A$2:$B$10,2,FALSE)</f>
        <v>Electrical</v>
      </c>
      <c r="E21" s="19" t="str">
        <f>VLOOKUP(D21,[1]Category_Function_Map!$A$2:$C$7,2,FALSE)</f>
        <v>Electrical Supplies</v>
      </c>
    </row>
    <row r="22" spans="1:5" x14ac:dyDescent="0.3">
      <c r="A22" s="18">
        <v>85</v>
      </c>
      <c r="B22" s="1">
        <v>8503</v>
      </c>
      <c r="C22" s="59" t="s">
        <v>20</v>
      </c>
      <c r="D22" s="19" t="str">
        <f>VLOOKUP(A22,[1]HS_Category_Map!$A$2:$B$10,2,FALSE)</f>
        <v>Electrical</v>
      </c>
      <c r="E22" s="19" t="str">
        <f>VLOOKUP(D22,[1]Category_Function_Map!$A$2:$C$7,2,FALSE)</f>
        <v>Electrical Supplies</v>
      </c>
    </row>
    <row r="23" spans="1:5" x14ac:dyDescent="0.3">
      <c r="A23" s="18">
        <v>85</v>
      </c>
      <c r="B23" s="1">
        <v>8505</v>
      </c>
      <c r="C23" s="59" t="s">
        <v>21</v>
      </c>
      <c r="D23" s="19" t="str">
        <f>VLOOKUP(A23,[1]HS_Category_Map!$A$2:$B$10,2,FALSE)</f>
        <v>Electrical</v>
      </c>
      <c r="E23" s="19" t="str">
        <f>VLOOKUP(D23,[1]Category_Function_Map!$A$2:$C$7,2,FALSE)</f>
        <v>Electrical Supplies</v>
      </c>
    </row>
    <row r="24" spans="1:5" x14ac:dyDescent="0.3">
      <c r="A24" s="18">
        <v>85</v>
      </c>
      <c r="B24" s="1">
        <v>8539</v>
      </c>
      <c r="C24" s="59" t="s">
        <v>22</v>
      </c>
      <c r="D24" s="19" t="str">
        <f>VLOOKUP(A24,[1]HS_Category_Map!$A$2:$B$10,2,FALSE)</f>
        <v>Electrical</v>
      </c>
      <c r="E24" s="19" t="str">
        <f>VLOOKUP(D24,[1]Category_Function_Map!$A$2:$C$7,2,FALSE)</f>
        <v>Electrical Supplies</v>
      </c>
    </row>
    <row r="25" spans="1:5" x14ac:dyDescent="0.3">
      <c r="A25" s="18">
        <v>85</v>
      </c>
      <c r="B25" s="1">
        <v>8534</v>
      </c>
      <c r="C25" s="59" t="s">
        <v>23</v>
      </c>
      <c r="D25" s="19" t="str">
        <f>VLOOKUP(A25,[1]HS_Category_Map!$A$2:$B$10,2,FALSE)</f>
        <v>Electrical</v>
      </c>
      <c r="E25" s="19" t="str">
        <f>VLOOKUP(D25,[1]Category_Function_Map!$A$2:$C$7,2,FALSE)</f>
        <v>Electrical Supplies</v>
      </c>
    </row>
    <row r="26" spans="1:5" x14ac:dyDescent="0.3">
      <c r="A26" s="18">
        <v>85</v>
      </c>
      <c r="B26" s="1">
        <v>8514</v>
      </c>
      <c r="C26" s="59" t="s">
        <v>24</v>
      </c>
      <c r="D26" s="19" t="str">
        <f>VLOOKUP(A26,[1]HS_Category_Map!$A$2:$B$10,2,FALSE)</f>
        <v>Electrical</v>
      </c>
      <c r="E26" s="19" t="str">
        <f>VLOOKUP(D26,[1]Category_Function_Map!$A$2:$C$7,2,FALSE)</f>
        <v>Electrical Supplies</v>
      </c>
    </row>
    <row r="27" spans="1:5" x14ac:dyDescent="0.3">
      <c r="A27" s="18">
        <v>85</v>
      </c>
      <c r="B27" s="1">
        <v>8529</v>
      </c>
      <c r="C27" s="59" t="s">
        <v>25</v>
      </c>
      <c r="D27" s="19" t="str">
        <f>VLOOKUP(A27,[1]HS_Category_Map!$A$2:$B$10,2,FALSE)</f>
        <v>Electrical</v>
      </c>
      <c r="E27" s="19" t="str">
        <f>VLOOKUP(D27,[1]Category_Function_Map!$A$2:$C$7,2,FALSE)</f>
        <v>Electrical Supplies</v>
      </c>
    </row>
    <row r="28" spans="1:5" x14ac:dyDescent="0.3">
      <c r="A28" s="18">
        <v>85</v>
      </c>
      <c r="B28" s="1">
        <v>8540</v>
      </c>
      <c r="C28" s="59" t="s">
        <v>26</v>
      </c>
      <c r="D28" s="19" t="str">
        <f>VLOOKUP(A28,[1]HS_Category_Map!$A$2:$B$10,2,FALSE)</f>
        <v>Electrical</v>
      </c>
      <c r="E28" s="19" t="str">
        <f>VLOOKUP(D28,[1]Category_Function_Map!$A$2:$C$7,2,FALSE)</f>
        <v>Electrical Supplies</v>
      </c>
    </row>
    <row r="29" spans="1:5" x14ac:dyDescent="0.3">
      <c r="A29" s="18">
        <v>85</v>
      </c>
      <c r="B29" s="1">
        <v>8516</v>
      </c>
      <c r="C29" s="59" t="s">
        <v>27</v>
      </c>
      <c r="D29" s="19" t="str">
        <f>VLOOKUP(A29,[1]HS_Category_Map!$A$2:$B$10,2,FALSE)</f>
        <v>Electrical</v>
      </c>
      <c r="E29" s="19" t="str">
        <f>VLOOKUP(D29,[1]Category_Function_Map!$A$2:$C$7,2,FALSE)</f>
        <v>Electrical Supplies</v>
      </c>
    </row>
    <row r="30" spans="1:5" x14ac:dyDescent="0.3">
      <c r="A30" s="18">
        <v>85</v>
      </c>
      <c r="B30" s="1">
        <v>8545</v>
      </c>
      <c r="C30" s="59" t="s">
        <v>28</v>
      </c>
      <c r="D30" s="19" t="str">
        <f>VLOOKUP(A30,[1]HS_Category_Map!$A$2:$B$10,2,FALSE)</f>
        <v>Electrical</v>
      </c>
      <c r="E30" s="19" t="str">
        <f>VLOOKUP(D30,[1]Category_Function_Map!$A$2:$C$7,2,FALSE)</f>
        <v>Electrical Supplies</v>
      </c>
    </row>
    <row r="31" spans="1:5" x14ac:dyDescent="0.3">
      <c r="A31" s="18">
        <v>85</v>
      </c>
      <c r="B31" s="1">
        <v>8528</v>
      </c>
      <c r="C31" s="59" t="s">
        <v>29</v>
      </c>
      <c r="D31" s="19" t="str">
        <f>VLOOKUP(A31,[1]HS_Category_Map!$A$2:$B$10,2,FALSE)</f>
        <v>Electrical</v>
      </c>
      <c r="E31" s="19" t="str">
        <f>VLOOKUP(D31,[1]Category_Function_Map!$A$2:$C$7,2,FALSE)</f>
        <v>Electrical Supplies</v>
      </c>
    </row>
    <row r="32" spans="1:5" x14ac:dyDescent="0.3">
      <c r="A32" s="18">
        <v>85</v>
      </c>
      <c r="B32" s="1">
        <v>8530</v>
      </c>
      <c r="C32" s="59" t="s">
        <v>30</v>
      </c>
      <c r="D32" s="19" t="str">
        <f>VLOOKUP(A32,[1]HS_Category_Map!$A$2:$B$10,2,FALSE)</f>
        <v>Electrical</v>
      </c>
      <c r="E32" s="19" t="str">
        <f>VLOOKUP(D32,[1]Category_Function_Map!$A$2:$C$7,2,FALSE)</f>
        <v>Electrical Supplies</v>
      </c>
    </row>
    <row r="33" spans="1:5" x14ac:dyDescent="0.3">
      <c r="A33" s="18">
        <v>85</v>
      </c>
      <c r="B33" s="1">
        <v>8518</v>
      </c>
      <c r="C33" s="59" t="s">
        <v>31</v>
      </c>
      <c r="D33" s="19" t="str">
        <f>VLOOKUP(A33,[1]HS_Category_Map!$A$2:$B$10,2,FALSE)</f>
        <v>Electrical</v>
      </c>
      <c r="E33" s="19" t="str">
        <f>VLOOKUP(D33,[1]Category_Function_Map!$A$2:$C$7,2,FALSE)</f>
        <v>Electrical Supplies</v>
      </c>
    </row>
    <row r="34" spans="1:5" x14ac:dyDescent="0.3">
      <c r="A34" s="18">
        <v>85</v>
      </c>
      <c r="B34" s="1">
        <v>8506</v>
      </c>
      <c r="C34" s="59" t="s">
        <v>32</v>
      </c>
      <c r="D34" s="19" t="str">
        <f>VLOOKUP(A34,[1]HS_Category_Map!$A$2:$B$10,2,FALSE)</f>
        <v>Electrical</v>
      </c>
      <c r="E34" s="19" t="str">
        <f>VLOOKUP(D34,[1]Category_Function_Map!$A$2:$C$7,2,FALSE)</f>
        <v>Electrical Supplies</v>
      </c>
    </row>
    <row r="35" spans="1:5" x14ac:dyDescent="0.3">
      <c r="A35" s="18">
        <v>85</v>
      </c>
      <c r="B35" s="1">
        <v>8531</v>
      </c>
      <c r="C35" s="59" t="s">
        <v>33</v>
      </c>
      <c r="D35" s="19" t="str">
        <f>VLOOKUP(A35,[1]HS_Category_Map!$A$2:$B$10,2,FALSE)</f>
        <v>Electrical</v>
      </c>
      <c r="E35" s="19" t="str">
        <f>VLOOKUP(D35,[1]Category_Function_Map!$A$2:$C$7,2,FALSE)</f>
        <v>Electrical Supplies</v>
      </c>
    </row>
    <row r="36" spans="1:5" x14ac:dyDescent="0.3">
      <c r="A36" s="18">
        <v>85</v>
      </c>
      <c r="B36" s="1">
        <v>8546</v>
      </c>
      <c r="C36" s="59" t="s">
        <v>34</v>
      </c>
      <c r="D36" s="19" t="str">
        <f>VLOOKUP(A36,[1]HS_Category_Map!$A$2:$B$10,2,FALSE)</f>
        <v>Electrical</v>
      </c>
      <c r="E36" s="19" t="str">
        <f>VLOOKUP(D36,[1]Category_Function_Map!$A$2:$C$7,2,FALSE)</f>
        <v>Electrical Supplies</v>
      </c>
    </row>
    <row r="37" spans="1:5" x14ac:dyDescent="0.3">
      <c r="A37" s="18">
        <v>85</v>
      </c>
      <c r="B37" s="1">
        <v>8535</v>
      </c>
      <c r="C37" s="59" t="s">
        <v>35</v>
      </c>
      <c r="D37" s="19" t="str">
        <f>VLOOKUP(A37,[1]HS_Category_Map!$A$2:$B$10,2,FALSE)</f>
        <v>Electrical</v>
      </c>
      <c r="E37" s="19" t="str">
        <f>VLOOKUP(D37,[1]Category_Function_Map!$A$2:$C$7,2,FALSE)</f>
        <v>Electrical Supplies</v>
      </c>
    </row>
    <row r="38" spans="1:5" x14ac:dyDescent="0.3">
      <c r="A38" s="18">
        <v>85</v>
      </c>
      <c r="B38" s="1">
        <v>8527</v>
      </c>
      <c r="C38" s="59" t="s">
        <v>36</v>
      </c>
      <c r="D38" s="19" t="str">
        <f>VLOOKUP(A38,[1]HS_Category_Map!$A$2:$B$10,2,FALSE)</f>
        <v>Electrical</v>
      </c>
      <c r="E38" s="19" t="str">
        <f>VLOOKUP(D38,[1]Category_Function_Map!$A$2:$C$7,2,FALSE)</f>
        <v>Electrical Supplies</v>
      </c>
    </row>
    <row r="39" spans="1:5" x14ac:dyDescent="0.3">
      <c r="A39" s="18">
        <v>85</v>
      </c>
      <c r="B39" s="1">
        <v>8526</v>
      </c>
      <c r="C39" s="59" t="s">
        <v>37</v>
      </c>
      <c r="D39" s="19" t="str">
        <f>VLOOKUP(A39,[1]HS_Category_Map!$A$2:$B$10,2,FALSE)</f>
        <v>Electrical</v>
      </c>
      <c r="E39" s="19" t="str">
        <f>VLOOKUP(D39,[1]Category_Function_Map!$A$2:$C$7,2,FALSE)</f>
        <v>Electrical Supplies</v>
      </c>
    </row>
    <row r="40" spans="1:5" x14ac:dyDescent="0.3">
      <c r="A40" s="18">
        <v>85</v>
      </c>
      <c r="B40" s="1">
        <v>8521</v>
      </c>
      <c r="C40" s="59" t="s">
        <v>38</v>
      </c>
      <c r="D40" s="19" t="str">
        <f>VLOOKUP(A40,[1]HS_Category_Map!$A$2:$B$10,2,FALSE)</f>
        <v>Electrical</v>
      </c>
      <c r="E40" s="19" t="str">
        <f>VLOOKUP(D40,[1]Category_Function_Map!$A$2:$C$7,2,FALSE)</f>
        <v>Electrical Supplies</v>
      </c>
    </row>
    <row r="41" spans="1:5" x14ac:dyDescent="0.3">
      <c r="A41" s="18">
        <v>85</v>
      </c>
      <c r="B41" s="1">
        <v>8502</v>
      </c>
      <c r="C41" s="59" t="s">
        <v>39</v>
      </c>
      <c r="D41" s="19" t="str">
        <f>VLOOKUP(A41,[1]HS_Category_Map!$A$2:$B$10,2,FALSE)</f>
        <v>Electrical</v>
      </c>
      <c r="E41" s="19" t="str">
        <f>VLOOKUP(D41,[1]Category_Function_Map!$A$2:$C$7,2,FALSE)</f>
        <v>Electrical Supplies</v>
      </c>
    </row>
    <row r="42" spans="1:5" x14ac:dyDescent="0.3">
      <c r="A42" s="18">
        <v>85</v>
      </c>
      <c r="B42" s="1">
        <v>8522</v>
      </c>
      <c r="C42" s="59" t="s">
        <v>40</v>
      </c>
      <c r="D42" s="19" t="str">
        <f>VLOOKUP(A42,[1]HS_Category_Map!$A$2:$B$10,2,FALSE)</f>
        <v>Electrical</v>
      </c>
      <c r="E42" s="19" t="str">
        <f>VLOOKUP(D42,[1]Category_Function_Map!$A$2:$C$7,2,FALSE)</f>
        <v>Electrical Supplies</v>
      </c>
    </row>
    <row r="43" spans="1:5" x14ac:dyDescent="0.3">
      <c r="A43" s="18">
        <v>85</v>
      </c>
      <c r="B43" s="1">
        <v>8508</v>
      </c>
      <c r="C43" s="59" t="s">
        <v>41</v>
      </c>
      <c r="D43" s="19" t="str">
        <f>VLOOKUP(A43,[1]HS_Category_Map!$A$2:$B$10,2,FALSE)</f>
        <v>Electrical</v>
      </c>
      <c r="E43" s="19" t="str">
        <f>VLOOKUP(D43,[1]Category_Function_Map!$A$2:$C$7,2,FALSE)</f>
        <v>Electrical Supplies</v>
      </c>
    </row>
    <row r="44" spans="1:5" x14ac:dyDescent="0.3">
      <c r="A44" s="18">
        <v>85</v>
      </c>
      <c r="B44" s="1">
        <v>8513</v>
      </c>
      <c r="C44" s="59" t="s">
        <v>42</v>
      </c>
      <c r="D44" s="19" t="str">
        <f>VLOOKUP(A44,[1]HS_Category_Map!$A$2:$B$10,2,FALSE)</f>
        <v>Electrical</v>
      </c>
      <c r="E44" s="19" t="str">
        <f>VLOOKUP(D44,[1]Category_Function_Map!$A$2:$C$7,2,FALSE)</f>
        <v>Electrical Supplies</v>
      </c>
    </row>
    <row r="45" spans="1:5" x14ac:dyDescent="0.3">
      <c r="A45" s="18">
        <v>85</v>
      </c>
      <c r="B45" s="1">
        <v>8519</v>
      </c>
      <c r="C45" s="59" t="s">
        <v>43</v>
      </c>
      <c r="D45" s="19" t="str">
        <f>VLOOKUP(A45,[1]HS_Category_Map!$A$2:$B$10,2,FALSE)</f>
        <v>Electrical</v>
      </c>
      <c r="E45" s="19" t="str">
        <f>VLOOKUP(D45,[1]Category_Function_Map!$A$2:$C$7,2,FALSE)</f>
        <v>Electrical Supplies</v>
      </c>
    </row>
    <row r="46" spans="1:5" x14ac:dyDescent="0.3">
      <c r="A46" s="18">
        <v>85</v>
      </c>
      <c r="B46" s="1">
        <v>8509</v>
      </c>
      <c r="C46" s="59" t="s">
        <v>44</v>
      </c>
      <c r="D46" s="19" t="str">
        <f>VLOOKUP(A46,[1]HS_Category_Map!$A$2:$B$10,2,FALSE)</f>
        <v>Electrical</v>
      </c>
      <c r="E46" s="19" t="str">
        <f>VLOOKUP(D46,[1]Category_Function_Map!$A$2:$C$7,2,FALSE)</f>
        <v>Electrical Supplies</v>
      </c>
    </row>
    <row r="47" spans="1:5" x14ac:dyDescent="0.3">
      <c r="A47" s="18">
        <v>85</v>
      </c>
      <c r="B47" s="1">
        <v>8548</v>
      </c>
      <c r="C47" s="59" t="s">
        <v>45</v>
      </c>
      <c r="D47" s="19" t="str">
        <f>VLOOKUP(A47,[1]HS_Category_Map!$A$2:$B$10,2,FALSE)</f>
        <v>Electrical</v>
      </c>
      <c r="E47" s="19" t="str">
        <f>VLOOKUP(D47,[1]Category_Function_Map!$A$2:$C$7,2,FALSE)</f>
        <v>Electrical Supplies</v>
      </c>
    </row>
    <row r="48" spans="1:5" x14ac:dyDescent="0.3">
      <c r="A48" s="18">
        <v>85</v>
      </c>
      <c r="B48" s="1">
        <v>8549</v>
      </c>
      <c r="C48" s="59" t="s">
        <v>46</v>
      </c>
      <c r="D48" s="19" t="str">
        <f>VLOOKUP(A48,[1]HS_Category_Map!$A$2:$B$10,2,FALSE)</f>
        <v>Electrical</v>
      </c>
      <c r="E48" s="19" t="str">
        <f>VLOOKUP(D48,[1]Category_Function_Map!$A$2:$C$7,2,FALSE)</f>
        <v>Electrical Supplies</v>
      </c>
    </row>
    <row r="49" spans="1:5" x14ac:dyDescent="0.3">
      <c r="A49" s="18">
        <v>85</v>
      </c>
      <c r="B49" s="1">
        <v>8510</v>
      </c>
      <c r="C49" s="59" t="s">
        <v>47</v>
      </c>
      <c r="D49" s="19" t="str">
        <f>VLOOKUP(A49,[1]HS_Category_Map!$A$2:$B$10,2,FALSE)</f>
        <v>Electrical</v>
      </c>
      <c r="E49" s="19" t="str">
        <f>VLOOKUP(D49,[1]Category_Function_Map!$A$2:$C$7,2,FALSE)</f>
        <v>Electrical Supplies</v>
      </c>
    </row>
    <row r="50" spans="1:5" x14ac:dyDescent="0.3">
      <c r="A50" s="18">
        <v>39</v>
      </c>
      <c r="B50" s="1">
        <v>3904</v>
      </c>
      <c r="C50" s="59" t="s">
        <v>51</v>
      </c>
      <c r="D50" s="19" t="str">
        <f>VLOOKUP(A50,[1]HS_Category_Map!$A$2:$B$10,2,FALSE)</f>
        <v>Plastics</v>
      </c>
      <c r="E50" s="19" t="str">
        <f>VLOOKUP(D50,[1]Category_Function_Map!$A$2:$C$7,2,FALSE)</f>
        <v>Plumbing &amp; Plastic Products</v>
      </c>
    </row>
    <row r="51" spans="1:5" x14ac:dyDescent="0.3">
      <c r="A51" s="18">
        <v>39</v>
      </c>
      <c r="B51" s="1">
        <v>3906</v>
      </c>
      <c r="C51" s="59" t="s">
        <v>52</v>
      </c>
      <c r="D51" s="19" t="str">
        <f>VLOOKUP(A51,[1]HS_Category_Map!$A$2:$B$10,2,FALSE)</f>
        <v>Plastics</v>
      </c>
      <c r="E51" s="19" t="str">
        <f>VLOOKUP(D51,[1]Category_Function_Map!$A$2:$C$7,2,FALSE)</f>
        <v>Plumbing &amp; Plastic Products</v>
      </c>
    </row>
    <row r="52" spans="1:5" x14ac:dyDescent="0.3">
      <c r="A52" s="18">
        <v>39</v>
      </c>
      <c r="B52" s="1">
        <v>3926</v>
      </c>
      <c r="C52" s="59" t="s">
        <v>53</v>
      </c>
      <c r="D52" s="19" t="str">
        <f>VLOOKUP(A52,[1]HS_Category_Map!$A$2:$B$10,2,FALSE)</f>
        <v>Plastics</v>
      </c>
      <c r="E52" s="19" t="str">
        <f>VLOOKUP(D52,[1]Category_Function_Map!$A$2:$C$7,2,FALSE)</f>
        <v>Plumbing &amp; Plastic Products</v>
      </c>
    </row>
    <row r="53" spans="1:5" x14ac:dyDescent="0.3">
      <c r="A53" s="18">
        <v>39</v>
      </c>
      <c r="B53" s="1">
        <v>3909</v>
      </c>
      <c r="C53" s="59" t="s">
        <v>54</v>
      </c>
      <c r="D53" s="19" t="str">
        <f>VLOOKUP(A53,[1]HS_Category_Map!$A$2:$B$10,2,FALSE)</f>
        <v>Plastics</v>
      </c>
      <c r="E53" s="19" t="str">
        <f>VLOOKUP(D53,[1]Category_Function_Map!$A$2:$C$7,2,FALSE)</f>
        <v>Plumbing &amp; Plastic Products</v>
      </c>
    </row>
    <row r="54" spans="1:5" x14ac:dyDescent="0.3">
      <c r="A54" s="18">
        <v>39</v>
      </c>
      <c r="B54" s="1">
        <v>3901</v>
      </c>
      <c r="C54" s="59" t="s">
        <v>55</v>
      </c>
      <c r="D54" s="19" t="str">
        <f>VLOOKUP(A54,[1]HS_Category_Map!$A$2:$B$10,2,FALSE)</f>
        <v>Plastics</v>
      </c>
      <c r="E54" s="19" t="str">
        <f>VLOOKUP(D54,[1]Category_Function_Map!$A$2:$C$7,2,FALSE)</f>
        <v>Plumbing &amp; Plastic Products</v>
      </c>
    </row>
    <row r="55" spans="1:5" x14ac:dyDescent="0.3">
      <c r="A55" s="18">
        <v>39</v>
      </c>
      <c r="B55" s="1">
        <v>3912</v>
      </c>
      <c r="C55" s="59" t="s">
        <v>56</v>
      </c>
      <c r="D55" s="19" t="str">
        <f>VLOOKUP(A55,[1]HS_Category_Map!$A$2:$B$10,2,FALSE)</f>
        <v>Plastics</v>
      </c>
      <c r="E55" s="19" t="str">
        <f>VLOOKUP(D55,[1]Category_Function_Map!$A$2:$C$7,2,FALSE)</f>
        <v>Plumbing &amp; Plastic Products</v>
      </c>
    </row>
    <row r="56" spans="1:5" x14ac:dyDescent="0.3">
      <c r="A56" s="18">
        <v>39</v>
      </c>
      <c r="B56" s="1">
        <v>3907</v>
      </c>
      <c r="C56" s="59" t="s">
        <v>57</v>
      </c>
      <c r="D56" s="19" t="str">
        <f>VLOOKUP(A56,[1]HS_Category_Map!$A$2:$B$10,2,FALSE)</f>
        <v>Plastics</v>
      </c>
      <c r="E56" s="19" t="str">
        <f>VLOOKUP(D56,[1]Category_Function_Map!$A$2:$C$7,2,FALSE)</f>
        <v>Plumbing &amp; Plastic Products</v>
      </c>
    </row>
    <row r="57" spans="1:5" x14ac:dyDescent="0.3">
      <c r="A57" s="18">
        <v>39</v>
      </c>
      <c r="B57" s="1">
        <v>3902</v>
      </c>
      <c r="C57" s="59" t="s">
        <v>58</v>
      </c>
      <c r="D57" s="19" t="str">
        <f>VLOOKUP(A57,[1]HS_Category_Map!$A$2:$B$10,2,FALSE)</f>
        <v>Plastics</v>
      </c>
      <c r="E57" s="19" t="str">
        <f>VLOOKUP(D57,[1]Category_Function_Map!$A$2:$C$7,2,FALSE)</f>
        <v>Plumbing &amp; Plastic Products</v>
      </c>
    </row>
    <row r="58" spans="1:5" x14ac:dyDescent="0.3">
      <c r="A58" s="18">
        <v>39</v>
      </c>
      <c r="B58" s="1">
        <v>3919</v>
      </c>
      <c r="C58" s="59" t="s">
        <v>59</v>
      </c>
      <c r="D58" s="19" t="str">
        <f>VLOOKUP(A58,[1]HS_Category_Map!$A$2:$B$10,2,FALSE)</f>
        <v>Plastics</v>
      </c>
      <c r="E58" s="19" t="str">
        <f>VLOOKUP(D58,[1]Category_Function_Map!$A$2:$C$7,2,FALSE)</f>
        <v>Plumbing &amp; Plastic Products</v>
      </c>
    </row>
    <row r="59" spans="1:5" x14ac:dyDescent="0.3">
      <c r="A59" s="18">
        <v>39</v>
      </c>
      <c r="B59" s="1">
        <v>3920</v>
      </c>
      <c r="C59" s="59" t="s">
        <v>60</v>
      </c>
      <c r="D59" s="19" t="str">
        <f>VLOOKUP(A59,[1]HS_Category_Map!$A$2:$B$10,2,FALSE)</f>
        <v>Plastics</v>
      </c>
      <c r="E59" s="19" t="str">
        <f>VLOOKUP(D59,[1]Category_Function_Map!$A$2:$C$7,2,FALSE)</f>
        <v>Plumbing &amp; Plastic Products</v>
      </c>
    </row>
    <row r="60" spans="1:5" x14ac:dyDescent="0.3">
      <c r="A60" s="18">
        <v>39</v>
      </c>
      <c r="B60" s="1">
        <v>3905</v>
      </c>
      <c r="C60" s="59" t="s">
        <v>61</v>
      </c>
      <c r="D60" s="19" t="str">
        <f>VLOOKUP(A60,[1]HS_Category_Map!$A$2:$B$10,2,FALSE)</f>
        <v>Plastics</v>
      </c>
      <c r="E60" s="19" t="str">
        <f>VLOOKUP(D60,[1]Category_Function_Map!$A$2:$C$7,2,FALSE)</f>
        <v>Plumbing &amp; Plastic Products</v>
      </c>
    </row>
    <row r="61" spans="1:5" x14ac:dyDescent="0.3">
      <c r="A61" s="18">
        <v>39</v>
      </c>
      <c r="B61" s="1">
        <v>3911</v>
      </c>
      <c r="C61" s="59" t="s">
        <v>62</v>
      </c>
      <c r="D61" s="19" t="str">
        <f>VLOOKUP(A61,[1]HS_Category_Map!$A$2:$B$10,2,FALSE)</f>
        <v>Plastics</v>
      </c>
      <c r="E61" s="19" t="str">
        <f>VLOOKUP(D61,[1]Category_Function_Map!$A$2:$C$7,2,FALSE)</f>
        <v>Plumbing &amp; Plastic Products</v>
      </c>
    </row>
    <row r="62" spans="1:5" x14ac:dyDescent="0.3">
      <c r="A62" s="18">
        <v>39</v>
      </c>
      <c r="B62" s="1">
        <v>3903</v>
      </c>
      <c r="C62" s="59" t="s">
        <v>63</v>
      </c>
      <c r="D62" s="19" t="str">
        <f>VLOOKUP(A62,[1]HS_Category_Map!$A$2:$B$10,2,FALSE)</f>
        <v>Plastics</v>
      </c>
      <c r="E62" s="19" t="str">
        <f>VLOOKUP(D62,[1]Category_Function_Map!$A$2:$C$7,2,FALSE)</f>
        <v>Plumbing &amp; Plastic Products</v>
      </c>
    </row>
    <row r="63" spans="1:5" x14ac:dyDescent="0.3">
      <c r="A63" s="18">
        <v>39</v>
      </c>
      <c r="B63" s="1">
        <v>3908</v>
      </c>
      <c r="C63" s="59" t="s">
        <v>64</v>
      </c>
      <c r="D63" s="19" t="str">
        <f>VLOOKUP(A63,[1]HS_Category_Map!$A$2:$B$10,2,FALSE)</f>
        <v>Plastics</v>
      </c>
      <c r="E63" s="19" t="str">
        <f>VLOOKUP(D63,[1]Category_Function_Map!$A$2:$C$7,2,FALSE)</f>
        <v>Plumbing &amp; Plastic Products</v>
      </c>
    </row>
    <row r="64" spans="1:5" x14ac:dyDescent="0.3">
      <c r="A64" s="18">
        <v>39</v>
      </c>
      <c r="B64" s="1">
        <v>3923</v>
      </c>
      <c r="C64" s="59" t="s">
        <v>65</v>
      </c>
      <c r="D64" s="19" t="str">
        <f>VLOOKUP(A64,[1]HS_Category_Map!$A$2:$B$10,2,FALSE)</f>
        <v>Plastics</v>
      </c>
      <c r="E64" s="19" t="str">
        <f>VLOOKUP(D64,[1]Category_Function_Map!$A$2:$C$7,2,FALSE)</f>
        <v>Plumbing &amp; Plastic Products</v>
      </c>
    </row>
    <row r="65" spans="1:5" x14ac:dyDescent="0.3">
      <c r="A65" s="18">
        <v>39</v>
      </c>
      <c r="B65" s="1">
        <v>3910</v>
      </c>
      <c r="C65" s="59" t="s">
        <v>66</v>
      </c>
      <c r="D65" s="19" t="str">
        <f>VLOOKUP(A65,[1]HS_Category_Map!$A$2:$B$10,2,FALSE)</f>
        <v>Plastics</v>
      </c>
      <c r="E65" s="19" t="str">
        <f>VLOOKUP(D65,[1]Category_Function_Map!$A$2:$C$7,2,FALSE)</f>
        <v>Plumbing &amp; Plastic Products</v>
      </c>
    </row>
    <row r="66" spans="1:5" x14ac:dyDescent="0.3">
      <c r="A66" s="18">
        <v>39</v>
      </c>
      <c r="B66" s="1">
        <v>3917</v>
      </c>
      <c r="C66" s="59" t="s">
        <v>67</v>
      </c>
      <c r="D66" s="19" t="str">
        <f>VLOOKUP(A66,[1]HS_Category_Map!$A$2:$B$10,2,FALSE)</f>
        <v>Plastics</v>
      </c>
      <c r="E66" s="19" t="str">
        <f>VLOOKUP(D66,[1]Category_Function_Map!$A$2:$C$7,2,FALSE)</f>
        <v>Plumbing &amp; Plastic Products</v>
      </c>
    </row>
    <row r="67" spans="1:5" x14ac:dyDescent="0.3">
      <c r="A67" s="18">
        <v>39</v>
      </c>
      <c r="B67" s="1">
        <v>3921</v>
      </c>
      <c r="C67" s="59" t="s">
        <v>68</v>
      </c>
      <c r="D67" s="19" t="str">
        <f>VLOOKUP(A67,[1]HS_Category_Map!$A$2:$B$10,2,FALSE)</f>
        <v>Plastics</v>
      </c>
      <c r="E67" s="19" t="str">
        <f>VLOOKUP(D67,[1]Category_Function_Map!$A$2:$C$7,2,FALSE)</f>
        <v>Plumbing &amp; Plastic Products</v>
      </c>
    </row>
    <row r="68" spans="1:5" x14ac:dyDescent="0.3">
      <c r="A68" s="18">
        <v>39</v>
      </c>
      <c r="B68" s="1">
        <v>3914</v>
      </c>
      <c r="C68" s="59" t="s">
        <v>69</v>
      </c>
      <c r="D68" s="19" t="str">
        <f>VLOOKUP(A68,[1]HS_Category_Map!$A$2:$B$10,2,FALSE)</f>
        <v>Plastics</v>
      </c>
      <c r="E68" s="19" t="str">
        <f>VLOOKUP(D68,[1]Category_Function_Map!$A$2:$C$7,2,FALSE)</f>
        <v>Plumbing &amp; Plastic Products</v>
      </c>
    </row>
    <row r="69" spans="1:5" x14ac:dyDescent="0.3">
      <c r="A69" s="18">
        <v>39</v>
      </c>
      <c r="B69" s="1">
        <v>3913</v>
      </c>
      <c r="C69" s="59" t="s">
        <v>70</v>
      </c>
      <c r="D69" s="19" t="str">
        <f>VLOOKUP(A69,[1]HS_Category_Map!$A$2:$B$10,2,FALSE)</f>
        <v>Plastics</v>
      </c>
      <c r="E69" s="19" t="str">
        <f>VLOOKUP(D69,[1]Category_Function_Map!$A$2:$C$7,2,FALSE)</f>
        <v>Plumbing &amp; Plastic Products</v>
      </c>
    </row>
    <row r="70" spans="1:5" x14ac:dyDescent="0.3">
      <c r="A70" s="18">
        <v>39</v>
      </c>
      <c r="B70" s="1">
        <v>3916</v>
      </c>
      <c r="C70" s="59" t="s">
        <v>71</v>
      </c>
      <c r="D70" s="19" t="str">
        <f>VLOOKUP(A70,[1]HS_Category_Map!$A$2:$B$10,2,FALSE)</f>
        <v>Plastics</v>
      </c>
      <c r="E70" s="19" t="str">
        <f>VLOOKUP(D70,[1]Category_Function_Map!$A$2:$C$7,2,FALSE)</f>
        <v>Plumbing &amp; Plastic Products</v>
      </c>
    </row>
    <row r="71" spans="1:5" x14ac:dyDescent="0.3">
      <c r="A71" s="18">
        <v>39</v>
      </c>
      <c r="B71" s="1">
        <v>3924</v>
      </c>
      <c r="C71" s="59" t="s">
        <v>72</v>
      </c>
      <c r="D71" s="19" t="str">
        <f>VLOOKUP(A71,[1]HS_Category_Map!$A$2:$B$10,2,FALSE)</f>
        <v>Plastics</v>
      </c>
      <c r="E71" s="19" t="str">
        <f>VLOOKUP(D71,[1]Category_Function_Map!$A$2:$C$7,2,FALSE)</f>
        <v>Plumbing &amp; Plastic Products</v>
      </c>
    </row>
    <row r="72" spans="1:5" x14ac:dyDescent="0.3">
      <c r="A72" s="18">
        <v>39</v>
      </c>
      <c r="B72" s="1">
        <v>3925</v>
      </c>
      <c r="C72" s="59" t="s">
        <v>73</v>
      </c>
      <c r="D72" s="19" t="str">
        <f>VLOOKUP(A72,[1]HS_Category_Map!$A$2:$B$10,2,FALSE)</f>
        <v>Plastics</v>
      </c>
      <c r="E72" s="19" t="str">
        <f>VLOOKUP(D72,[1]Category_Function_Map!$A$2:$C$7,2,FALSE)</f>
        <v>Plumbing &amp; Plastic Products</v>
      </c>
    </row>
    <row r="73" spans="1:5" x14ac:dyDescent="0.3">
      <c r="A73" s="18">
        <v>39</v>
      </c>
      <c r="B73" s="1">
        <v>3922</v>
      </c>
      <c r="C73" s="59" t="s">
        <v>74</v>
      </c>
      <c r="D73" s="19" t="str">
        <f>VLOOKUP(A73,[1]HS_Category_Map!$A$2:$B$10,2,FALSE)</f>
        <v>Plastics</v>
      </c>
      <c r="E73" s="19" t="str">
        <f>VLOOKUP(D73,[1]Category_Function_Map!$A$2:$C$7,2,FALSE)</f>
        <v>Plumbing &amp; Plastic Products</v>
      </c>
    </row>
    <row r="74" spans="1:5" x14ac:dyDescent="0.3">
      <c r="A74" s="18">
        <v>39</v>
      </c>
      <c r="B74" s="1">
        <v>3918</v>
      </c>
      <c r="C74" s="59" t="s">
        <v>75</v>
      </c>
      <c r="D74" s="19" t="str">
        <f>VLOOKUP(A74,[1]HS_Category_Map!$A$2:$B$10,2,FALSE)</f>
        <v>Plastics</v>
      </c>
      <c r="E74" s="19" t="str">
        <f>VLOOKUP(D74,[1]Category_Function_Map!$A$2:$C$7,2,FALSE)</f>
        <v>Plumbing &amp; Plastic Products</v>
      </c>
    </row>
    <row r="75" spans="1:5" x14ac:dyDescent="0.3">
      <c r="A75" s="18">
        <v>39</v>
      </c>
      <c r="B75" s="1">
        <v>3915</v>
      </c>
      <c r="C75" s="59" t="s">
        <v>76</v>
      </c>
      <c r="D75" s="19" t="str">
        <f>VLOOKUP(A75,[1]HS_Category_Map!$A$2:$B$10,2,FALSE)</f>
        <v>Plastics</v>
      </c>
      <c r="E75" s="19" t="str">
        <f>VLOOKUP(D75,[1]Category_Function_Map!$A$2:$C$7,2,FALSE)</f>
        <v>Plumbing &amp; Plastic Products</v>
      </c>
    </row>
    <row r="76" spans="1:5" x14ac:dyDescent="0.3">
      <c r="A76" s="18">
        <v>68</v>
      </c>
      <c r="B76" s="1">
        <v>6813</v>
      </c>
      <c r="C76" s="59" t="s">
        <v>81</v>
      </c>
      <c r="D76" s="19" t="str">
        <f>VLOOKUP(A76,[1]HS_Category_Map!$A$2:$B$10,2,FALSE)</f>
        <v>Decorative Materials</v>
      </c>
      <c r="E76" s="19" t="str">
        <f>VLOOKUP(D76,[1]Category_Function_Map!$A$2:$C$7,2,FALSE)</f>
        <v>Interior &amp; Building Materials</v>
      </c>
    </row>
    <row r="77" spans="1:5" x14ac:dyDescent="0.3">
      <c r="A77" s="18">
        <v>68</v>
      </c>
      <c r="B77" s="1">
        <v>6804</v>
      </c>
      <c r="C77" s="59" t="s">
        <v>82</v>
      </c>
      <c r="D77" s="19" t="str">
        <f>VLOOKUP(A77,[1]HS_Category_Map!$A$2:$B$10,2,FALSE)</f>
        <v>Decorative Materials</v>
      </c>
      <c r="E77" s="19" t="str">
        <f>VLOOKUP(D77,[1]Category_Function_Map!$A$2:$C$7,2,FALSE)</f>
        <v>Interior &amp; Building Materials</v>
      </c>
    </row>
    <row r="78" spans="1:5" x14ac:dyDescent="0.3">
      <c r="A78" s="18">
        <v>68</v>
      </c>
      <c r="B78" s="1">
        <v>6815</v>
      </c>
      <c r="C78" s="59" t="s">
        <v>80</v>
      </c>
      <c r="D78" s="19" t="str">
        <f>VLOOKUP(A78,[1]HS_Category_Map!$A$2:$B$10,2,FALSE)</f>
        <v>Decorative Materials</v>
      </c>
      <c r="E78" s="19" t="str">
        <f>VLOOKUP(D78,[1]Category_Function_Map!$A$2:$C$7,2,FALSE)</f>
        <v>Interior &amp; Building Materials</v>
      </c>
    </row>
    <row r="79" spans="1:5" x14ac:dyDescent="0.3">
      <c r="A79" s="18">
        <v>68</v>
      </c>
      <c r="B79" s="1">
        <v>6806</v>
      </c>
      <c r="C79" s="59" t="s">
        <v>79</v>
      </c>
      <c r="D79" s="19" t="str">
        <f>VLOOKUP(A79,[1]HS_Category_Map!$A$2:$B$10,2,FALSE)</f>
        <v>Decorative Materials</v>
      </c>
      <c r="E79" s="19" t="str">
        <f>VLOOKUP(D79,[1]Category_Function_Map!$A$2:$C$7,2,FALSE)</f>
        <v>Interior &amp; Building Materials</v>
      </c>
    </row>
    <row r="80" spans="1:5" x14ac:dyDescent="0.3">
      <c r="A80" s="18">
        <v>68</v>
      </c>
      <c r="B80" s="1">
        <v>6805</v>
      </c>
      <c r="C80" s="59" t="s">
        <v>85</v>
      </c>
      <c r="D80" s="19" t="str">
        <f>VLOOKUP(A80,[1]HS_Category_Map!$A$2:$B$10,2,FALSE)</f>
        <v>Decorative Materials</v>
      </c>
      <c r="E80" s="19" t="str">
        <f>VLOOKUP(D80,[1]Category_Function_Map!$A$2:$C$7,2,FALSE)</f>
        <v>Interior &amp; Building Materials</v>
      </c>
    </row>
    <row r="81" spans="1:5" x14ac:dyDescent="0.3">
      <c r="A81" s="18">
        <v>68</v>
      </c>
      <c r="B81" s="1">
        <v>6814</v>
      </c>
      <c r="C81" s="59" t="s">
        <v>78</v>
      </c>
      <c r="D81" s="19" t="str">
        <f>VLOOKUP(A81,[1]HS_Category_Map!$A$2:$B$10,2,FALSE)</f>
        <v>Decorative Materials</v>
      </c>
      <c r="E81" s="19" t="str">
        <f>VLOOKUP(D81,[1]Category_Function_Map!$A$2:$C$7,2,FALSE)</f>
        <v>Interior &amp; Building Materials</v>
      </c>
    </row>
    <row r="82" spans="1:5" x14ac:dyDescent="0.3">
      <c r="A82" s="18">
        <v>68</v>
      </c>
      <c r="B82" s="1">
        <v>6812</v>
      </c>
      <c r="C82" s="59" t="s">
        <v>91</v>
      </c>
      <c r="D82" s="19" t="str">
        <f>VLOOKUP(A82,[1]HS_Category_Map!$A$2:$B$10,2,FALSE)</f>
        <v>Decorative Materials</v>
      </c>
      <c r="E82" s="19" t="str">
        <f>VLOOKUP(D82,[1]Category_Function_Map!$A$2:$C$7,2,FALSE)</f>
        <v>Interior &amp; Building Materials</v>
      </c>
    </row>
    <row r="83" spans="1:5" x14ac:dyDescent="0.3">
      <c r="A83" s="18">
        <v>68</v>
      </c>
      <c r="B83" s="1">
        <v>6811</v>
      </c>
      <c r="C83" s="59" t="s">
        <v>90</v>
      </c>
      <c r="D83" s="19" t="str">
        <f>VLOOKUP(A83,[1]HS_Category_Map!$A$2:$B$10,2,FALSE)</f>
        <v>Decorative Materials</v>
      </c>
      <c r="E83" s="19" t="str">
        <f>VLOOKUP(D83,[1]Category_Function_Map!$A$2:$C$7,2,FALSE)</f>
        <v>Interior &amp; Building Materials</v>
      </c>
    </row>
    <row r="84" spans="1:5" x14ac:dyDescent="0.3">
      <c r="A84" s="18">
        <v>68</v>
      </c>
      <c r="B84" s="1">
        <v>6810</v>
      </c>
      <c r="C84" s="59" t="s">
        <v>89</v>
      </c>
      <c r="D84" s="19" t="str">
        <f>VLOOKUP(A84,[1]HS_Category_Map!$A$2:$B$10,2,FALSE)</f>
        <v>Decorative Materials</v>
      </c>
      <c r="E84" s="19" t="str">
        <f>VLOOKUP(D84,[1]Category_Function_Map!$A$2:$C$7,2,FALSE)</f>
        <v>Interior &amp; Building Materials</v>
      </c>
    </row>
    <row r="85" spans="1:5" x14ac:dyDescent="0.3">
      <c r="A85" s="18">
        <v>68</v>
      </c>
      <c r="B85" s="1">
        <v>6802</v>
      </c>
      <c r="C85" s="59" t="s">
        <v>77</v>
      </c>
      <c r="D85" s="19" t="str">
        <f>VLOOKUP(A85,[1]HS_Category_Map!$A$2:$B$10,2,FALSE)</f>
        <v>Decorative Materials</v>
      </c>
      <c r="E85" s="19" t="str">
        <f>VLOOKUP(D85,[1]Category_Function_Map!$A$2:$C$7,2,FALSE)</f>
        <v>Interior &amp; Building Materials</v>
      </c>
    </row>
    <row r="86" spans="1:5" x14ac:dyDescent="0.3">
      <c r="A86" s="18">
        <v>68</v>
      </c>
      <c r="B86" s="1">
        <v>6803</v>
      </c>
      <c r="C86" s="59" t="s">
        <v>83</v>
      </c>
      <c r="D86" s="19" t="str">
        <f>VLOOKUP(A86,[1]HS_Category_Map!$A$2:$B$10,2,FALSE)</f>
        <v>Decorative Materials</v>
      </c>
      <c r="E86" s="19" t="str">
        <f>VLOOKUP(D86,[1]Category_Function_Map!$A$2:$C$7,2,FALSE)</f>
        <v>Interior &amp; Building Materials</v>
      </c>
    </row>
    <row r="87" spans="1:5" x14ac:dyDescent="0.3">
      <c r="A87" s="18">
        <v>68</v>
      </c>
      <c r="B87" s="1">
        <v>6807</v>
      </c>
      <c r="C87" s="59" t="s">
        <v>88</v>
      </c>
      <c r="D87" s="19" t="str">
        <f>VLOOKUP(A87,[1]HS_Category_Map!$A$2:$B$10,2,FALSE)</f>
        <v>Decorative Materials</v>
      </c>
      <c r="E87" s="19" t="str">
        <f>VLOOKUP(D87,[1]Category_Function_Map!$A$2:$C$7,2,FALSE)</f>
        <v>Interior &amp; Building Materials</v>
      </c>
    </row>
    <row r="88" spans="1:5" x14ac:dyDescent="0.3">
      <c r="A88" s="18">
        <v>68</v>
      </c>
      <c r="B88" s="1">
        <v>6808</v>
      </c>
      <c r="C88" s="59" t="s">
        <v>86</v>
      </c>
      <c r="D88" s="19" t="str">
        <f>VLOOKUP(A88,[1]HS_Category_Map!$A$2:$B$10,2,FALSE)</f>
        <v>Decorative Materials</v>
      </c>
      <c r="E88" s="19" t="str">
        <f>VLOOKUP(D88,[1]Category_Function_Map!$A$2:$C$7,2,FALSE)</f>
        <v>Interior &amp; Building Materials</v>
      </c>
    </row>
    <row r="89" spans="1:5" x14ac:dyDescent="0.3">
      <c r="A89" s="18">
        <v>68</v>
      </c>
      <c r="B89" s="1">
        <v>6809</v>
      </c>
      <c r="C89" s="59" t="s">
        <v>87</v>
      </c>
      <c r="D89" s="19" t="str">
        <f>VLOOKUP(A89,[1]HS_Category_Map!$A$2:$B$10,2,FALSE)</f>
        <v>Decorative Materials</v>
      </c>
      <c r="E89" s="19" t="str">
        <f>VLOOKUP(D89,[1]Category_Function_Map!$A$2:$C$7,2,FALSE)</f>
        <v>Interior &amp; Building Materials</v>
      </c>
    </row>
    <row r="90" spans="1:5" x14ac:dyDescent="0.3">
      <c r="A90" s="18">
        <v>69</v>
      </c>
      <c r="B90" s="1">
        <v>6909</v>
      </c>
      <c r="C90" s="59" t="s">
        <v>92</v>
      </c>
      <c r="D90" s="19" t="str">
        <f>VLOOKUP(A90,[1]HS_Category_Map!$A$2:$B$10,2,FALSE)</f>
        <v>Sanitary</v>
      </c>
      <c r="E90" s="19" t="str">
        <f>VLOOKUP(D90,[1]Category_Function_Map!$A$2:$C$7,2,FALSE)</f>
        <v>Bathroom &amp; Sanitary Solutions</v>
      </c>
    </row>
    <row r="91" spans="1:5" x14ac:dyDescent="0.3">
      <c r="A91" s="18">
        <v>69</v>
      </c>
      <c r="B91" s="1">
        <v>6903</v>
      </c>
      <c r="C91" s="59" t="s">
        <v>93</v>
      </c>
      <c r="D91" s="19" t="str">
        <f>VLOOKUP(A91,[1]HS_Category_Map!$A$2:$B$10,2,FALSE)</f>
        <v>Sanitary</v>
      </c>
      <c r="E91" s="19" t="str">
        <f>VLOOKUP(D91,[1]Category_Function_Map!$A$2:$C$7,2,FALSE)</f>
        <v>Bathroom &amp; Sanitary Solutions</v>
      </c>
    </row>
    <row r="92" spans="1:5" x14ac:dyDescent="0.3">
      <c r="A92" s="18">
        <v>69</v>
      </c>
      <c r="B92" s="1">
        <v>6902</v>
      </c>
      <c r="C92" s="59" t="s">
        <v>94</v>
      </c>
      <c r="D92" s="19" t="str">
        <f>VLOOKUP(A92,[1]HS_Category_Map!$A$2:$B$10,2,FALSE)</f>
        <v>Sanitary</v>
      </c>
      <c r="E92" s="19" t="str">
        <f>VLOOKUP(D92,[1]Category_Function_Map!$A$2:$C$7,2,FALSE)</f>
        <v>Bathroom &amp; Sanitary Solutions</v>
      </c>
    </row>
    <row r="93" spans="1:5" x14ac:dyDescent="0.3">
      <c r="A93" s="18">
        <v>69</v>
      </c>
      <c r="B93" s="1">
        <v>6914</v>
      </c>
      <c r="C93" s="59" t="s">
        <v>95</v>
      </c>
      <c r="D93" s="19" t="str">
        <f>VLOOKUP(A93,[1]HS_Category_Map!$A$2:$B$10,2,FALSE)</f>
        <v>Sanitary</v>
      </c>
      <c r="E93" s="19" t="str">
        <f>VLOOKUP(D93,[1]Category_Function_Map!$A$2:$C$7,2,FALSE)</f>
        <v>Bathroom &amp; Sanitary Solutions</v>
      </c>
    </row>
    <row r="94" spans="1:5" x14ac:dyDescent="0.3">
      <c r="A94" s="18">
        <v>69</v>
      </c>
      <c r="B94" s="1">
        <v>6910</v>
      </c>
      <c r="C94" s="59" t="s">
        <v>96</v>
      </c>
      <c r="D94" s="19" t="str">
        <f>VLOOKUP(A94,[1]HS_Category_Map!$A$2:$B$10,2,FALSE)</f>
        <v>Sanitary</v>
      </c>
      <c r="E94" s="19" t="str">
        <f>VLOOKUP(D94,[1]Category_Function_Map!$A$2:$C$7,2,FALSE)</f>
        <v>Bathroom &amp; Sanitary Solutions</v>
      </c>
    </row>
    <row r="95" spans="1:5" x14ac:dyDescent="0.3">
      <c r="A95" s="18">
        <v>69</v>
      </c>
      <c r="B95" s="1">
        <v>6911</v>
      </c>
      <c r="C95" s="59" t="s">
        <v>97</v>
      </c>
      <c r="D95" s="19" t="str">
        <f>VLOOKUP(A95,[1]HS_Category_Map!$A$2:$B$10,2,FALSE)</f>
        <v>Sanitary</v>
      </c>
      <c r="E95" s="19" t="str">
        <f>VLOOKUP(D95,[1]Category_Function_Map!$A$2:$C$7,2,FALSE)</f>
        <v>Bathroom &amp; Sanitary Solutions</v>
      </c>
    </row>
    <row r="96" spans="1:5" x14ac:dyDescent="0.3">
      <c r="A96" s="18">
        <v>69</v>
      </c>
      <c r="B96" s="1">
        <v>6912</v>
      </c>
      <c r="C96" s="59" t="s">
        <v>98</v>
      </c>
      <c r="D96" s="19" t="str">
        <f>VLOOKUP(A96,[1]HS_Category_Map!$A$2:$B$10,2,FALSE)</f>
        <v>Sanitary</v>
      </c>
      <c r="E96" s="19" t="str">
        <f>VLOOKUP(D96,[1]Category_Function_Map!$A$2:$C$7,2,FALSE)</f>
        <v>Bathroom &amp; Sanitary Solutions</v>
      </c>
    </row>
    <row r="97" spans="1:5" x14ac:dyDescent="0.3">
      <c r="A97" s="18">
        <v>69</v>
      </c>
      <c r="B97" s="1">
        <v>6907</v>
      </c>
      <c r="C97" s="59" t="s">
        <v>99</v>
      </c>
      <c r="D97" s="19" t="str">
        <f>VLOOKUP(A97,[1]HS_Category_Map!$A$2:$B$10,2,FALSE)</f>
        <v>Sanitary</v>
      </c>
      <c r="E97" s="19" t="str">
        <f>VLOOKUP(D97,[1]Category_Function_Map!$A$2:$C$7,2,FALSE)</f>
        <v>Bathroom &amp; Sanitary Solutions</v>
      </c>
    </row>
    <row r="98" spans="1:5" x14ac:dyDescent="0.3">
      <c r="A98" s="18">
        <v>69</v>
      </c>
      <c r="B98" s="1">
        <v>6905</v>
      </c>
      <c r="C98" s="59" t="s">
        <v>100</v>
      </c>
      <c r="D98" s="19" t="str">
        <f>VLOOKUP(A98,[1]HS_Category_Map!$A$2:$B$10,2,FALSE)</f>
        <v>Sanitary</v>
      </c>
      <c r="E98" s="19" t="str">
        <f>VLOOKUP(D98,[1]Category_Function_Map!$A$2:$C$7,2,FALSE)</f>
        <v>Bathroom &amp; Sanitary Solutions</v>
      </c>
    </row>
    <row r="99" spans="1:5" x14ac:dyDescent="0.3">
      <c r="A99" s="18">
        <v>69</v>
      </c>
      <c r="B99" s="1">
        <v>6906</v>
      </c>
      <c r="C99" s="59" t="s">
        <v>101</v>
      </c>
      <c r="D99" s="19" t="str">
        <f>VLOOKUP(A99,[1]HS_Category_Map!$A$2:$B$10,2,FALSE)</f>
        <v>Sanitary</v>
      </c>
      <c r="E99" s="19" t="str">
        <f>VLOOKUP(D99,[1]Category_Function_Map!$A$2:$C$7,2,FALSE)</f>
        <v>Bathroom &amp; Sanitary Solutions</v>
      </c>
    </row>
    <row r="100" spans="1:5" x14ac:dyDescent="0.3">
      <c r="A100" s="18">
        <v>69</v>
      </c>
      <c r="B100" s="1">
        <v>6904</v>
      </c>
      <c r="C100" s="59" t="s">
        <v>102</v>
      </c>
      <c r="D100" s="19" t="str">
        <f>VLOOKUP(A100,[1]HS_Category_Map!$A$2:$B$10,2,FALSE)</f>
        <v>Sanitary</v>
      </c>
      <c r="E100" s="19" t="str">
        <f>VLOOKUP(D100,[1]Category_Function_Map!$A$2:$C$7,2,FALSE)</f>
        <v>Bathroom &amp; Sanitary Solutions</v>
      </c>
    </row>
    <row r="101" spans="1:5" x14ac:dyDescent="0.3">
      <c r="A101" s="18">
        <v>69</v>
      </c>
      <c r="B101" s="1">
        <v>6913</v>
      </c>
      <c r="C101" s="59" t="s">
        <v>103</v>
      </c>
      <c r="D101" s="19" t="str">
        <f>VLOOKUP(A101,[1]HS_Category_Map!$A$2:$B$10,2,FALSE)</f>
        <v>Sanitary</v>
      </c>
      <c r="E101" s="19" t="str">
        <f>VLOOKUP(D101,[1]Category_Function_Map!$A$2:$C$7,2,FALSE)</f>
        <v>Bathroom &amp; Sanitary Solutions</v>
      </c>
    </row>
    <row r="102" spans="1:5" x14ac:dyDescent="0.3">
      <c r="A102" s="18">
        <v>69</v>
      </c>
      <c r="B102" s="1">
        <v>6901</v>
      </c>
      <c r="C102" s="59" t="s">
        <v>104</v>
      </c>
      <c r="D102" s="19" t="str">
        <f>VLOOKUP(A102,[1]HS_Category_Map!$A$2:$B$10,2,FALSE)</f>
        <v>Sanitary</v>
      </c>
      <c r="E102" s="19" t="str">
        <f>VLOOKUP(D102,[1]Category_Function_Map!$A$2:$C$7,2,FALSE)</f>
        <v>Bathroom &amp; Sanitary Solutions</v>
      </c>
    </row>
    <row r="103" spans="1:5" x14ac:dyDescent="0.3">
      <c r="A103" s="18">
        <v>69</v>
      </c>
      <c r="B103" s="1">
        <v>6908</v>
      </c>
      <c r="C103" s="59" t="s">
        <v>105</v>
      </c>
      <c r="D103" s="19" t="str">
        <f>VLOOKUP(A103,[1]HS_Category_Map!$A$2:$B$10,2,FALSE)</f>
        <v>Sanitary</v>
      </c>
      <c r="E103" s="19" t="str">
        <f>VLOOKUP(D103,[1]Category_Function_Map!$A$2:$C$7,2,FALSE)</f>
        <v>Bathroom &amp; Sanitary Solutions</v>
      </c>
    </row>
    <row r="104" spans="1:5" x14ac:dyDescent="0.3">
      <c r="A104" s="18">
        <v>73</v>
      </c>
      <c r="B104" s="1">
        <v>7318</v>
      </c>
      <c r="C104" s="59" t="s">
        <v>113</v>
      </c>
      <c r="D104" s="19" t="str">
        <f>VLOOKUP(A104,[1]HS_Category_Map!$A$2:$B$10,2,FALSE)</f>
        <v>Hardware</v>
      </c>
      <c r="E104" s="19" t="str">
        <f>VLOOKUP(D104,[1]Category_Function_Map!$A$2:$C$7,2,FALSE)</f>
        <v>Building Hardware</v>
      </c>
    </row>
    <row r="105" spans="1:5" x14ac:dyDescent="0.3">
      <c r="A105" s="18">
        <v>73</v>
      </c>
      <c r="B105" s="1">
        <v>7302</v>
      </c>
      <c r="C105" s="59" t="s">
        <v>121</v>
      </c>
      <c r="D105" s="19" t="str">
        <f>VLOOKUP(A105,[1]HS_Category_Map!$A$2:$B$10,2,FALSE)</f>
        <v>Hardware</v>
      </c>
      <c r="E105" s="19" t="str">
        <f>VLOOKUP(D105,[1]Category_Function_Map!$A$2:$C$7,2,FALSE)</f>
        <v>Building Hardware</v>
      </c>
    </row>
    <row r="106" spans="1:5" x14ac:dyDescent="0.3">
      <c r="A106" s="18">
        <v>73</v>
      </c>
      <c r="B106" s="1">
        <v>7326</v>
      </c>
      <c r="C106" s="59" t="s">
        <v>106</v>
      </c>
      <c r="D106" s="19" t="str">
        <f>VLOOKUP(A106,[1]HS_Category_Map!$A$2:$B$10,2,FALSE)</f>
        <v>Hardware</v>
      </c>
      <c r="E106" s="19" t="str">
        <f>VLOOKUP(D106,[1]Category_Function_Map!$A$2:$C$7,2,FALSE)</f>
        <v>Building Hardware</v>
      </c>
    </row>
    <row r="107" spans="1:5" x14ac:dyDescent="0.3">
      <c r="A107" s="18">
        <v>73</v>
      </c>
      <c r="B107" s="1">
        <v>7304</v>
      </c>
      <c r="C107" s="59" t="s">
        <v>116</v>
      </c>
      <c r="D107" s="19" t="str">
        <f>VLOOKUP(A107,[1]HS_Category_Map!$A$2:$B$10,2,FALSE)</f>
        <v>Hardware</v>
      </c>
      <c r="E107" s="19" t="str">
        <f>VLOOKUP(D107,[1]Category_Function_Map!$A$2:$C$7,2,FALSE)</f>
        <v>Building Hardware</v>
      </c>
    </row>
    <row r="108" spans="1:5" x14ac:dyDescent="0.3">
      <c r="A108" s="18">
        <v>73</v>
      </c>
      <c r="B108" s="1">
        <v>7307</v>
      </c>
      <c r="C108" s="59" t="s">
        <v>111</v>
      </c>
      <c r="D108" s="19" t="str">
        <f>VLOOKUP(A108,[1]HS_Category_Map!$A$2:$B$10,2,FALSE)</f>
        <v>Hardware</v>
      </c>
      <c r="E108" s="19" t="str">
        <f>VLOOKUP(D108,[1]Category_Function_Map!$A$2:$C$7,2,FALSE)</f>
        <v>Building Hardware</v>
      </c>
    </row>
    <row r="109" spans="1:5" x14ac:dyDescent="0.3">
      <c r="A109" s="18">
        <v>73</v>
      </c>
      <c r="B109" s="1">
        <v>7320</v>
      </c>
      <c r="C109" s="59" t="s">
        <v>112</v>
      </c>
      <c r="D109" s="19" t="str">
        <f>VLOOKUP(A109,[1]HS_Category_Map!$A$2:$B$10,2,FALSE)</f>
        <v>Hardware</v>
      </c>
      <c r="E109" s="19" t="str">
        <f>VLOOKUP(D109,[1]Category_Function_Map!$A$2:$C$7,2,FALSE)</f>
        <v>Building Hardware</v>
      </c>
    </row>
    <row r="110" spans="1:5" x14ac:dyDescent="0.3">
      <c r="A110" s="18">
        <v>73</v>
      </c>
      <c r="B110" s="1">
        <v>7315</v>
      </c>
      <c r="C110" s="59" t="s">
        <v>115</v>
      </c>
      <c r="D110" s="19" t="str">
        <f>VLOOKUP(A110,[1]HS_Category_Map!$A$2:$B$10,2,FALSE)</f>
        <v>Hardware</v>
      </c>
      <c r="E110" s="19" t="str">
        <f>VLOOKUP(D110,[1]Category_Function_Map!$A$2:$C$7,2,FALSE)</f>
        <v>Building Hardware</v>
      </c>
    </row>
    <row r="111" spans="1:5" x14ac:dyDescent="0.3">
      <c r="A111" s="18">
        <v>73</v>
      </c>
      <c r="B111" s="1">
        <v>7308</v>
      </c>
      <c r="C111" s="59" t="s">
        <v>107</v>
      </c>
      <c r="D111" s="19" t="str">
        <f>VLOOKUP(A111,[1]HS_Category_Map!$A$2:$B$10,2,FALSE)</f>
        <v>Hardware</v>
      </c>
      <c r="E111" s="19" t="str">
        <f>VLOOKUP(D111,[1]Category_Function_Map!$A$2:$C$7,2,FALSE)</f>
        <v>Building Hardware</v>
      </c>
    </row>
    <row r="112" spans="1:5" x14ac:dyDescent="0.3">
      <c r="A112" s="18">
        <v>73</v>
      </c>
      <c r="B112" s="1">
        <v>7306</v>
      </c>
      <c r="C112" s="59" t="s">
        <v>118</v>
      </c>
      <c r="D112" s="19" t="str">
        <f>VLOOKUP(A112,[1]HS_Category_Map!$A$2:$B$10,2,FALSE)</f>
        <v>Hardware</v>
      </c>
      <c r="E112" s="19" t="str">
        <f>VLOOKUP(D112,[1]Category_Function_Map!$A$2:$C$7,2,FALSE)</f>
        <v>Building Hardware</v>
      </c>
    </row>
    <row r="113" spans="1:5" x14ac:dyDescent="0.3">
      <c r="A113" s="18">
        <v>73</v>
      </c>
      <c r="B113" s="1">
        <v>7325</v>
      </c>
      <c r="C113" s="59" t="s">
        <v>108</v>
      </c>
      <c r="D113" s="19" t="str">
        <f>VLOOKUP(A113,[1]HS_Category_Map!$A$2:$B$10,2,FALSE)</f>
        <v>Hardware</v>
      </c>
      <c r="E113" s="19" t="str">
        <f>VLOOKUP(D113,[1]Category_Function_Map!$A$2:$C$7,2,FALSE)</f>
        <v>Building Hardware</v>
      </c>
    </row>
    <row r="114" spans="1:5" x14ac:dyDescent="0.3">
      <c r="A114" s="18">
        <v>73</v>
      </c>
      <c r="B114" s="1">
        <v>7319</v>
      </c>
      <c r="C114" s="59" t="s">
        <v>119</v>
      </c>
      <c r="D114" s="19" t="str">
        <f>VLOOKUP(A114,[1]HS_Category_Map!$A$2:$B$10,2,FALSE)</f>
        <v>Hardware</v>
      </c>
      <c r="E114" s="19" t="str">
        <f>VLOOKUP(D114,[1]Category_Function_Map!$A$2:$C$7,2,FALSE)</f>
        <v>Building Hardware</v>
      </c>
    </row>
    <row r="115" spans="1:5" x14ac:dyDescent="0.3">
      <c r="A115" s="18">
        <v>73</v>
      </c>
      <c r="B115" s="1">
        <v>7310</v>
      </c>
      <c r="C115" s="59" t="s">
        <v>110</v>
      </c>
      <c r="D115" s="19" t="str">
        <f>VLOOKUP(A115,[1]HS_Category_Map!$A$2:$B$10,2,FALSE)</f>
        <v>Hardware</v>
      </c>
      <c r="E115" s="19" t="str">
        <f>VLOOKUP(D115,[1]Category_Function_Map!$A$2:$C$7,2,FALSE)</f>
        <v>Building Hardware</v>
      </c>
    </row>
    <row r="116" spans="1:5" x14ac:dyDescent="0.3">
      <c r="A116" s="18">
        <v>73</v>
      </c>
      <c r="B116" s="1">
        <v>7314</v>
      </c>
      <c r="C116" s="59" t="s">
        <v>129</v>
      </c>
      <c r="D116" s="19" t="str">
        <f>VLOOKUP(A116,[1]HS_Category_Map!$A$2:$B$10,2,FALSE)</f>
        <v>Hardware</v>
      </c>
      <c r="E116" s="19" t="str">
        <f>VLOOKUP(D116,[1]Category_Function_Map!$A$2:$C$7,2,FALSE)</f>
        <v>Building Hardware</v>
      </c>
    </row>
    <row r="117" spans="1:5" x14ac:dyDescent="0.3">
      <c r="A117" s="18">
        <v>73</v>
      </c>
      <c r="B117" s="1">
        <v>7312</v>
      </c>
      <c r="C117" s="59" t="s">
        <v>122</v>
      </c>
      <c r="D117" s="19" t="str">
        <f>VLOOKUP(A117,[1]HS_Category_Map!$A$2:$B$10,2,FALSE)</f>
        <v>Hardware</v>
      </c>
      <c r="E117" s="19" t="str">
        <f>VLOOKUP(D117,[1]Category_Function_Map!$A$2:$C$7,2,FALSE)</f>
        <v>Building Hardware</v>
      </c>
    </row>
    <row r="118" spans="1:5" x14ac:dyDescent="0.3">
      <c r="A118" s="18">
        <v>73</v>
      </c>
      <c r="B118" s="1">
        <v>7309</v>
      </c>
      <c r="C118" s="59" t="s">
        <v>120</v>
      </c>
      <c r="D118" s="19" t="str">
        <f>VLOOKUP(A118,[1]HS_Category_Map!$A$2:$B$10,2,FALSE)</f>
        <v>Hardware</v>
      </c>
      <c r="E118" s="19" t="str">
        <f>VLOOKUP(D118,[1]Category_Function_Map!$A$2:$C$7,2,FALSE)</f>
        <v>Building Hardware</v>
      </c>
    </row>
    <row r="119" spans="1:5" x14ac:dyDescent="0.3">
      <c r="A119" s="18">
        <v>73</v>
      </c>
      <c r="B119" s="1">
        <v>7322</v>
      </c>
      <c r="C119" s="59" t="s">
        <v>130</v>
      </c>
      <c r="D119" s="19" t="str">
        <f>VLOOKUP(A119,[1]HS_Category_Map!$A$2:$B$10,2,FALSE)</f>
        <v>Hardware</v>
      </c>
      <c r="E119" s="19" t="str">
        <f>VLOOKUP(D119,[1]Category_Function_Map!$A$2:$C$7,2,FALSE)</f>
        <v>Building Hardware</v>
      </c>
    </row>
    <row r="120" spans="1:5" x14ac:dyDescent="0.3">
      <c r="A120" s="18">
        <v>73</v>
      </c>
      <c r="B120" s="1">
        <v>7311</v>
      </c>
      <c r="C120" s="59" t="s">
        <v>123</v>
      </c>
      <c r="D120" s="19" t="str">
        <f>VLOOKUP(A120,[1]HS_Category_Map!$A$2:$B$10,2,FALSE)</f>
        <v>Hardware</v>
      </c>
      <c r="E120" s="19" t="str">
        <f>VLOOKUP(D120,[1]Category_Function_Map!$A$2:$C$7,2,FALSE)</f>
        <v>Building Hardware</v>
      </c>
    </row>
    <row r="121" spans="1:5" x14ac:dyDescent="0.3">
      <c r="A121" s="18">
        <v>73</v>
      </c>
      <c r="B121" s="1">
        <v>7321</v>
      </c>
      <c r="C121" s="59" t="s">
        <v>117</v>
      </c>
      <c r="D121" s="19" t="str">
        <f>VLOOKUP(A121,[1]HS_Category_Map!$A$2:$B$10,2,FALSE)</f>
        <v>Hardware</v>
      </c>
      <c r="E121" s="19" t="str">
        <f>VLOOKUP(D121,[1]Category_Function_Map!$A$2:$C$7,2,FALSE)</f>
        <v>Building Hardware</v>
      </c>
    </row>
    <row r="122" spans="1:5" x14ac:dyDescent="0.3">
      <c r="A122" s="18">
        <v>73</v>
      </c>
      <c r="B122" s="1">
        <v>7323</v>
      </c>
      <c r="C122" s="59" t="s">
        <v>109</v>
      </c>
      <c r="D122" s="19" t="str">
        <f>VLOOKUP(A122,[1]HS_Category_Map!$A$2:$B$10,2,FALSE)</f>
        <v>Hardware</v>
      </c>
      <c r="E122" s="19" t="str">
        <f>VLOOKUP(D122,[1]Category_Function_Map!$A$2:$C$7,2,FALSE)</f>
        <v>Building Hardware</v>
      </c>
    </row>
    <row r="123" spans="1:5" x14ac:dyDescent="0.3">
      <c r="A123" s="18">
        <v>73</v>
      </c>
      <c r="B123" s="1">
        <v>7317</v>
      </c>
      <c r="C123" s="59" t="s">
        <v>124</v>
      </c>
      <c r="D123" s="19" t="str">
        <f>VLOOKUP(A123,[1]HS_Category_Map!$A$2:$B$10,2,FALSE)</f>
        <v>Hardware</v>
      </c>
      <c r="E123" s="19" t="str">
        <f>VLOOKUP(D123,[1]Category_Function_Map!$A$2:$C$7,2,FALSE)</f>
        <v>Building Hardware</v>
      </c>
    </row>
    <row r="124" spans="1:5" x14ac:dyDescent="0.3">
      <c r="A124" s="18">
        <v>73</v>
      </c>
      <c r="B124" s="1">
        <v>7324</v>
      </c>
      <c r="C124" s="59" t="s">
        <v>125</v>
      </c>
      <c r="D124" s="19" t="str">
        <f>VLOOKUP(A124,[1]HS_Category_Map!$A$2:$B$10,2,FALSE)</f>
        <v>Hardware</v>
      </c>
      <c r="E124" s="19" t="str">
        <f>VLOOKUP(D124,[1]Category_Function_Map!$A$2:$C$7,2,FALSE)</f>
        <v>Building Hardware</v>
      </c>
    </row>
    <row r="125" spans="1:5" x14ac:dyDescent="0.3">
      <c r="A125" s="18">
        <v>73</v>
      </c>
      <c r="B125" s="1">
        <v>7303</v>
      </c>
      <c r="C125" s="59" t="s">
        <v>127</v>
      </c>
      <c r="D125" s="19" t="str">
        <f>VLOOKUP(A125,[1]HS_Category_Map!$A$2:$B$10,2,FALSE)</f>
        <v>Hardware</v>
      </c>
      <c r="E125" s="19" t="str">
        <f>VLOOKUP(D125,[1]Category_Function_Map!$A$2:$C$7,2,FALSE)</f>
        <v>Building Hardware</v>
      </c>
    </row>
    <row r="126" spans="1:5" x14ac:dyDescent="0.3">
      <c r="A126" s="18">
        <v>73</v>
      </c>
      <c r="B126" s="1">
        <v>7316</v>
      </c>
      <c r="C126" s="59" t="s">
        <v>126</v>
      </c>
      <c r="D126" s="19" t="str">
        <f>VLOOKUP(A126,[1]HS_Category_Map!$A$2:$B$10,2,FALSE)</f>
        <v>Hardware</v>
      </c>
      <c r="E126" s="19" t="str">
        <f>VLOOKUP(D126,[1]Category_Function_Map!$A$2:$C$7,2,FALSE)</f>
        <v>Building Hardware</v>
      </c>
    </row>
    <row r="127" spans="1:5" x14ac:dyDescent="0.3">
      <c r="A127" s="18">
        <v>73</v>
      </c>
      <c r="B127" s="1">
        <v>7301</v>
      </c>
      <c r="C127" s="59" t="s">
        <v>114</v>
      </c>
      <c r="D127" s="19" t="str">
        <f>VLOOKUP(A127,[1]HS_Category_Map!$A$2:$B$10,2,FALSE)</f>
        <v>Hardware</v>
      </c>
      <c r="E127" s="19" t="str">
        <f>VLOOKUP(D127,[1]Category_Function_Map!$A$2:$C$7,2,FALSE)</f>
        <v>Building Hardware</v>
      </c>
    </row>
    <row r="128" spans="1:5" x14ac:dyDescent="0.3">
      <c r="A128" s="18">
        <v>73</v>
      </c>
      <c r="B128" s="1">
        <v>7305</v>
      </c>
      <c r="C128" s="59" t="s">
        <v>128</v>
      </c>
      <c r="D128" s="19" t="str">
        <f>VLOOKUP(A128,[1]HS_Category_Map!$A$2:$B$10,2,FALSE)</f>
        <v>Hardware</v>
      </c>
      <c r="E128" s="19" t="str">
        <f>VLOOKUP(D128,[1]Category_Function_Map!$A$2:$C$7,2,FALSE)</f>
        <v>Building Hardware</v>
      </c>
    </row>
    <row r="129" spans="1:5" x14ac:dyDescent="0.3">
      <c r="A129" s="18">
        <v>73</v>
      </c>
      <c r="B129" s="1">
        <v>7313</v>
      </c>
      <c r="C129" s="59" t="s">
        <v>131</v>
      </c>
      <c r="D129" s="19" t="str">
        <f>VLOOKUP(A129,[1]HS_Category_Map!$A$2:$B$10,2,FALSE)</f>
        <v>Hardware</v>
      </c>
      <c r="E129" s="19" t="str">
        <f>VLOOKUP(D129,[1]Category_Function_Map!$A$2:$C$7,2,FALSE)</f>
        <v>Building Hardware</v>
      </c>
    </row>
    <row r="130" spans="1:5" x14ac:dyDescent="0.3">
      <c r="A130" s="18">
        <v>74</v>
      </c>
      <c r="B130" s="1">
        <v>7403</v>
      </c>
      <c r="C130" s="59" t="s">
        <v>132</v>
      </c>
      <c r="D130" s="19" t="str">
        <f>VLOOKUP(A130,[1]HS_Category_Map!$A$2:$B$10,2,FALSE)</f>
        <v>Electrical</v>
      </c>
      <c r="E130" s="19" t="str">
        <f>VLOOKUP(D130,[1]Category_Function_Map!$A$2:$C$7,2,FALSE)</f>
        <v>Electrical Supplies</v>
      </c>
    </row>
    <row r="131" spans="1:5" x14ac:dyDescent="0.3">
      <c r="A131" s="18">
        <v>74</v>
      </c>
      <c r="B131" s="1">
        <v>7408</v>
      </c>
      <c r="C131" s="59" t="s">
        <v>133</v>
      </c>
      <c r="D131" s="19" t="str">
        <f>VLOOKUP(A131,[1]HS_Category_Map!$A$2:$B$10,2,FALSE)</f>
        <v>Electrical</v>
      </c>
      <c r="E131" s="19" t="str">
        <f>VLOOKUP(D131,[1]Category_Function_Map!$A$2:$C$7,2,FALSE)</f>
        <v>Electrical Supplies</v>
      </c>
    </row>
    <row r="132" spans="1:5" x14ac:dyDescent="0.3">
      <c r="A132" s="18">
        <v>74</v>
      </c>
      <c r="B132" s="1">
        <v>7409</v>
      </c>
      <c r="C132" s="59" t="s">
        <v>134</v>
      </c>
      <c r="D132" s="19" t="str">
        <f>VLOOKUP(A132,[1]HS_Category_Map!$A$2:$B$10,2,FALSE)</f>
        <v>Electrical</v>
      </c>
      <c r="E132" s="19" t="str">
        <f>VLOOKUP(D132,[1]Category_Function_Map!$A$2:$C$7,2,FALSE)</f>
        <v>Electrical Supplies</v>
      </c>
    </row>
    <row r="133" spans="1:5" x14ac:dyDescent="0.3">
      <c r="A133" s="18">
        <v>74</v>
      </c>
      <c r="B133" s="1">
        <v>7419</v>
      </c>
      <c r="C133" s="59" t="s">
        <v>135</v>
      </c>
      <c r="D133" s="19" t="str">
        <f>VLOOKUP(A133,[1]HS_Category_Map!$A$2:$B$10,2,FALSE)</f>
        <v>Electrical</v>
      </c>
      <c r="E133" s="19" t="str">
        <f>VLOOKUP(D133,[1]Category_Function_Map!$A$2:$C$7,2,FALSE)</f>
        <v>Electrical Supplies</v>
      </c>
    </row>
    <row r="134" spans="1:5" x14ac:dyDescent="0.3">
      <c r="A134" s="18">
        <v>74</v>
      </c>
      <c r="B134" s="1">
        <v>7407</v>
      </c>
      <c r="C134" s="59" t="s">
        <v>136</v>
      </c>
      <c r="D134" s="19" t="str">
        <f>VLOOKUP(A134,[1]HS_Category_Map!$A$2:$B$10,2,FALSE)</f>
        <v>Electrical</v>
      </c>
      <c r="E134" s="19" t="str">
        <f>VLOOKUP(D134,[1]Category_Function_Map!$A$2:$C$7,2,FALSE)</f>
        <v>Electrical Supplies</v>
      </c>
    </row>
    <row r="135" spans="1:5" x14ac:dyDescent="0.3">
      <c r="A135" s="18">
        <v>74</v>
      </c>
      <c r="B135" s="1">
        <v>7404</v>
      </c>
      <c r="C135" s="59" t="s">
        <v>137</v>
      </c>
      <c r="D135" s="19" t="str">
        <f>VLOOKUP(A135,[1]HS_Category_Map!$A$2:$B$10,2,FALSE)</f>
        <v>Electrical</v>
      </c>
      <c r="E135" s="19" t="str">
        <f>VLOOKUP(D135,[1]Category_Function_Map!$A$2:$C$7,2,FALSE)</f>
        <v>Electrical Supplies</v>
      </c>
    </row>
    <row r="136" spans="1:5" x14ac:dyDescent="0.3">
      <c r="A136" s="18">
        <v>74</v>
      </c>
      <c r="B136" s="1">
        <v>7402</v>
      </c>
      <c r="C136" s="59" t="s">
        <v>138</v>
      </c>
      <c r="D136" s="19" t="str">
        <f>VLOOKUP(A136,[1]HS_Category_Map!$A$2:$B$10,2,FALSE)</f>
        <v>Electrical</v>
      </c>
      <c r="E136" s="19" t="str">
        <f>VLOOKUP(D136,[1]Category_Function_Map!$A$2:$C$7,2,FALSE)</f>
        <v>Electrical Supplies</v>
      </c>
    </row>
    <row r="137" spans="1:5" x14ac:dyDescent="0.3">
      <c r="A137" s="18">
        <v>74</v>
      </c>
      <c r="B137" s="1">
        <v>7410</v>
      </c>
      <c r="C137" s="59" t="s">
        <v>139</v>
      </c>
      <c r="D137" s="19" t="str">
        <f>VLOOKUP(A137,[1]HS_Category_Map!$A$2:$B$10,2,FALSE)</f>
        <v>Electrical</v>
      </c>
      <c r="E137" s="19" t="str">
        <f>VLOOKUP(D137,[1]Category_Function_Map!$A$2:$C$7,2,FALSE)</f>
        <v>Electrical Supplies</v>
      </c>
    </row>
    <row r="138" spans="1:5" x14ac:dyDescent="0.3">
      <c r="A138" s="18">
        <v>74</v>
      </c>
      <c r="B138" s="1">
        <v>7412</v>
      </c>
      <c r="C138" s="59" t="s">
        <v>140</v>
      </c>
      <c r="D138" s="19" t="str">
        <f>VLOOKUP(A138,[1]HS_Category_Map!$A$2:$B$10,2,FALSE)</f>
        <v>Electrical</v>
      </c>
      <c r="E138" s="19" t="str">
        <f>VLOOKUP(D138,[1]Category_Function_Map!$A$2:$C$7,2,FALSE)</f>
        <v>Electrical Supplies</v>
      </c>
    </row>
    <row r="139" spans="1:5" x14ac:dyDescent="0.3">
      <c r="A139" s="18">
        <v>74</v>
      </c>
      <c r="B139" s="1">
        <v>7406</v>
      </c>
      <c r="C139" s="59" t="s">
        <v>141</v>
      </c>
      <c r="D139" s="19" t="str">
        <f>VLOOKUP(A139,[1]HS_Category_Map!$A$2:$B$10,2,FALSE)</f>
        <v>Electrical</v>
      </c>
      <c r="E139" s="19" t="str">
        <f>VLOOKUP(D139,[1]Category_Function_Map!$A$2:$C$7,2,FALSE)</f>
        <v>Electrical Supplies</v>
      </c>
    </row>
    <row r="140" spans="1:5" x14ac:dyDescent="0.3">
      <c r="A140" s="18">
        <v>74</v>
      </c>
      <c r="B140" s="1">
        <v>7411</v>
      </c>
      <c r="C140" s="59" t="s">
        <v>142</v>
      </c>
      <c r="D140" s="19" t="str">
        <f>VLOOKUP(A140,[1]HS_Category_Map!$A$2:$B$10,2,FALSE)</f>
        <v>Electrical</v>
      </c>
      <c r="E140" s="19" t="str">
        <f>VLOOKUP(D140,[1]Category_Function_Map!$A$2:$C$7,2,FALSE)</f>
        <v>Electrical Supplies</v>
      </c>
    </row>
    <row r="141" spans="1:5" x14ac:dyDescent="0.3">
      <c r="A141" s="18">
        <v>74</v>
      </c>
      <c r="B141" s="1">
        <v>7413</v>
      </c>
      <c r="C141" s="59" t="s">
        <v>143</v>
      </c>
      <c r="D141" s="19" t="str">
        <f>VLOOKUP(A141,[1]HS_Category_Map!$A$2:$B$10,2,FALSE)</f>
        <v>Electrical</v>
      </c>
      <c r="E141" s="19" t="str">
        <f>VLOOKUP(D141,[1]Category_Function_Map!$A$2:$C$7,2,FALSE)</f>
        <v>Electrical Supplies</v>
      </c>
    </row>
    <row r="142" spans="1:5" x14ac:dyDescent="0.3">
      <c r="A142" s="18">
        <v>74</v>
      </c>
      <c r="B142" s="1">
        <v>7415</v>
      </c>
      <c r="C142" s="59" t="s">
        <v>144</v>
      </c>
      <c r="D142" s="19" t="str">
        <f>VLOOKUP(A142,[1]HS_Category_Map!$A$2:$B$10,2,FALSE)</f>
        <v>Electrical</v>
      </c>
      <c r="E142" s="19" t="str">
        <f>VLOOKUP(D142,[1]Category_Function_Map!$A$2:$C$7,2,FALSE)</f>
        <v>Electrical Supplies</v>
      </c>
    </row>
    <row r="143" spans="1:5" x14ac:dyDescent="0.3">
      <c r="A143" s="18">
        <v>74</v>
      </c>
      <c r="B143" s="1">
        <v>7418</v>
      </c>
      <c r="C143" s="59" t="s">
        <v>145</v>
      </c>
      <c r="D143" s="19" t="str">
        <f>VLOOKUP(A143,[1]HS_Category_Map!$A$2:$B$10,2,FALSE)</f>
        <v>Electrical</v>
      </c>
      <c r="E143" s="19" t="str">
        <f>VLOOKUP(D143,[1]Category_Function_Map!$A$2:$C$7,2,FALSE)</f>
        <v>Electrical Supplies</v>
      </c>
    </row>
    <row r="144" spans="1:5" x14ac:dyDescent="0.3">
      <c r="A144" s="18">
        <v>74</v>
      </c>
      <c r="B144" s="1">
        <v>7401</v>
      </c>
      <c r="C144" s="59" t="s">
        <v>146</v>
      </c>
      <c r="D144" s="19" t="str">
        <f>VLOOKUP(A144,[1]HS_Category_Map!$A$2:$B$10,2,FALSE)</f>
        <v>Electrical</v>
      </c>
      <c r="E144" s="19" t="str">
        <f>VLOOKUP(D144,[1]Category_Function_Map!$A$2:$C$7,2,FALSE)</f>
        <v>Electrical Supplies</v>
      </c>
    </row>
    <row r="145" spans="1:5" x14ac:dyDescent="0.3">
      <c r="A145" s="18">
        <v>74</v>
      </c>
      <c r="B145" s="1">
        <v>7405</v>
      </c>
      <c r="C145" s="59" t="s">
        <v>147</v>
      </c>
      <c r="D145" s="19" t="str">
        <f>VLOOKUP(A145,[1]HS_Category_Map!$A$2:$B$10,2,FALSE)</f>
        <v>Electrical</v>
      </c>
      <c r="E145" s="19" t="str">
        <f>VLOOKUP(D145,[1]Category_Function_Map!$A$2:$C$7,2,FALSE)</f>
        <v>Electrical Supplies</v>
      </c>
    </row>
    <row r="146" spans="1:5" x14ac:dyDescent="0.3">
      <c r="A146" s="18">
        <v>76</v>
      </c>
      <c r="B146" s="1">
        <v>7602</v>
      </c>
      <c r="C146" s="59" t="s">
        <v>148</v>
      </c>
      <c r="D146" s="19" t="str">
        <f>VLOOKUP(A146,[1]HS_Category_Map!$A$2:$B$10,2,FALSE)</f>
        <v>Hardware</v>
      </c>
      <c r="E146" s="19" t="str">
        <f>VLOOKUP(D146,[1]Category_Function_Map!$A$2:$C$7,2,FALSE)</f>
        <v>Building Hardware</v>
      </c>
    </row>
    <row r="147" spans="1:5" x14ac:dyDescent="0.3">
      <c r="A147" s="18">
        <v>76</v>
      </c>
      <c r="B147" s="1">
        <v>7606</v>
      </c>
      <c r="C147" s="59" t="s">
        <v>149</v>
      </c>
      <c r="D147" s="19" t="str">
        <f>VLOOKUP(A147,[1]HS_Category_Map!$A$2:$B$10,2,FALSE)</f>
        <v>Hardware</v>
      </c>
      <c r="E147" s="19" t="str">
        <f>VLOOKUP(D147,[1]Category_Function_Map!$A$2:$C$7,2,FALSE)</f>
        <v>Building Hardware</v>
      </c>
    </row>
    <row r="148" spans="1:5" x14ac:dyDescent="0.3">
      <c r="A148" s="18">
        <v>76</v>
      </c>
      <c r="B148" s="1">
        <v>7616</v>
      </c>
      <c r="C148" s="59" t="s">
        <v>150</v>
      </c>
      <c r="D148" s="19" t="str">
        <f>VLOOKUP(A148,[1]HS_Category_Map!$A$2:$B$10,2,FALSE)</f>
        <v>Hardware</v>
      </c>
      <c r="E148" s="19" t="str">
        <f>VLOOKUP(D148,[1]Category_Function_Map!$A$2:$C$7,2,FALSE)</f>
        <v>Building Hardware</v>
      </c>
    </row>
    <row r="149" spans="1:5" x14ac:dyDescent="0.3">
      <c r="A149" s="18">
        <v>76</v>
      </c>
      <c r="B149" s="1">
        <v>7607</v>
      </c>
      <c r="C149" s="59" t="s">
        <v>151</v>
      </c>
      <c r="D149" s="19" t="str">
        <f>VLOOKUP(A149,[1]HS_Category_Map!$A$2:$B$10,2,FALSE)</f>
        <v>Hardware</v>
      </c>
      <c r="E149" s="19" t="str">
        <f>VLOOKUP(D149,[1]Category_Function_Map!$A$2:$C$7,2,FALSE)</f>
        <v>Building Hardware</v>
      </c>
    </row>
    <row r="150" spans="1:5" x14ac:dyDescent="0.3">
      <c r="A150" s="18">
        <v>76</v>
      </c>
      <c r="B150" s="1">
        <v>7604</v>
      </c>
      <c r="C150" s="59" t="s">
        <v>152</v>
      </c>
      <c r="D150" s="19" t="str">
        <f>VLOOKUP(A150,[1]HS_Category_Map!$A$2:$B$10,2,FALSE)</f>
        <v>Hardware</v>
      </c>
      <c r="E150" s="19" t="str">
        <f>VLOOKUP(D150,[1]Category_Function_Map!$A$2:$C$7,2,FALSE)</f>
        <v>Building Hardware</v>
      </c>
    </row>
    <row r="151" spans="1:5" x14ac:dyDescent="0.3">
      <c r="A151" s="18">
        <v>76</v>
      </c>
      <c r="B151" s="1">
        <v>7605</v>
      </c>
      <c r="C151" s="59" t="s">
        <v>153</v>
      </c>
      <c r="D151" s="19" t="str">
        <f>VLOOKUP(A151,[1]HS_Category_Map!$A$2:$B$10,2,FALSE)</f>
        <v>Hardware</v>
      </c>
      <c r="E151" s="19" t="str">
        <f>VLOOKUP(D151,[1]Category_Function_Map!$A$2:$C$7,2,FALSE)</f>
        <v>Building Hardware</v>
      </c>
    </row>
    <row r="152" spans="1:5" x14ac:dyDescent="0.3">
      <c r="A152" s="18">
        <v>76</v>
      </c>
      <c r="B152" s="1">
        <v>7608</v>
      </c>
      <c r="C152" s="59" t="s">
        <v>154</v>
      </c>
      <c r="D152" s="19" t="str">
        <f>VLOOKUP(A152,[1]HS_Category_Map!$A$2:$B$10,2,FALSE)</f>
        <v>Hardware</v>
      </c>
      <c r="E152" s="19" t="str">
        <f>VLOOKUP(D152,[1]Category_Function_Map!$A$2:$C$7,2,FALSE)</f>
        <v>Building Hardware</v>
      </c>
    </row>
    <row r="153" spans="1:5" x14ac:dyDescent="0.3">
      <c r="A153" s="18">
        <v>76</v>
      </c>
      <c r="B153" s="1">
        <v>7610</v>
      </c>
      <c r="C153" s="59" t="s">
        <v>155</v>
      </c>
      <c r="D153" s="19" t="str">
        <f>VLOOKUP(A153,[1]HS_Category_Map!$A$2:$B$10,2,FALSE)</f>
        <v>Hardware</v>
      </c>
      <c r="E153" s="19" t="str">
        <f>VLOOKUP(D153,[1]Category_Function_Map!$A$2:$C$7,2,FALSE)</f>
        <v>Building Hardware</v>
      </c>
    </row>
    <row r="154" spans="1:5" x14ac:dyDescent="0.3">
      <c r="A154" s="18">
        <v>76</v>
      </c>
      <c r="B154" s="1">
        <v>7603</v>
      </c>
      <c r="C154" s="59" t="s">
        <v>156</v>
      </c>
      <c r="D154" s="19" t="str">
        <f>VLOOKUP(A154,[1]HS_Category_Map!$A$2:$B$10,2,FALSE)</f>
        <v>Hardware</v>
      </c>
      <c r="E154" s="19" t="str">
        <f>VLOOKUP(D154,[1]Category_Function_Map!$A$2:$C$7,2,FALSE)</f>
        <v>Building Hardware</v>
      </c>
    </row>
    <row r="155" spans="1:5" x14ac:dyDescent="0.3">
      <c r="A155" s="18">
        <v>76</v>
      </c>
      <c r="B155" s="1">
        <v>7609</v>
      </c>
      <c r="C155" s="59" t="s">
        <v>157</v>
      </c>
      <c r="D155" s="19" t="str">
        <f>VLOOKUP(A155,[1]HS_Category_Map!$A$2:$B$10,2,FALSE)</f>
        <v>Hardware</v>
      </c>
      <c r="E155" s="19" t="str">
        <f>VLOOKUP(D155,[1]Category_Function_Map!$A$2:$C$7,2,FALSE)</f>
        <v>Building Hardware</v>
      </c>
    </row>
    <row r="156" spans="1:5" x14ac:dyDescent="0.3">
      <c r="A156" s="18">
        <v>76</v>
      </c>
      <c r="B156" s="1">
        <v>7612</v>
      </c>
      <c r="C156" s="59" t="s">
        <v>158</v>
      </c>
      <c r="D156" s="19" t="str">
        <f>VLOOKUP(A156,[1]HS_Category_Map!$A$2:$B$10,2,FALSE)</f>
        <v>Hardware</v>
      </c>
      <c r="E156" s="19" t="str">
        <f>VLOOKUP(D156,[1]Category_Function_Map!$A$2:$C$7,2,FALSE)</f>
        <v>Building Hardware</v>
      </c>
    </row>
    <row r="157" spans="1:5" x14ac:dyDescent="0.3">
      <c r="A157" s="18">
        <v>76</v>
      </c>
      <c r="B157" s="1">
        <v>7601</v>
      </c>
      <c r="C157" s="59" t="s">
        <v>159</v>
      </c>
      <c r="D157" s="19" t="str">
        <f>VLOOKUP(A157,[1]HS_Category_Map!$A$2:$B$10,2,FALSE)</f>
        <v>Hardware</v>
      </c>
      <c r="E157" s="19" t="str">
        <f>VLOOKUP(D157,[1]Category_Function_Map!$A$2:$C$7,2,FALSE)</f>
        <v>Building Hardware</v>
      </c>
    </row>
    <row r="158" spans="1:5" x14ac:dyDescent="0.3">
      <c r="A158" s="18">
        <v>76</v>
      </c>
      <c r="B158" s="1">
        <v>7615</v>
      </c>
      <c r="C158" s="59" t="s">
        <v>160</v>
      </c>
      <c r="D158" s="19" t="str">
        <f>VLOOKUP(A158,[1]HS_Category_Map!$A$2:$B$10,2,FALSE)</f>
        <v>Hardware</v>
      </c>
      <c r="E158" s="19" t="str">
        <f>VLOOKUP(D158,[1]Category_Function_Map!$A$2:$C$7,2,FALSE)</f>
        <v>Building Hardware</v>
      </c>
    </row>
    <row r="159" spans="1:5" x14ac:dyDescent="0.3">
      <c r="A159" s="18">
        <v>76</v>
      </c>
      <c r="B159" s="1">
        <v>7613</v>
      </c>
      <c r="C159" s="59" t="s">
        <v>161</v>
      </c>
      <c r="D159" s="19" t="str">
        <f>VLOOKUP(A159,[1]HS_Category_Map!$A$2:$B$10,2,FALSE)</f>
        <v>Hardware</v>
      </c>
      <c r="E159" s="19" t="str">
        <f>VLOOKUP(D159,[1]Category_Function_Map!$A$2:$C$7,2,FALSE)</f>
        <v>Building Hardware</v>
      </c>
    </row>
    <row r="160" spans="1:5" x14ac:dyDescent="0.3">
      <c r="A160" s="18">
        <v>76</v>
      </c>
      <c r="B160" s="1">
        <v>7611</v>
      </c>
      <c r="C160" s="59" t="s">
        <v>162</v>
      </c>
      <c r="D160" s="19" t="str">
        <f>VLOOKUP(A160,[1]HS_Category_Map!$A$2:$B$10,2,FALSE)</f>
        <v>Hardware</v>
      </c>
      <c r="E160" s="19" t="str">
        <f>VLOOKUP(D160,[1]Category_Function_Map!$A$2:$C$7,2,FALSE)</f>
        <v>Building Hardware</v>
      </c>
    </row>
    <row r="161" spans="1:5" x14ac:dyDescent="0.3">
      <c r="A161" s="18">
        <v>76</v>
      </c>
      <c r="B161" s="1">
        <v>7614</v>
      </c>
      <c r="C161" s="59" t="s">
        <v>163</v>
      </c>
      <c r="D161" s="19" t="str">
        <f>VLOOKUP(A161,[1]HS_Category_Map!$A$2:$B$10,2,FALSE)</f>
        <v>Hardware</v>
      </c>
      <c r="E161" s="19" t="str">
        <f>VLOOKUP(D161,[1]Category_Function_Map!$A$2:$C$7,2,FALSE)</f>
        <v>Building Hardware</v>
      </c>
    </row>
    <row r="162" spans="1:5" x14ac:dyDescent="0.3">
      <c r="A162" s="18">
        <v>83</v>
      </c>
      <c r="B162" s="1">
        <v>8311</v>
      </c>
      <c r="C162" s="59" t="s">
        <v>164</v>
      </c>
      <c r="D162" s="19" t="str">
        <f>VLOOKUP(A162,[1]HS_Category_Map!$A$2:$B$10,2,FALSE)</f>
        <v>Hardware</v>
      </c>
      <c r="E162" s="19" t="str">
        <f>VLOOKUP(D162,[1]Category_Function_Map!$A$2:$C$7,2,FALSE)</f>
        <v>Building Hardware</v>
      </c>
    </row>
    <row r="163" spans="1:5" x14ac:dyDescent="0.3">
      <c r="A163" s="18">
        <v>83</v>
      </c>
      <c r="B163" s="1">
        <v>8301</v>
      </c>
      <c r="C163" s="59" t="s">
        <v>165</v>
      </c>
      <c r="D163" s="19" t="str">
        <f>VLOOKUP(A163,[1]HS_Category_Map!$A$2:$B$10,2,FALSE)</f>
        <v>Hardware</v>
      </c>
      <c r="E163" s="19" t="str">
        <f>VLOOKUP(D163,[1]Category_Function_Map!$A$2:$C$7,2,FALSE)</f>
        <v>Building Hardware</v>
      </c>
    </row>
    <row r="164" spans="1:5" x14ac:dyDescent="0.3">
      <c r="A164" s="18">
        <v>83</v>
      </c>
      <c r="B164" s="1">
        <v>8302</v>
      </c>
      <c r="C164" s="59" t="s">
        <v>166</v>
      </c>
      <c r="D164" s="19" t="str">
        <f>VLOOKUP(A164,[1]HS_Category_Map!$A$2:$B$10,2,FALSE)</f>
        <v>Hardware</v>
      </c>
      <c r="E164" s="19" t="str">
        <f>VLOOKUP(D164,[1]Category_Function_Map!$A$2:$C$7,2,FALSE)</f>
        <v>Building Hardware</v>
      </c>
    </row>
    <row r="165" spans="1:5" x14ac:dyDescent="0.3">
      <c r="A165" s="18">
        <v>83</v>
      </c>
      <c r="B165" s="1">
        <v>8307</v>
      </c>
      <c r="C165" s="59" t="s">
        <v>167</v>
      </c>
      <c r="D165" s="19" t="str">
        <f>VLOOKUP(A165,[1]HS_Category_Map!$A$2:$B$10,2,FALSE)</f>
        <v>Hardware</v>
      </c>
      <c r="E165" s="19" t="str">
        <f>VLOOKUP(D165,[1]Category_Function_Map!$A$2:$C$7,2,FALSE)</f>
        <v>Building Hardware</v>
      </c>
    </row>
    <row r="166" spans="1:5" x14ac:dyDescent="0.3">
      <c r="A166" s="18">
        <v>83</v>
      </c>
      <c r="B166" s="1">
        <v>8310</v>
      </c>
      <c r="C166" s="59" t="s">
        <v>168</v>
      </c>
      <c r="D166" s="19" t="str">
        <f>VLOOKUP(A166,[1]HS_Category_Map!$A$2:$B$10,2,FALSE)</f>
        <v>Hardware</v>
      </c>
      <c r="E166" s="19" t="str">
        <f>VLOOKUP(D166,[1]Category_Function_Map!$A$2:$C$7,2,FALSE)</f>
        <v>Building Hardware</v>
      </c>
    </row>
    <row r="167" spans="1:5" x14ac:dyDescent="0.3">
      <c r="A167" s="18">
        <v>83</v>
      </c>
      <c r="B167" s="1">
        <v>8309</v>
      </c>
      <c r="C167" s="59" t="s">
        <v>169</v>
      </c>
      <c r="D167" s="19" t="str">
        <f>VLOOKUP(A167,[1]HS_Category_Map!$A$2:$B$10,2,FALSE)</f>
        <v>Hardware</v>
      </c>
      <c r="E167" s="19" t="str">
        <f>VLOOKUP(D167,[1]Category_Function_Map!$A$2:$C$7,2,FALSE)</f>
        <v>Building Hardware</v>
      </c>
    </row>
    <row r="168" spans="1:5" x14ac:dyDescent="0.3">
      <c r="A168" s="18">
        <v>83</v>
      </c>
      <c r="B168" s="1">
        <v>8308</v>
      </c>
      <c r="C168" s="59" t="s">
        <v>170</v>
      </c>
      <c r="D168" s="19" t="str">
        <f>VLOOKUP(A168,[1]HS_Category_Map!$A$2:$B$10,2,FALSE)</f>
        <v>Hardware</v>
      </c>
      <c r="E168" s="19" t="str">
        <f>VLOOKUP(D168,[1]Category_Function_Map!$A$2:$C$7,2,FALSE)</f>
        <v>Building Hardware</v>
      </c>
    </row>
    <row r="169" spans="1:5" x14ac:dyDescent="0.3">
      <c r="A169" s="18">
        <v>83</v>
      </c>
      <c r="B169" s="1">
        <v>8305</v>
      </c>
      <c r="C169" s="59" t="s">
        <v>171</v>
      </c>
      <c r="D169" s="19" t="str">
        <f>VLOOKUP(A169,[1]HS_Category_Map!$A$2:$B$10,2,FALSE)</f>
        <v>Hardware</v>
      </c>
      <c r="E169" s="19" t="str">
        <f>VLOOKUP(D169,[1]Category_Function_Map!$A$2:$C$7,2,FALSE)</f>
        <v>Building Hardware</v>
      </c>
    </row>
    <row r="170" spans="1:5" x14ac:dyDescent="0.3">
      <c r="A170" s="18">
        <v>83</v>
      </c>
      <c r="B170" s="1">
        <v>8303</v>
      </c>
      <c r="C170" s="59" t="s">
        <v>172</v>
      </c>
      <c r="D170" s="19" t="str">
        <f>VLOOKUP(A170,[1]HS_Category_Map!$A$2:$B$10,2,FALSE)</f>
        <v>Hardware</v>
      </c>
      <c r="E170" s="19" t="str">
        <f>VLOOKUP(D170,[1]Category_Function_Map!$A$2:$C$7,2,FALSE)</f>
        <v>Building Hardware</v>
      </c>
    </row>
    <row r="171" spans="1:5" x14ac:dyDescent="0.3">
      <c r="A171" s="18">
        <v>83</v>
      </c>
      <c r="B171" s="1">
        <v>8306</v>
      </c>
      <c r="C171" s="59" t="s">
        <v>173</v>
      </c>
      <c r="D171" s="19" t="str">
        <f>VLOOKUP(A171,[1]HS_Category_Map!$A$2:$B$10,2,FALSE)</f>
        <v>Hardware</v>
      </c>
      <c r="E171" s="19" t="str">
        <f>VLOOKUP(D171,[1]Category_Function_Map!$A$2:$C$7,2,FALSE)</f>
        <v>Building Hardware</v>
      </c>
    </row>
    <row r="172" spans="1:5" x14ac:dyDescent="0.3">
      <c r="A172" s="18">
        <v>83</v>
      </c>
      <c r="B172" s="1">
        <v>8304</v>
      </c>
      <c r="C172" s="59" t="s">
        <v>174</v>
      </c>
      <c r="D172" s="19" t="str">
        <f>VLOOKUP(A172,[1]HS_Category_Map!$A$2:$B$10,2,FALSE)</f>
        <v>Hardware</v>
      </c>
      <c r="E172" s="19" t="str">
        <f>VLOOKUP(D172,[1]Category_Function_Map!$A$2:$C$7,2,FALSE)</f>
        <v>Building Hardware</v>
      </c>
    </row>
    <row r="173" spans="1:5" x14ac:dyDescent="0.3">
      <c r="A173" s="18">
        <v>84</v>
      </c>
      <c r="B173" s="1">
        <v>8479</v>
      </c>
      <c r="C173" s="59" t="s">
        <v>175</v>
      </c>
      <c r="D173" s="19" t="str">
        <f>VLOOKUP(A173,[1]HS_Category_Map!$A$2:$B$10,2,FALSE)</f>
        <v>Kitchen Fittings</v>
      </c>
      <c r="E173" s="19" t="str">
        <f>VLOOKUP(D173,[1]Category_Function_Map!$A$2:$C$7,2,FALSE)</f>
        <v>Kitchen &amp; Mechanical Solutions</v>
      </c>
    </row>
    <row r="174" spans="1:5" x14ac:dyDescent="0.3">
      <c r="A174" s="18">
        <v>84</v>
      </c>
      <c r="B174" s="1">
        <v>8457</v>
      </c>
      <c r="C174" s="59" t="s">
        <v>176</v>
      </c>
      <c r="D174" s="19" t="str">
        <f>VLOOKUP(A174,[1]HS_Category_Map!$A$2:$B$10,2,FALSE)</f>
        <v>Kitchen Fittings</v>
      </c>
      <c r="E174" s="19" t="str">
        <f>VLOOKUP(D174,[1]Category_Function_Map!$A$2:$C$7,2,FALSE)</f>
        <v>Kitchen &amp; Mechanical Solutions</v>
      </c>
    </row>
    <row r="175" spans="1:5" x14ac:dyDescent="0.3">
      <c r="A175" s="18">
        <v>84</v>
      </c>
      <c r="B175" s="1">
        <v>8411</v>
      </c>
      <c r="C175" s="59" t="s">
        <v>177</v>
      </c>
      <c r="D175" s="19" t="str">
        <f>VLOOKUP(A175,[1]HS_Category_Map!$A$2:$B$10,2,FALSE)</f>
        <v>Kitchen Fittings</v>
      </c>
      <c r="E175" s="19" t="str">
        <f>VLOOKUP(D175,[1]Category_Function_Map!$A$2:$C$7,2,FALSE)</f>
        <v>Kitchen &amp; Mechanical Solutions</v>
      </c>
    </row>
    <row r="176" spans="1:5" x14ac:dyDescent="0.3">
      <c r="A176" s="18">
        <v>84</v>
      </c>
      <c r="B176" s="1">
        <v>8443</v>
      </c>
      <c r="C176" s="59" t="s">
        <v>178</v>
      </c>
      <c r="D176" s="19" t="str">
        <f>VLOOKUP(A176,[1]HS_Category_Map!$A$2:$B$10,2,FALSE)</f>
        <v>Kitchen Fittings</v>
      </c>
      <c r="E176" s="19" t="str">
        <f>VLOOKUP(D176,[1]Category_Function_Map!$A$2:$C$7,2,FALSE)</f>
        <v>Kitchen &amp; Mechanical Solutions</v>
      </c>
    </row>
    <row r="177" spans="1:5" x14ac:dyDescent="0.3">
      <c r="A177" s="18">
        <v>84</v>
      </c>
      <c r="B177" s="1">
        <v>8409</v>
      </c>
      <c r="C177" s="59" t="s">
        <v>179</v>
      </c>
      <c r="D177" s="19" t="str">
        <f>VLOOKUP(A177,[1]HS_Category_Map!$A$2:$B$10,2,FALSE)</f>
        <v>Kitchen Fittings</v>
      </c>
      <c r="E177" s="19" t="str">
        <f>VLOOKUP(D177,[1]Category_Function_Map!$A$2:$C$7,2,FALSE)</f>
        <v>Kitchen &amp; Mechanical Solutions</v>
      </c>
    </row>
    <row r="178" spans="1:5" x14ac:dyDescent="0.3">
      <c r="A178" s="18">
        <v>84</v>
      </c>
      <c r="B178" s="1">
        <v>8481</v>
      </c>
      <c r="C178" s="59" t="s">
        <v>180</v>
      </c>
      <c r="D178" s="19" t="str">
        <f>VLOOKUP(A178,[1]HS_Category_Map!$A$2:$B$10,2,FALSE)</f>
        <v>Kitchen Fittings</v>
      </c>
      <c r="E178" s="19" t="str">
        <f>VLOOKUP(D178,[1]Category_Function_Map!$A$2:$C$7,2,FALSE)</f>
        <v>Kitchen &amp; Mechanical Solutions</v>
      </c>
    </row>
    <row r="179" spans="1:5" x14ac:dyDescent="0.3">
      <c r="A179" s="18">
        <v>84</v>
      </c>
      <c r="B179" s="1">
        <v>8477</v>
      </c>
      <c r="C179" s="59" t="s">
        <v>181</v>
      </c>
      <c r="D179" s="19" t="str">
        <f>VLOOKUP(A179,[1]HS_Category_Map!$A$2:$B$10,2,FALSE)</f>
        <v>Kitchen Fittings</v>
      </c>
      <c r="E179" s="19" t="str">
        <f>VLOOKUP(D179,[1]Category_Function_Map!$A$2:$C$7,2,FALSE)</f>
        <v>Kitchen &amp; Mechanical Solutions</v>
      </c>
    </row>
    <row r="180" spans="1:5" x14ac:dyDescent="0.3">
      <c r="A180" s="18">
        <v>84</v>
      </c>
      <c r="B180" s="1">
        <v>8414</v>
      </c>
      <c r="C180" s="59" t="s">
        <v>182</v>
      </c>
      <c r="D180" s="19" t="str">
        <f>VLOOKUP(A180,[1]HS_Category_Map!$A$2:$B$10,2,FALSE)</f>
        <v>Kitchen Fittings</v>
      </c>
      <c r="E180" s="19" t="str">
        <f>VLOOKUP(D180,[1]Category_Function_Map!$A$2:$C$7,2,FALSE)</f>
        <v>Kitchen &amp; Mechanical Solutions</v>
      </c>
    </row>
    <row r="181" spans="1:5" x14ac:dyDescent="0.3">
      <c r="A181" s="18">
        <v>84</v>
      </c>
      <c r="B181" s="1">
        <v>8482</v>
      </c>
      <c r="C181" s="59" t="s">
        <v>183</v>
      </c>
      <c r="D181" s="19" t="str">
        <f>VLOOKUP(A181,[1]HS_Category_Map!$A$2:$B$10,2,FALSE)</f>
        <v>Kitchen Fittings</v>
      </c>
      <c r="E181" s="19" t="str">
        <f>VLOOKUP(D181,[1]Category_Function_Map!$A$2:$C$7,2,FALSE)</f>
        <v>Kitchen &amp; Mechanical Solutions</v>
      </c>
    </row>
    <row r="182" spans="1:5" x14ac:dyDescent="0.3">
      <c r="A182" s="18">
        <v>84</v>
      </c>
      <c r="B182" s="1">
        <v>8431</v>
      </c>
      <c r="C182" s="59" t="s">
        <v>184</v>
      </c>
      <c r="D182" s="19" t="str">
        <f>VLOOKUP(A182,[1]HS_Category_Map!$A$2:$B$10,2,FALSE)</f>
        <v>Kitchen Fittings</v>
      </c>
      <c r="E182" s="19" t="str">
        <f>VLOOKUP(D182,[1]Category_Function_Map!$A$2:$C$7,2,FALSE)</f>
        <v>Kitchen &amp; Mechanical Solutions</v>
      </c>
    </row>
    <row r="183" spans="1:5" x14ac:dyDescent="0.3">
      <c r="A183" s="18">
        <v>84</v>
      </c>
      <c r="B183" s="1">
        <v>8413</v>
      </c>
      <c r="C183" s="59" t="s">
        <v>185</v>
      </c>
      <c r="D183" s="19" t="str">
        <f>VLOOKUP(A183,[1]HS_Category_Map!$A$2:$B$10,2,FALSE)</f>
        <v>Kitchen Fittings</v>
      </c>
      <c r="E183" s="19" t="str">
        <f>VLOOKUP(D183,[1]Category_Function_Map!$A$2:$C$7,2,FALSE)</f>
        <v>Kitchen &amp; Mechanical Solutions</v>
      </c>
    </row>
    <row r="184" spans="1:5" x14ac:dyDescent="0.3">
      <c r="A184" s="18">
        <v>84</v>
      </c>
      <c r="B184" s="1">
        <v>8462</v>
      </c>
      <c r="C184" s="59" t="s">
        <v>186</v>
      </c>
      <c r="D184" s="19" t="str">
        <f>VLOOKUP(A184,[1]HS_Category_Map!$A$2:$B$10,2,FALSE)</f>
        <v>Kitchen Fittings</v>
      </c>
      <c r="E184" s="19" t="str">
        <f>VLOOKUP(D184,[1]Category_Function_Map!$A$2:$C$7,2,FALSE)</f>
        <v>Kitchen &amp; Mechanical Solutions</v>
      </c>
    </row>
    <row r="185" spans="1:5" x14ac:dyDescent="0.3">
      <c r="A185" s="18">
        <v>84</v>
      </c>
      <c r="B185" s="1">
        <v>8446</v>
      </c>
      <c r="C185" s="59" t="s">
        <v>187</v>
      </c>
      <c r="D185" s="19" t="str">
        <f>VLOOKUP(A185,[1]HS_Category_Map!$A$2:$B$10,2,FALSE)</f>
        <v>Kitchen Fittings</v>
      </c>
      <c r="E185" s="19" t="str">
        <f>VLOOKUP(D185,[1]Category_Function_Map!$A$2:$C$7,2,FALSE)</f>
        <v>Kitchen &amp; Mechanical Solutions</v>
      </c>
    </row>
    <row r="186" spans="1:5" x14ac:dyDescent="0.3">
      <c r="A186" s="18">
        <v>84</v>
      </c>
      <c r="B186" s="1">
        <v>8421</v>
      </c>
      <c r="C186" s="59" t="s">
        <v>188</v>
      </c>
      <c r="D186" s="19" t="str">
        <f>VLOOKUP(A186,[1]HS_Category_Map!$A$2:$B$10,2,FALSE)</f>
        <v>Kitchen Fittings</v>
      </c>
      <c r="E186" s="19" t="str">
        <f>VLOOKUP(D186,[1]Category_Function_Map!$A$2:$C$7,2,FALSE)</f>
        <v>Kitchen &amp; Mechanical Solutions</v>
      </c>
    </row>
    <row r="187" spans="1:5" x14ac:dyDescent="0.3">
      <c r="A187" s="18">
        <v>84</v>
      </c>
      <c r="B187" s="1">
        <v>8466</v>
      </c>
      <c r="C187" s="59" t="s">
        <v>189</v>
      </c>
      <c r="D187" s="19" t="str">
        <f>VLOOKUP(A187,[1]HS_Category_Map!$A$2:$B$10,2,FALSE)</f>
        <v>Kitchen Fittings</v>
      </c>
      <c r="E187" s="19" t="str">
        <f>VLOOKUP(D187,[1]Category_Function_Map!$A$2:$C$7,2,FALSE)</f>
        <v>Kitchen &amp; Mechanical Solutions</v>
      </c>
    </row>
    <row r="188" spans="1:5" x14ac:dyDescent="0.3">
      <c r="A188" s="18">
        <v>84</v>
      </c>
      <c r="B188" s="1">
        <v>8483</v>
      </c>
      <c r="C188" s="59" t="s">
        <v>190</v>
      </c>
      <c r="D188" s="19" t="str">
        <f>VLOOKUP(A188,[1]HS_Category_Map!$A$2:$B$10,2,FALSE)</f>
        <v>Kitchen Fittings</v>
      </c>
      <c r="E188" s="19" t="str">
        <f>VLOOKUP(D188,[1]Category_Function_Map!$A$2:$C$7,2,FALSE)</f>
        <v>Kitchen &amp; Mechanical Solutions</v>
      </c>
    </row>
    <row r="189" spans="1:5" x14ac:dyDescent="0.3">
      <c r="A189" s="18">
        <v>84</v>
      </c>
      <c r="B189" s="1">
        <v>8408</v>
      </c>
      <c r="C189" s="59" t="s">
        <v>191</v>
      </c>
      <c r="D189" s="19" t="str">
        <f>VLOOKUP(A189,[1]HS_Category_Map!$A$2:$B$10,2,FALSE)</f>
        <v>Kitchen Fittings</v>
      </c>
      <c r="E189" s="19" t="str">
        <f>VLOOKUP(D189,[1]Category_Function_Map!$A$2:$C$7,2,FALSE)</f>
        <v>Kitchen &amp; Mechanical Solutions</v>
      </c>
    </row>
    <row r="190" spans="1:5" x14ac:dyDescent="0.3">
      <c r="A190" s="18">
        <v>84</v>
      </c>
      <c r="B190" s="1">
        <v>8429</v>
      </c>
      <c r="C190" s="59" t="s">
        <v>192</v>
      </c>
      <c r="D190" s="19" t="str">
        <f>VLOOKUP(A190,[1]HS_Category_Map!$A$2:$B$10,2,FALSE)</f>
        <v>Kitchen Fittings</v>
      </c>
      <c r="E190" s="19" t="str">
        <f>VLOOKUP(D190,[1]Category_Function_Map!$A$2:$C$7,2,FALSE)</f>
        <v>Kitchen &amp; Mechanical Solutions</v>
      </c>
    </row>
    <row r="191" spans="1:5" x14ac:dyDescent="0.3">
      <c r="A191" s="18">
        <v>84</v>
      </c>
      <c r="B191" s="1">
        <v>8460</v>
      </c>
      <c r="C191" s="59" t="s">
        <v>193</v>
      </c>
      <c r="D191" s="19" t="str">
        <f>VLOOKUP(A191,[1]HS_Category_Map!$A$2:$B$10,2,FALSE)</f>
        <v>Kitchen Fittings</v>
      </c>
      <c r="E191" s="19" t="str">
        <f>VLOOKUP(D191,[1]Category_Function_Map!$A$2:$C$7,2,FALSE)</f>
        <v>Kitchen &amp; Mechanical Solutions</v>
      </c>
    </row>
    <row r="192" spans="1:5" x14ac:dyDescent="0.3">
      <c r="A192" s="18">
        <v>84</v>
      </c>
      <c r="B192" s="1">
        <v>8458</v>
      </c>
      <c r="C192" s="59" t="s">
        <v>194</v>
      </c>
      <c r="D192" s="19" t="str">
        <f>VLOOKUP(A192,[1]HS_Category_Map!$A$2:$B$10,2,FALSE)</f>
        <v>Kitchen Fittings</v>
      </c>
      <c r="E192" s="19" t="str">
        <f>VLOOKUP(D192,[1]Category_Function_Map!$A$2:$C$7,2,FALSE)</f>
        <v>Kitchen &amp; Mechanical Solutions</v>
      </c>
    </row>
    <row r="193" spans="1:5" x14ac:dyDescent="0.3">
      <c r="A193" s="18">
        <v>84</v>
      </c>
      <c r="B193" s="1">
        <v>8445</v>
      </c>
      <c r="C193" s="59" t="s">
        <v>195</v>
      </c>
      <c r="D193" s="19" t="str">
        <f>VLOOKUP(A193,[1]HS_Category_Map!$A$2:$B$10,2,FALSE)</f>
        <v>Kitchen Fittings</v>
      </c>
      <c r="E193" s="19" t="str">
        <f>VLOOKUP(D193,[1]Category_Function_Map!$A$2:$C$7,2,FALSE)</f>
        <v>Kitchen &amp; Mechanical Solutions</v>
      </c>
    </row>
    <row r="194" spans="1:5" x14ac:dyDescent="0.3">
      <c r="A194" s="18">
        <v>84</v>
      </c>
      <c r="B194" s="1">
        <v>8412</v>
      </c>
      <c r="C194" s="59" t="s">
        <v>196</v>
      </c>
      <c r="D194" s="19" t="str">
        <f>VLOOKUP(A194,[1]HS_Category_Map!$A$2:$B$10,2,FALSE)</f>
        <v>Kitchen Fittings</v>
      </c>
      <c r="E194" s="19" t="str">
        <f>VLOOKUP(D194,[1]Category_Function_Map!$A$2:$C$7,2,FALSE)</f>
        <v>Kitchen &amp; Mechanical Solutions</v>
      </c>
    </row>
    <row r="195" spans="1:5" x14ac:dyDescent="0.3">
      <c r="A195" s="18">
        <v>84</v>
      </c>
      <c r="B195" s="1">
        <v>8455</v>
      </c>
      <c r="C195" s="59" t="s">
        <v>197</v>
      </c>
      <c r="D195" s="19" t="str">
        <f>VLOOKUP(A195,[1]HS_Category_Map!$A$2:$B$10,2,FALSE)</f>
        <v>Kitchen Fittings</v>
      </c>
      <c r="E195" s="19" t="str">
        <f>VLOOKUP(D195,[1]Category_Function_Map!$A$2:$C$7,2,FALSE)</f>
        <v>Kitchen &amp; Mechanical Solutions</v>
      </c>
    </row>
    <row r="196" spans="1:5" x14ac:dyDescent="0.3">
      <c r="A196" s="18">
        <v>84</v>
      </c>
      <c r="B196" s="1">
        <v>8428</v>
      </c>
      <c r="C196" s="59" t="s">
        <v>198</v>
      </c>
      <c r="D196" s="19" t="str">
        <f>VLOOKUP(A196,[1]HS_Category_Map!$A$2:$B$10,2,FALSE)</f>
        <v>Kitchen Fittings</v>
      </c>
      <c r="E196" s="19" t="str">
        <f>VLOOKUP(D196,[1]Category_Function_Map!$A$2:$C$7,2,FALSE)</f>
        <v>Kitchen &amp; Mechanical Solutions</v>
      </c>
    </row>
    <row r="197" spans="1:5" x14ac:dyDescent="0.3">
      <c r="A197" s="18">
        <v>84</v>
      </c>
      <c r="B197" s="1">
        <v>8415</v>
      </c>
      <c r="C197" s="59" t="s">
        <v>199</v>
      </c>
      <c r="D197" s="19" t="str">
        <f>VLOOKUP(A197,[1]HS_Category_Map!$A$2:$B$10,2,FALSE)</f>
        <v>Kitchen Fittings</v>
      </c>
      <c r="E197" s="19" t="str">
        <f>VLOOKUP(D197,[1]Category_Function_Map!$A$2:$C$7,2,FALSE)</f>
        <v>Kitchen &amp; Mechanical Solutions</v>
      </c>
    </row>
    <row r="198" spans="1:5" x14ac:dyDescent="0.3">
      <c r="A198" s="18">
        <v>84</v>
      </c>
      <c r="B198" s="1">
        <v>8433</v>
      </c>
      <c r="C198" s="59" t="s">
        <v>200</v>
      </c>
      <c r="D198" s="19" t="str">
        <f>VLOOKUP(A198,[1]HS_Category_Map!$A$2:$B$10,2,FALSE)</f>
        <v>Kitchen Fittings</v>
      </c>
      <c r="E198" s="19" t="str">
        <f>VLOOKUP(D198,[1]Category_Function_Map!$A$2:$C$7,2,FALSE)</f>
        <v>Kitchen &amp; Mechanical Solutions</v>
      </c>
    </row>
    <row r="199" spans="1:5" x14ac:dyDescent="0.3">
      <c r="A199" s="18">
        <v>84</v>
      </c>
      <c r="B199" s="1">
        <v>8454</v>
      </c>
      <c r="C199" s="59" t="s">
        <v>201</v>
      </c>
      <c r="D199" s="19" t="str">
        <f>VLOOKUP(A199,[1]HS_Category_Map!$A$2:$B$10,2,FALSE)</f>
        <v>Kitchen Fittings</v>
      </c>
      <c r="E199" s="19" t="str">
        <f>VLOOKUP(D199,[1]Category_Function_Map!$A$2:$C$7,2,FALSE)</f>
        <v>Kitchen &amp; Mechanical Solutions</v>
      </c>
    </row>
    <row r="200" spans="1:5" x14ac:dyDescent="0.3">
      <c r="A200" s="18">
        <v>84</v>
      </c>
      <c r="B200" s="1">
        <v>8473</v>
      </c>
      <c r="C200" s="59" t="s">
        <v>202</v>
      </c>
      <c r="D200" s="19" t="str">
        <f>VLOOKUP(A200,[1]HS_Category_Map!$A$2:$B$10,2,FALSE)</f>
        <v>Kitchen Fittings</v>
      </c>
      <c r="E200" s="19" t="str">
        <f>VLOOKUP(D200,[1]Category_Function_Map!$A$2:$C$7,2,FALSE)</f>
        <v>Kitchen &amp; Mechanical Solutions</v>
      </c>
    </row>
    <row r="201" spans="1:5" x14ac:dyDescent="0.3">
      <c r="A201" s="18">
        <v>84</v>
      </c>
      <c r="B201" s="1">
        <v>8422</v>
      </c>
      <c r="C201" s="59" t="s">
        <v>203</v>
      </c>
      <c r="D201" s="19" t="str">
        <f>VLOOKUP(A201,[1]HS_Category_Map!$A$2:$B$10,2,FALSE)</f>
        <v>Kitchen Fittings</v>
      </c>
      <c r="E201" s="19" t="str">
        <f>VLOOKUP(D201,[1]Category_Function_Map!$A$2:$C$7,2,FALSE)</f>
        <v>Kitchen &amp; Mechanical Solutions</v>
      </c>
    </row>
    <row r="202" spans="1:5" x14ac:dyDescent="0.3">
      <c r="A202" s="18">
        <v>84</v>
      </c>
      <c r="B202" s="1">
        <v>8424</v>
      </c>
      <c r="C202" s="59" t="s">
        <v>204</v>
      </c>
      <c r="D202" s="19" t="str">
        <f>VLOOKUP(A202,[1]HS_Category_Map!$A$2:$B$10,2,FALSE)</f>
        <v>Kitchen Fittings</v>
      </c>
      <c r="E202" s="19" t="str">
        <f>VLOOKUP(D202,[1]Category_Function_Map!$A$2:$C$7,2,FALSE)</f>
        <v>Kitchen &amp; Mechanical Solutions</v>
      </c>
    </row>
    <row r="203" spans="1:5" x14ac:dyDescent="0.3">
      <c r="A203" s="18">
        <v>84</v>
      </c>
      <c r="B203" s="1">
        <v>8461</v>
      </c>
      <c r="C203" s="59" t="s">
        <v>205</v>
      </c>
      <c r="D203" s="19" t="str">
        <f>VLOOKUP(A203,[1]HS_Category_Map!$A$2:$B$10,2,FALSE)</f>
        <v>Kitchen Fittings</v>
      </c>
      <c r="E203" s="19" t="str">
        <f>VLOOKUP(D203,[1]Category_Function_Map!$A$2:$C$7,2,FALSE)</f>
        <v>Kitchen &amp; Mechanical Solutions</v>
      </c>
    </row>
    <row r="204" spans="1:5" x14ac:dyDescent="0.3">
      <c r="A204" s="18">
        <v>84</v>
      </c>
      <c r="B204" s="1">
        <v>8419</v>
      </c>
      <c r="C204" s="59" t="s">
        <v>206</v>
      </c>
      <c r="D204" s="19" t="str">
        <f>VLOOKUP(A204,[1]HS_Category_Map!$A$2:$B$10,2,FALSE)</f>
        <v>Kitchen Fittings</v>
      </c>
      <c r="E204" s="19" t="str">
        <f>VLOOKUP(D204,[1]Category_Function_Map!$A$2:$C$7,2,FALSE)</f>
        <v>Kitchen &amp; Mechanical Solutions</v>
      </c>
    </row>
    <row r="205" spans="1:5" x14ac:dyDescent="0.3">
      <c r="A205" s="18">
        <v>84</v>
      </c>
      <c r="B205" s="1">
        <v>8456</v>
      </c>
      <c r="C205" s="59" t="s">
        <v>207</v>
      </c>
      <c r="D205" s="19" t="str">
        <f>VLOOKUP(A205,[1]HS_Category_Map!$A$2:$B$10,2,FALSE)</f>
        <v>Kitchen Fittings</v>
      </c>
      <c r="E205" s="19" t="str">
        <f>VLOOKUP(D205,[1]Category_Function_Map!$A$2:$C$7,2,FALSE)</f>
        <v>Kitchen &amp; Mechanical Solutions</v>
      </c>
    </row>
    <row r="206" spans="1:5" x14ac:dyDescent="0.3">
      <c r="A206" s="18">
        <v>84</v>
      </c>
      <c r="B206" s="1">
        <v>8471</v>
      </c>
      <c r="C206" s="59" t="s">
        <v>208</v>
      </c>
      <c r="D206" s="19" t="str">
        <f>VLOOKUP(A206,[1]HS_Category_Map!$A$2:$B$10,2,FALSE)</f>
        <v>Kitchen Fittings</v>
      </c>
      <c r="E206" s="19" t="str">
        <f>VLOOKUP(D206,[1]Category_Function_Map!$A$2:$C$7,2,FALSE)</f>
        <v>Kitchen &amp; Mechanical Solutions</v>
      </c>
    </row>
    <row r="207" spans="1:5" x14ac:dyDescent="0.3">
      <c r="A207" s="18">
        <v>84</v>
      </c>
      <c r="B207" s="1">
        <v>8447</v>
      </c>
      <c r="C207" s="59" t="s">
        <v>209</v>
      </c>
      <c r="D207" s="19" t="str">
        <f>VLOOKUP(A207,[1]HS_Category_Map!$A$2:$B$10,2,FALSE)</f>
        <v>Kitchen Fittings</v>
      </c>
      <c r="E207" s="19" t="str">
        <f>VLOOKUP(D207,[1]Category_Function_Map!$A$2:$C$7,2,FALSE)</f>
        <v>Kitchen &amp; Mechanical Solutions</v>
      </c>
    </row>
    <row r="208" spans="1:5" x14ac:dyDescent="0.3">
      <c r="A208" s="18">
        <v>84</v>
      </c>
      <c r="B208" s="1">
        <v>8406</v>
      </c>
      <c r="C208" s="59" t="s">
        <v>210</v>
      </c>
      <c r="D208" s="19" t="str">
        <f>VLOOKUP(A208,[1]HS_Category_Map!$A$2:$B$10,2,FALSE)</f>
        <v>Kitchen Fittings</v>
      </c>
      <c r="E208" s="19" t="str">
        <f>VLOOKUP(D208,[1]Category_Function_Map!$A$2:$C$7,2,FALSE)</f>
        <v>Kitchen &amp; Mechanical Solutions</v>
      </c>
    </row>
    <row r="209" spans="1:5" x14ac:dyDescent="0.3">
      <c r="A209" s="18">
        <v>84</v>
      </c>
      <c r="B209" s="1">
        <v>8448</v>
      </c>
      <c r="C209" s="59" t="s">
        <v>211</v>
      </c>
      <c r="D209" s="19" t="str">
        <f>VLOOKUP(A209,[1]HS_Category_Map!$A$2:$B$10,2,FALSE)</f>
        <v>Kitchen Fittings</v>
      </c>
      <c r="E209" s="19" t="str">
        <f>VLOOKUP(D209,[1]Category_Function_Map!$A$2:$C$7,2,FALSE)</f>
        <v>Kitchen &amp; Mechanical Solutions</v>
      </c>
    </row>
    <row r="210" spans="1:5" x14ac:dyDescent="0.3">
      <c r="A210" s="18">
        <v>84</v>
      </c>
      <c r="B210" s="1">
        <v>8459</v>
      </c>
      <c r="C210" s="59" t="s">
        <v>212</v>
      </c>
      <c r="D210" s="19" t="str">
        <f>VLOOKUP(A210,[1]HS_Category_Map!$A$2:$B$10,2,FALSE)</f>
        <v>Kitchen Fittings</v>
      </c>
      <c r="E210" s="19" t="str">
        <f>VLOOKUP(D210,[1]Category_Function_Map!$A$2:$C$7,2,FALSE)</f>
        <v>Kitchen &amp; Mechanical Solutions</v>
      </c>
    </row>
    <row r="211" spans="1:5" x14ac:dyDescent="0.3">
      <c r="A211" s="18">
        <v>84</v>
      </c>
      <c r="B211" s="1">
        <v>8427</v>
      </c>
      <c r="C211" s="59" t="s">
        <v>213</v>
      </c>
      <c r="D211" s="19" t="str">
        <f>VLOOKUP(A211,[1]HS_Category_Map!$A$2:$B$10,2,FALSE)</f>
        <v>Kitchen Fittings</v>
      </c>
      <c r="E211" s="19" t="str">
        <f>VLOOKUP(D211,[1]Category_Function_Map!$A$2:$C$7,2,FALSE)</f>
        <v>Kitchen &amp; Mechanical Solutions</v>
      </c>
    </row>
    <row r="212" spans="1:5" x14ac:dyDescent="0.3">
      <c r="A212" s="18">
        <v>84</v>
      </c>
      <c r="B212" s="1">
        <v>8423</v>
      </c>
      <c r="C212" s="59" t="s">
        <v>214</v>
      </c>
      <c r="D212" s="19" t="str">
        <f>VLOOKUP(A212,[1]HS_Category_Map!$A$2:$B$10,2,FALSE)</f>
        <v>Kitchen Fittings</v>
      </c>
      <c r="E212" s="19" t="str">
        <f>VLOOKUP(D212,[1]Category_Function_Map!$A$2:$C$7,2,FALSE)</f>
        <v>Kitchen &amp; Mechanical Solutions</v>
      </c>
    </row>
    <row r="213" spans="1:5" x14ac:dyDescent="0.3">
      <c r="A213" s="18">
        <v>84</v>
      </c>
      <c r="B213" s="1">
        <v>8417</v>
      </c>
      <c r="C213" s="59" t="s">
        <v>215</v>
      </c>
      <c r="D213" s="19" t="str">
        <f>VLOOKUP(A213,[1]HS_Category_Map!$A$2:$B$10,2,FALSE)</f>
        <v>Kitchen Fittings</v>
      </c>
      <c r="E213" s="19" t="str">
        <f>VLOOKUP(D213,[1]Category_Function_Map!$A$2:$C$7,2,FALSE)</f>
        <v>Kitchen &amp; Mechanical Solutions</v>
      </c>
    </row>
    <row r="214" spans="1:5" x14ac:dyDescent="0.3">
      <c r="A214" s="18">
        <v>84</v>
      </c>
      <c r="B214" s="1">
        <v>8486</v>
      </c>
      <c r="C214" s="59" t="s">
        <v>216</v>
      </c>
      <c r="D214" s="19" t="str">
        <f>VLOOKUP(A214,[1]HS_Category_Map!$A$2:$B$10,2,FALSE)</f>
        <v>Kitchen Fittings</v>
      </c>
      <c r="E214" s="19" t="str">
        <f>VLOOKUP(D214,[1]Category_Function_Map!$A$2:$C$7,2,FALSE)</f>
        <v>Kitchen &amp; Mechanical Solutions</v>
      </c>
    </row>
    <row r="215" spans="1:5" x14ac:dyDescent="0.3">
      <c r="A215" s="18">
        <v>84</v>
      </c>
      <c r="B215" s="1">
        <v>8480</v>
      </c>
      <c r="C215" s="59" t="s">
        <v>217</v>
      </c>
      <c r="D215" s="19" t="str">
        <f>VLOOKUP(A215,[1]HS_Category_Map!$A$2:$B$10,2,FALSE)</f>
        <v>Kitchen Fittings</v>
      </c>
      <c r="E215" s="19" t="str">
        <f>VLOOKUP(D215,[1]Category_Function_Map!$A$2:$C$7,2,FALSE)</f>
        <v>Kitchen &amp; Mechanical Solutions</v>
      </c>
    </row>
    <row r="216" spans="1:5" x14ac:dyDescent="0.3">
      <c r="A216" s="18">
        <v>84</v>
      </c>
      <c r="B216" s="1">
        <v>8407</v>
      </c>
      <c r="C216" s="59" t="s">
        <v>218</v>
      </c>
      <c r="D216" s="19" t="str">
        <f>VLOOKUP(A216,[1]HS_Category_Map!$A$2:$B$10,2,FALSE)</f>
        <v>Kitchen Fittings</v>
      </c>
      <c r="E216" s="19" t="str">
        <f>VLOOKUP(D216,[1]Category_Function_Map!$A$2:$C$7,2,FALSE)</f>
        <v>Kitchen &amp; Mechanical Solutions</v>
      </c>
    </row>
    <row r="217" spans="1:5" x14ac:dyDescent="0.3">
      <c r="A217" s="18">
        <v>84</v>
      </c>
      <c r="B217" s="1">
        <v>8484</v>
      </c>
      <c r="C217" s="59" t="s">
        <v>219</v>
      </c>
      <c r="D217" s="19" t="str">
        <f>VLOOKUP(A217,[1]HS_Category_Map!$A$2:$B$10,2,FALSE)</f>
        <v>Kitchen Fittings</v>
      </c>
      <c r="E217" s="19" t="str">
        <f>VLOOKUP(D217,[1]Category_Function_Map!$A$2:$C$7,2,FALSE)</f>
        <v>Kitchen &amp; Mechanical Solutions</v>
      </c>
    </row>
    <row r="218" spans="1:5" x14ac:dyDescent="0.3">
      <c r="A218" s="18">
        <v>84</v>
      </c>
      <c r="B218" s="1">
        <v>8467</v>
      </c>
      <c r="C218" s="59" t="s">
        <v>220</v>
      </c>
      <c r="D218" s="19" t="str">
        <f>VLOOKUP(A218,[1]HS_Category_Map!$A$2:$B$10,2,FALSE)</f>
        <v>Kitchen Fittings</v>
      </c>
      <c r="E218" s="19" t="str">
        <f>VLOOKUP(D218,[1]Category_Function_Map!$A$2:$C$7,2,FALSE)</f>
        <v>Kitchen &amp; Mechanical Solutions</v>
      </c>
    </row>
    <row r="219" spans="1:5" x14ac:dyDescent="0.3">
      <c r="A219" s="18">
        <v>84</v>
      </c>
      <c r="B219" s="1">
        <v>8441</v>
      </c>
      <c r="C219" s="59" t="s">
        <v>221</v>
      </c>
      <c r="D219" s="19" t="str">
        <f>VLOOKUP(A219,[1]HS_Category_Map!$A$2:$B$10,2,FALSE)</f>
        <v>Kitchen Fittings</v>
      </c>
      <c r="E219" s="19" t="str">
        <f>VLOOKUP(D219,[1]Category_Function_Map!$A$2:$C$7,2,FALSE)</f>
        <v>Kitchen &amp; Mechanical Solutions</v>
      </c>
    </row>
    <row r="220" spans="1:5" x14ac:dyDescent="0.3">
      <c r="A220" s="18">
        <v>84</v>
      </c>
      <c r="B220" s="1">
        <v>8426</v>
      </c>
      <c r="C220" s="59" t="s">
        <v>222</v>
      </c>
      <c r="D220" s="19" t="str">
        <f>VLOOKUP(A220,[1]HS_Category_Map!$A$2:$B$10,2,FALSE)</f>
        <v>Kitchen Fittings</v>
      </c>
      <c r="E220" s="19" t="str">
        <f>VLOOKUP(D220,[1]Category_Function_Map!$A$2:$C$7,2,FALSE)</f>
        <v>Kitchen &amp; Mechanical Solutions</v>
      </c>
    </row>
    <row r="221" spans="1:5" x14ac:dyDescent="0.3">
      <c r="A221" s="18">
        <v>84</v>
      </c>
      <c r="B221" s="1">
        <v>8452</v>
      </c>
      <c r="C221" s="59" t="s">
        <v>223</v>
      </c>
      <c r="D221" s="19" t="str">
        <f>VLOOKUP(A221,[1]HS_Category_Map!$A$2:$B$10,2,FALSE)</f>
        <v>Kitchen Fittings</v>
      </c>
      <c r="E221" s="19" t="str">
        <f>VLOOKUP(D221,[1]Category_Function_Map!$A$2:$C$7,2,FALSE)</f>
        <v>Kitchen &amp; Mechanical Solutions</v>
      </c>
    </row>
    <row r="222" spans="1:5" x14ac:dyDescent="0.3">
      <c r="A222" s="18">
        <v>84</v>
      </c>
      <c r="B222" s="1">
        <v>8474</v>
      </c>
      <c r="C222" s="59" t="s">
        <v>224</v>
      </c>
      <c r="D222" s="19" t="str">
        <f>VLOOKUP(A222,[1]HS_Category_Map!$A$2:$B$10,2,FALSE)</f>
        <v>Kitchen Fittings</v>
      </c>
      <c r="E222" s="19" t="str">
        <f>VLOOKUP(D222,[1]Category_Function_Map!$A$2:$C$7,2,FALSE)</f>
        <v>Kitchen &amp; Mechanical Solutions</v>
      </c>
    </row>
    <row r="223" spans="1:5" x14ac:dyDescent="0.3">
      <c r="A223" s="18">
        <v>84</v>
      </c>
      <c r="B223" s="1">
        <v>8487</v>
      </c>
      <c r="C223" s="59" t="s">
        <v>225</v>
      </c>
      <c r="D223" s="19" t="str">
        <f>VLOOKUP(A223,[1]HS_Category_Map!$A$2:$B$10,2,FALSE)</f>
        <v>Kitchen Fittings</v>
      </c>
      <c r="E223" s="19" t="str">
        <f>VLOOKUP(D223,[1]Category_Function_Map!$A$2:$C$7,2,FALSE)</f>
        <v>Kitchen &amp; Mechanical Solutions</v>
      </c>
    </row>
    <row r="224" spans="1:5" x14ac:dyDescent="0.3">
      <c r="A224" s="18">
        <v>84</v>
      </c>
      <c r="B224" s="1">
        <v>8438</v>
      </c>
      <c r="C224" s="59" t="s">
        <v>226</v>
      </c>
      <c r="D224" s="19" t="str">
        <f>VLOOKUP(A224,[1]HS_Category_Map!$A$2:$B$10,2,FALSE)</f>
        <v>Kitchen Fittings</v>
      </c>
      <c r="E224" s="19" t="str">
        <f>VLOOKUP(D224,[1]Category_Function_Map!$A$2:$C$7,2,FALSE)</f>
        <v>Kitchen &amp; Mechanical Solutions</v>
      </c>
    </row>
    <row r="225" spans="1:5" x14ac:dyDescent="0.3">
      <c r="A225" s="18">
        <v>84</v>
      </c>
      <c r="B225" s="1">
        <v>8425</v>
      </c>
      <c r="C225" s="59" t="s">
        <v>227</v>
      </c>
      <c r="D225" s="19" t="str">
        <f>VLOOKUP(A225,[1]HS_Category_Map!$A$2:$B$10,2,FALSE)</f>
        <v>Kitchen Fittings</v>
      </c>
      <c r="E225" s="19" t="str">
        <f>VLOOKUP(D225,[1]Category_Function_Map!$A$2:$C$7,2,FALSE)</f>
        <v>Kitchen &amp; Mechanical Solutions</v>
      </c>
    </row>
    <row r="226" spans="1:5" x14ac:dyDescent="0.3">
      <c r="A226" s="18">
        <v>84</v>
      </c>
      <c r="B226" s="1">
        <v>8464</v>
      </c>
      <c r="C226" s="59" t="s">
        <v>228</v>
      </c>
      <c r="D226" s="19" t="str">
        <f>VLOOKUP(A226,[1]HS_Category_Map!$A$2:$B$10,2,FALSE)</f>
        <v>Kitchen Fittings</v>
      </c>
      <c r="E226" s="19" t="str">
        <f>VLOOKUP(D226,[1]Category_Function_Map!$A$2:$C$7,2,FALSE)</f>
        <v>Kitchen &amp; Mechanical Solutions</v>
      </c>
    </row>
    <row r="227" spans="1:5" x14ac:dyDescent="0.3">
      <c r="A227" s="18">
        <v>84</v>
      </c>
      <c r="B227" s="1">
        <v>8463</v>
      </c>
      <c r="C227" s="59" t="s">
        <v>229</v>
      </c>
      <c r="D227" s="19" t="str">
        <f>VLOOKUP(A227,[1]HS_Category_Map!$A$2:$B$10,2,FALSE)</f>
        <v>Kitchen Fittings</v>
      </c>
      <c r="E227" s="19" t="str">
        <f>VLOOKUP(D227,[1]Category_Function_Map!$A$2:$C$7,2,FALSE)</f>
        <v>Kitchen &amp; Mechanical Solutions</v>
      </c>
    </row>
    <row r="228" spans="1:5" x14ac:dyDescent="0.3">
      <c r="A228" s="18">
        <v>84</v>
      </c>
      <c r="B228" s="1">
        <v>8444</v>
      </c>
      <c r="C228" s="59" t="s">
        <v>230</v>
      </c>
      <c r="D228" s="19" t="str">
        <f>VLOOKUP(A228,[1]HS_Category_Map!$A$2:$B$10,2,FALSE)</f>
        <v>Kitchen Fittings</v>
      </c>
      <c r="E228" s="19" t="str">
        <f>VLOOKUP(D228,[1]Category_Function_Map!$A$2:$C$7,2,FALSE)</f>
        <v>Kitchen &amp; Mechanical Solutions</v>
      </c>
    </row>
    <row r="229" spans="1:5" x14ac:dyDescent="0.3">
      <c r="A229" s="18">
        <v>84</v>
      </c>
      <c r="B229" s="1">
        <v>8416</v>
      </c>
      <c r="C229" s="59" t="s">
        <v>231</v>
      </c>
      <c r="D229" s="19" t="str">
        <f>VLOOKUP(A229,[1]HS_Category_Map!$A$2:$B$10,2,FALSE)</f>
        <v>Kitchen Fittings</v>
      </c>
      <c r="E229" s="19" t="str">
        <f>VLOOKUP(D229,[1]Category_Function_Map!$A$2:$C$7,2,FALSE)</f>
        <v>Kitchen &amp; Mechanical Solutions</v>
      </c>
    </row>
    <row r="230" spans="1:5" x14ac:dyDescent="0.3">
      <c r="A230" s="18">
        <v>84</v>
      </c>
      <c r="B230" s="1">
        <v>8418</v>
      </c>
      <c r="C230" s="59" t="s">
        <v>232</v>
      </c>
      <c r="D230" s="19" t="str">
        <f>VLOOKUP(A230,[1]HS_Category_Map!$A$2:$B$10,2,FALSE)</f>
        <v>Kitchen Fittings</v>
      </c>
      <c r="E230" s="19" t="str">
        <f>VLOOKUP(D230,[1]Category_Function_Map!$A$2:$C$7,2,FALSE)</f>
        <v>Kitchen &amp; Mechanical Solutions</v>
      </c>
    </row>
    <row r="231" spans="1:5" x14ac:dyDescent="0.3">
      <c r="A231" s="18">
        <v>84</v>
      </c>
      <c r="B231" s="1">
        <v>8468</v>
      </c>
      <c r="C231" s="59" t="s">
        <v>233</v>
      </c>
      <c r="D231" s="19" t="str">
        <f>VLOOKUP(A231,[1]HS_Category_Map!$A$2:$B$10,2,FALSE)</f>
        <v>Kitchen Fittings</v>
      </c>
      <c r="E231" s="19" t="str">
        <f>VLOOKUP(D231,[1]Category_Function_Map!$A$2:$C$7,2,FALSE)</f>
        <v>Kitchen &amp; Mechanical Solutions</v>
      </c>
    </row>
    <row r="232" spans="1:5" x14ac:dyDescent="0.3">
      <c r="A232" s="18">
        <v>84</v>
      </c>
      <c r="B232" s="1">
        <v>8451</v>
      </c>
      <c r="C232" s="59" t="s">
        <v>234</v>
      </c>
      <c r="D232" s="19" t="str">
        <f>VLOOKUP(A232,[1]HS_Category_Map!$A$2:$B$10,2,FALSE)</f>
        <v>Kitchen Fittings</v>
      </c>
      <c r="E232" s="19" t="str">
        <f>VLOOKUP(D232,[1]Category_Function_Map!$A$2:$C$7,2,FALSE)</f>
        <v>Kitchen &amp; Mechanical Solutions</v>
      </c>
    </row>
    <row r="233" spans="1:5" x14ac:dyDescent="0.3">
      <c r="A233" s="18">
        <v>84</v>
      </c>
      <c r="B233" s="1">
        <v>8430</v>
      </c>
      <c r="C233" s="59" t="s">
        <v>235</v>
      </c>
      <c r="D233" s="19" t="str">
        <f>VLOOKUP(A233,[1]HS_Category_Map!$A$2:$B$10,2,FALSE)</f>
        <v>Kitchen Fittings</v>
      </c>
      <c r="E233" s="19" t="str">
        <f>VLOOKUP(D233,[1]Category_Function_Map!$A$2:$C$7,2,FALSE)</f>
        <v>Kitchen &amp; Mechanical Solutions</v>
      </c>
    </row>
    <row r="234" spans="1:5" x14ac:dyDescent="0.3">
      <c r="A234" s="18">
        <v>84</v>
      </c>
      <c r="B234" s="1">
        <v>8476</v>
      </c>
      <c r="C234" s="59" t="s">
        <v>236</v>
      </c>
      <c r="D234" s="19" t="str">
        <f>VLOOKUP(A234,[1]HS_Category_Map!$A$2:$B$10,2,FALSE)</f>
        <v>Kitchen Fittings</v>
      </c>
      <c r="E234" s="19" t="str">
        <f>VLOOKUP(D234,[1]Category_Function_Map!$A$2:$C$7,2,FALSE)</f>
        <v>Kitchen &amp; Mechanical Solutions</v>
      </c>
    </row>
    <row r="235" spans="1:5" x14ac:dyDescent="0.3">
      <c r="A235" s="18">
        <v>84</v>
      </c>
      <c r="B235" s="1">
        <v>8453</v>
      </c>
      <c r="C235" s="59" t="s">
        <v>237</v>
      </c>
      <c r="D235" s="19" t="str">
        <f>VLOOKUP(A235,[1]HS_Category_Map!$A$2:$B$10,2,FALSE)</f>
        <v>Kitchen Fittings</v>
      </c>
      <c r="E235" s="19" t="str">
        <f>VLOOKUP(D235,[1]Category_Function_Map!$A$2:$C$7,2,FALSE)</f>
        <v>Kitchen &amp; Mechanical Solutions</v>
      </c>
    </row>
    <row r="236" spans="1:5" x14ac:dyDescent="0.3">
      <c r="A236" s="18">
        <v>84</v>
      </c>
      <c r="B236" s="1">
        <v>8439</v>
      </c>
      <c r="C236" s="59" t="s">
        <v>238</v>
      </c>
      <c r="D236" s="19" t="str">
        <f>VLOOKUP(A236,[1]HS_Category_Map!$A$2:$B$10,2,FALSE)</f>
        <v>Kitchen Fittings</v>
      </c>
      <c r="E236" s="19" t="str">
        <f>VLOOKUP(D236,[1]Category_Function_Map!$A$2:$C$7,2,FALSE)</f>
        <v>Kitchen &amp; Mechanical Solutions</v>
      </c>
    </row>
    <row r="237" spans="1:5" x14ac:dyDescent="0.3">
      <c r="A237" s="18">
        <v>84</v>
      </c>
      <c r="B237" s="1">
        <v>8440</v>
      </c>
      <c r="C237" s="59" t="s">
        <v>239</v>
      </c>
      <c r="D237" s="19" t="str">
        <f>VLOOKUP(A237,[1]HS_Category_Map!$A$2:$B$10,2,FALSE)</f>
        <v>Kitchen Fittings</v>
      </c>
      <c r="E237" s="19" t="str">
        <f>VLOOKUP(D237,[1]Category_Function_Map!$A$2:$C$7,2,FALSE)</f>
        <v>Kitchen &amp; Mechanical Solutions</v>
      </c>
    </row>
    <row r="238" spans="1:5" x14ac:dyDescent="0.3">
      <c r="A238" s="18">
        <v>84</v>
      </c>
      <c r="B238" s="1">
        <v>8465</v>
      </c>
      <c r="C238" s="59" t="s">
        <v>240</v>
      </c>
      <c r="D238" s="19" t="str">
        <f>VLOOKUP(A238,[1]HS_Category_Map!$A$2:$B$10,2,FALSE)</f>
        <v>Kitchen Fittings</v>
      </c>
      <c r="E238" s="19" t="str">
        <f>VLOOKUP(D238,[1]Category_Function_Map!$A$2:$C$7,2,FALSE)</f>
        <v>Kitchen &amp; Mechanical Solutions</v>
      </c>
    </row>
    <row r="239" spans="1:5" x14ac:dyDescent="0.3">
      <c r="A239" s="18">
        <v>84</v>
      </c>
      <c r="B239" s="1">
        <v>8472</v>
      </c>
      <c r="C239" s="59" t="s">
        <v>241</v>
      </c>
      <c r="D239" s="19" t="str">
        <f>VLOOKUP(A239,[1]HS_Category_Map!$A$2:$B$10,2,FALSE)</f>
        <v>Kitchen Fittings</v>
      </c>
      <c r="E239" s="19" t="str">
        <f>VLOOKUP(D239,[1]Category_Function_Map!$A$2:$C$7,2,FALSE)</f>
        <v>Kitchen &amp; Mechanical Solutions</v>
      </c>
    </row>
    <row r="240" spans="1:5" x14ac:dyDescent="0.3">
      <c r="A240" s="18">
        <v>84</v>
      </c>
      <c r="B240" s="1">
        <v>8432</v>
      </c>
      <c r="C240" s="59" t="s">
        <v>242</v>
      </c>
      <c r="D240" s="19" t="str">
        <f>VLOOKUP(A240,[1]HS_Category_Map!$A$2:$B$10,2,FALSE)</f>
        <v>Kitchen Fittings</v>
      </c>
      <c r="E240" s="19" t="str">
        <f>VLOOKUP(D240,[1]Category_Function_Map!$A$2:$C$7,2,FALSE)</f>
        <v>Kitchen &amp; Mechanical Solutions</v>
      </c>
    </row>
    <row r="241" spans="1:5" x14ac:dyDescent="0.3">
      <c r="A241" s="18">
        <v>84</v>
      </c>
      <c r="B241" s="1">
        <v>8475</v>
      </c>
      <c r="C241" s="59" t="s">
        <v>243</v>
      </c>
      <c r="D241" s="19" t="str">
        <f>VLOOKUP(A241,[1]HS_Category_Map!$A$2:$B$10,2,FALSE)</f>
        <v>Kitchen Fittings</v>
      </c>
      <c r="E241" s="19" t="str">
        <f>VLOOKUP(D241,[1]Category_Function_Map!$A$2:$C$7,2,FALSE)</f>
        <v>Kitchen &amp; Mechanical Solutions</v>
      </c>
    </row>
    <row r="242" spans="1:5" x14ac:dyDescent="0.3">
      <c r="A242" s="18">
        <v>84</v>
      </c>
      <c r="B242" s="1">
        <v>8420</v>
      </c>
      <c r="C242" s="59" t="s">
        <v>244</v>
      </c>
      <c r="D242" s="19" t="str">
        <f>VLOOKUP(A242,[1]HS_Category_Map!$A$2:$B$10,2,FALSE)</f>
        <v>Kitchen Fittings</v>
      </c>
      <c r="E242" s="19" t="str">
        <f>VLOOKUP(D242,[1]Category_Function_Map!$A$2:$C$7,2,FALSE)</f>
        <v>Kitchen &amp; Mechanical Solutions</v>
      </c>
    </row>
    <row r="243" spans="1:5" x14ac:dyDescent="0.3">
      <c r="A243" s="18">
        <v>84</v>
      </c>
      <c r="B243" s="1">
        <v>8442</v>
      </c>
      <c r="C243" s="59" t="s">
        <v>245</v>
      </c>
      <c r="D243" s="19" t="str">
        <f>VLOOKUP(A243,[1]HS_Category_Map!$A$2:$B$10,2,FALSE)</f>
        <v>Kitchen Fittings</v>
      </c>
      <c r="E243" s="19" t="str">
        <f>VLOOKUP(D243,[1]Category_Function_Map!$A$2:$C$7,2,FALSE)</f>
        <v>Kitchen &amp; Mechanical Solutions</v>
      </c>
    </row>
    <row r="244" spans="1:5" x14ac:dyDescent="0.3">
      <c r="A244" s="18">
        <v>84</v>
      </c>
      <c r="B244" s="1">
        <v>8485</v>
      </c>
      <c r="C244" s="59" t="s">
        <v>246</v>
      </c>
      <c r="D244" s="19" t="str">
        <f>VLOOKUP(A244,[1]HS_Category_Map!$A$2:$B$10,2,FALSE)</f>
        <v>Kitchen Fittings</v>
      </c>
      <c r="E244" s="19" t="str">
        <f>VLOOKUP(D244,[1]Category_Function_Map!$A$2:$C$7,2,FALSE)</f>
        <v>Kitchen &amp; Mechanical Solutions</v>
      </c>
    </row>
    <row r="245" spans="1:5" x14ac:dyDescent="0.3">
      <c r="A245" s="18">
        <v>84</v>
      </c>
      <c r="B245" s="1">
        <v>8437</v>
      </c>
      <c r="C245" s="59" t="s">
        <v>247</v>
      </c>
      <c r="D245" s="19" t="str">
        <f>VLOOKUP(A245,[1]HS_Category_Map!$A$2:$B$10,2,FALSE)</f>
        <v>Kitchen Fittings</v>
      </c>
      <c r="E245" s="19" t="str">
        <f>VLOOKUP(D245,[1]Category_Function_Map!$A$2:$C$7,2,FALSE)</f>
        <v>Kitchen &amp; Mechanical Solutions</v>
      </c>
    </row>
    <row r="246" spans="1:5" x14ac:dyDescent="0.3">
      <c r="A246" s="18">
        <v>84</v>
      </c>
      <c r="B246" s="1">
        <v>8404</v>
      </c>
      <c r="C246" s="59" t="s">
        <v>248</v>
      </c>
      <c r="D246" s="19" t="str">
        <f>VLOOKUP(A246,[1]HS_Category_Map!$A$2:$B$10,2,FALSE)</f>
        <v>Kitchen Fittings</v>
      </c>
      <c r="E246" s="19" t="str">
        <f>VLOOKUP(D246,[1]Category_Function_Map!$A$2:$C$7,2,FALSE)</f>
        <v>Kitchen &amp; Mechanical Solutions</v>
      </c>
    </row>
    <row r="247" spans="1:5" x14ac:dyDescent="0.3">
      <c r="A247" s="18">
        <v>84</v>
      </c>
      <c r="B247" s="1">
        <v>8405</v>
      </c>
      <c r="C247" s="59" t="s">
        <v>249</v>
      </c>
      <c r="D247" s="19" t="str">
        <f>VLOOKUP(A247,[1]HS_Category_Map!$A$2:$B$10,2,FALSE)</f>
        <v>Kitchen Fittings</v>
      </c>
      <c r="E247" s="19" t="str">
        <f>VLOOKUP(D247,[1]Category_Function_Map!$A$2:$C$7,2,FALSE)</f>
        <v>Kitchen &amp; Mechanical Solutions</v>
      </c>
    </row>
    <row r="248" spans="1:5" x14ac:dyDescent="0.3">
      <c r="A248" s="18">
        <v>84</v>
      </c>
      <c r="B248" s="1">
        <v>8450</v>
      </c>
      <c r="C248" s="59" t="s">
        <v>250</v>
      </c>
      <c r="D248" s="19" t="str">
        <f>VLOOKUP(A248,[1]HS_Category_Map!$A$2:$B$10,2,FALSE)</f>
        <v>Kitchen Fittings</v>
      </c>
      <c r="E248" s="19" t="str">
        <f>VLOOKUP(D248,[1]Category_Function_Map!$A$2:$C$7,2,FALSE)</f>
        <v>Kitchen &amp; Mechanical Solutions</v>
      </c>
    </row>
    <row r="249" spans="1:5" x14ac:dyDescent="0.3">
      <c r="A249" s="18">
        <v>84</v>
      </c>
      <c r="B249" s="1">
        <v>8402</v>
      </c>
      <c r="C249" s="59" t="s">
        <v>251</v>
      </c>
      <c r="D249" s="19" t="str">
        <f>VLOOKUP(A249,[1]HS_Category_Map!$A$2:$B$10,2,FALSE)</f>
        <v>Kitchen Fittings</v>
      </c>
      <c r="E249" s="19" t="str">
        <f>VLOOKUP(D249,[1]Category_Function_Map!$A$2:$C$7,2,FALSE)</f>
        <v>Kitchen &amp; Mechanical Solutions</v>
      </c>
    </row>
    <row r="250" spans="1:5" x14ac:dyDescent="0.3">
      <c r="A250" s="18">
        <v>84</v>
      </c>
      <c r="B250" s="1">
        <v>8410</v>
      </c>
      <c r="C250" s="59" t="s">
        <v>252</v>
      </c>
      <c r="D250" s="19" t="str">
        <f>VLOOKUP(A250,[1]HS_Category_Map!$A$2:$B$10,2,FALSE)</f>
        <v>Kitchen Fittings</v>
      </c>
      <c r="E250" s="19" t="str">
        <f>VLOOKUP(D250,[1]Category_Function_Map!$A$2:$C$7,2,FALSE)</f>
        <v>Kitchen &amp; Mechanical Solutions</v>
      </c>
    </row>
    <row r="251" spans="1:5" x14ac:dyDescent="0.3">
      <c r="A251" s="18">
        <v>84</v>
      </c>
      <c r="B251" s="1">
        <v>8436</v>
      </c>
      <c r="C251" s="59" t="s">
        <v>253</v>
      </c>
      <c r="D251" s="19" t="str">
        <f>VLOOKUP(A251,[1]HS_Category_Map!$A$2:$B$10,2,FALSE)</f>
        <v>Kitchen Fittings</v>
      </c>
      <c r="E251" s="19" t="str">
        <f>VLOOKUP(D251,[1]Category_Function_Map!$A$2:$C$7,2,FALSE)</f>
        <v>Kitchen &amp; Mechanical Solutions</v>
      </c>
    </row>
    <row r="252" spans="1:5" x14ac:dyDescent="0.3">
      <c r="A252" s="18">
        <v>84</v>
      </c>
      <c r="B252" s="1">
        <v>8449</v>
      </c>
      <c r="C252" s="59" t="s">
        <v>254</v>
      </c>
      <c r="D252" s="19" t="str">
        <f>VLOOKUP(A252,[1]HS_Category_Map!$A$2:$B$10,2,FALSE)</f>
        <v>Kitchen Fittings</v>
      </c>
      <c r="E252" s="19" t="str">
        <f>VLOOKUP(D252,[1]Category_Function_Map!$A$2:$C$7,2,FALSE)</f>
        <v>Kitchen &amp; Mechanical Solutions</v>
      </c>
    </row>
    <row r="253" spans="1:5" x14ac:dyDescent="0.3">
      <c r="A253" s="18">
        <v>84</v>
      </c>
      <c r="B253" s="1">
        <v>8478</v>
      </c>
      <c r="C253" s="59" t="s">
        <v>255</v>
      </c>
      <c r="D253" s="19" t="str">
        <f>VLOOKUP(A253,[1]HS_Category_Map!$A$2:$B$10,2,FALSE)</f>
        <v>Kitchen Fittings</v>
      </c>
      <c r="E253" s="19" t="str">
        <f>VLOOKUP(D253,[1]Category_Function_Map!$A$2:$C$7,2,FALSE)</f>
        <v>Kitchen &amp; Mechanical Solutions</v>
      </c>
    </row>
    <row r="254" spans="1:5" x14ac:dyDescent="0.3">
      <c r="A254" s="18">
        <v>84</v>
      </c>
      <c r="B254" s="1">
        <v>8401</v>
      </c>
      <c r="C254" s="59" t="s">
        <v>256</v>
      </c>
      <c r="D254" s="19" t="str">
        <f>VLOOKUP(A254,[1]HS_Category_Map!$A$2:$B$10,2,FALSE)</f>
        <v>Kitchen Fittings</v>
      </c>
      <c r="E254" s="19" t="str">
        <f>VLOOKUP(D254,[1]Category_Function_Map!$A$2:$C$7,2,FALSE)</f>
        <v>Kitchen &amp; Mechanical Solutions</v>
      </c>
    </row>
    <row r="255" spans="1:5" x14ac:dyDescent="0.3">
      <c r="A255" s="18">
        <v>84</v>
      </c>
      <c r="B255" s="1">
        <v>8403</v>
      </c>
      <c r="C255" s="59" t="s">
        <v>257</v>
      </c>
      <c r="D255" s="19" t="str">
        <f>VLOOKUP(A255,[1]HS_Category_Map!$A$2:$B$10,2,FALSE)</f>
        <v>Kitchen Fittings</v>
      </c>
      <c r="E255" s="19" t="str">
        <f>VLOOKUP(D255,[1]Category_Function_Map!$A$2:$C$7,2,FALSE)</f>
        <v>Kitchen &amp; Mechanical Solutions</v>
      </c>
    </row>
    <row r="256" spans="1:5" x14ac:dyDescent="0.3">
      <c r="A256" s="18">
        <v>84</v>
      </c>
      <c r="B256" s="1">
        <v>8434</v>
      </c>
      <c r="C256" s="59" t="s">
        <v>258</v>
      </c>
      <c r="D256" s="19" t="str">
        <f>VLOOKUP(A256,[1]HS_Category_Map!$A$2:$B$10,2,FALSE)</f>
        <v>Kitchen Fittings</v>
      </c>
      <c r="E256" s="19" t="str">
        <f>VLOOKUP(D256,[1]Category_Function_Map!$A$2:$C$7,2,FALSE)</f>
        <v>Kitchen &amp; Mechanical Solutions</v>
      </c>
    </row>
    <row r="257" spans="1:5" x14ac:dyDescent="0.3">
      <c r="A257" s="18">
        <v>84</v>
      </c>
      <c r="B257" s="1">
        <v>8435</v>
      </c>
      <c r="C257" s="59" t="s">
        <v>259</v>
      </c>
      <c r="D257" s="19" t="str">
        <f>VLOOKUP(A257,[1]HS_Category_Map!$A$2:$B$10,2,FALSE)</f>
        <v>Kitchen Fittings</v>
      </c>
      <c r="E257" s="19" t="str">
        <f>VLOOKUP(D257,[1]Category_Function_Map!$A$2:$C$7,2,FALSE)</f>
        <v>Kitchen &amp; Mechanical Solutions</v>
      </c>
    </row>
    <row r="258" spans="1:5" x14ac:dyDescent="0.3">
      <c r="A258" s="18">
        <v>84</v>
      </c>
      <c r="B258" s="1">
        <v>8469</v>
      </c>
      <c r="C258" s="59" t="s">
        <v>260</v>
      </c>
      <c r="D258" s="19" t="str">
        <f>VLOOKUP(A258,[1]HS_Category_Map!$A$2:$B$10,2,FALSE)</f>
        <v>Kitchen Fittings</v>
      </c>
      <c r="E258" s="19" t="str">
        <f>VLOOKUP(D258,[1]Category_Function_Map!$A$2:$C$7,2,FALSE)</f>
        <v>Kitchen &amp; Mechanical Solutions</v>
      </c>
    </row>
    <row r="259" spans="1:5" x14ac:dyDescent="0.3">
      <c r="A259" s="18">
        <v>84</v>
      </c>
      <c r="B259" s="1">
        <v>8470</v>
      </c>
      <c r="C259" s="59" t="s">
        <v>261</v>
      </c>
      <c r="D259" s="19" t="str">
        <f>VLOOKUP(A259,[1]HS_Category_Map!$A$2:$B$10,2,FALSE)</f>
        <v>Kitchen Fittings</v>
      </c>
      <c r="E259" s="19" t="str">
        <f>VLOOKUP(D259,[1]Category_Function_Map!$A$2:$C$7,2,FALSE)</f>
        <v>Kitchen &amp; Mechanical Solutions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60"/>
  <sheetViews>
    <sheetView showGridLines="0" showRowColHeaders="0" zoomScaleNormal="100" workbookViewId="0">
      <selection activeCell="E39" sqref="E39"/>
    </sheetView>
  </sheetViews>
  <sheetFormatPr defaultRowHeight="14.4" x14ac:dyDescent="0.3"/>
  <cols>
    <col min="2" max="2" width="10" customWidth="1"/>
    <col min="3" max="4" width="12.33203125" customWidth="1"/>
    <col min="5" max="5" width="21.33203125" customWidth="1"/>
    <col min="6" max="7" width="12.33203125" customWidth="1"/>
    <col min="8" max="10" width="8" customWidth="1"/>
  </cols>
  <sheetData>
    <row r="1" spans="2:15" x14ac:dyDescent="0.3">
      <c r="B1" s="183" t="s">
        <v>616</v>
      </c>
      <c r="C1" s="183"/>
      <c r="D1" s="183"/>
      <c r="E1" s="183"/>
      <c r="F1" s="183"/>
      <c r="G1" s="183"/>
      <c r="H1" s="183"/>
      <c r="I1" s="183"/>
      <c r="J1" s="183"/>
      <c r="K1" s="183"/>
      <c r="L1" s="183"/>
      <c r="M1" s="183"/>
      <c r="N1" s="183"/>
      <c r="O1" s="183"/>
    </row>
    <row r="2" spans="2:15" x14ac:dyDescent="0.3">
      <c r="B2" s="183"/>
      <c r="C2" s="183"/>
      <c r="D2" s="183"/>
      <c r="E2" s="183"/>
      <c r="F2" s="183"/>
      <c r="G2" s="183"/>
      <c r="H2" s="183"/>
      <c r="I2" s="183"/>
      <c r="J2" s="183"/>
      <c r="K2" s="183"/>
      <c r="L2" s="183"/>
      <c r="M2" s="183"/>
      <c r="N2" s="183"/>
      <c r="O2" s="183"/>
    </row>
    <row r="3" spans="2:15" ht="18" x14ac:dyDescent="0.3">
      <c r="E3" s="61"/>
    </row>
    <row r="4" spans="2:15" x14ac:dyDescent="0.3">
      <c r="B4" s="184" t="s">
        <v>619</v>
      </c>
      <c r="C4" s="185"/>
      <c r="D4" s="185"/>
      <c r="E4" s="185"/>
      <c r="F4" s="185"/>
      <c r="G4" s="185"/>
      <c r="H4" s="185"/>
      <c r="I4" s="185"/>
      <c r="J4" s="185"/>
      <c r="K4" s="185"/>
      <c r="L4" s="185"/>
      <c r="M4" s="185"/>
      <c r="N4" s="185"/>
      <c r="O4" s="185"/>
    </row>
    <row r="5" spans="2:15" x14ac:dyDescent="0.3">
      <c r="B5" s="185"/>
      <c r="C5" s="185"/>
      <c r="D5" s="185"/>
      <c r="E5" s="185"/>
      <c r="F5" s="185"/>
      <c r="G5" s="185"/>
      <c r="H5" s="185"/>
      <c r="I5" s="185"/>
      <c r="J5" s="185"/>
      <c r="K5" s="185"/>
      <c r="L5" s="185"/>
      <c r="M5" s="185"/>
      <c r="N5" s="185"/>
      <c r="O5" s="185"/>
    </row>
    <row r="6" spans="2:15" x14ac:dyDescent="0.3">
      <c r="B6" s="185"/>
      <c r="C6" s="185"/>
      <c r="D6" s="185"/>
      <c r="E6" s="185"/>
      <c r="F6" s="185"/>
      <c r="G6" s="185"/>
      <c r="H6" s="185"/>
      <c r="I6" s="185"/>
      <c r="J6" s="185"/>
      <c r="K6" s="185"/>
      <c r="L6" s="185"/>
      <c r="M6" s="185"/>
      <c r="N6" s="185"/>
      <c r="O6" s="185"/>
    </row>
    <row r="8" spans="2:15" x14ac:dyDescent="0.3">
      <c r="D8" s="62"/>
      <c r="E8" s="62"/>
      <c r="F8" s="62"/>
      <c r="G8" s="62"/>
      <c r="I8" s="186"/>
      <c r="J8" s="186"/>
      <c r="K8" s="186"/>
      <c r="L8" s="186"/>
      <c r="M8" s="186"/>
      <c r="N8" s="186"/>
      <c r="O8" s="186"/>
    </row>
    <row r="9" spans="2:15" ht="18" x14ac:dyDescent="0.35">
      <c r="B9" s="177" t="s">
        <v>620</v>
      </c>
      <c r="C9" s="178"/>
      <c r="D9" s="179"/>
      <c r="E9" s="177" t="s">
        <v>679</v>
      </c>
      <c r="F9" s="178"/>
      <c r="G9" s="179"/>
      <c r="I9" s="186"/>
      <c r="J9" s="186"/>
      <c r="K9" s="186"/>
      <c r="L9" s="186"/>
      <c r="M9" s="186"/>
      <c r="N9" s="186"/>
      <c r="O9" s="186"/>
    </row>
    <row r="10" spans="2:15" x14ac:dyDescent="0.3">
      <c r="B10" s="165" t="s">
        <v>591</v>
      </c>
      <c r="C10" s="166"/>
      <c r="D10" s="167"/>
      <c r="E10" s="160">
        <v>5174.0400000000054</v>
      </c>
      <c r="F10" s="161"/>
      <c r="G10" s="162"/>
      <c r="I10" s="186"/>
      <c r="J10" s="186"/>
      <c r="K10" s="186"/>
      <c r="L10" s="186"/>
      <c r="M10" s="186"/>
      <c r="N10" s="186"/>
      <c r="O10" s="186"/>
    </row>
    <row r="11" spans="2:15" x14ac:dyDescent="0.3">
      <c r="B11" s="174" t="s">
        <v>592</v>
      </c>
      <c r="C11" s="175"/>
      <c r="D11" s="176"/>
      <c r="E11" s="180">
        <v>5244.1300000000028</v>
      </c>
      <c r="F11" s="181"/>
      <c r="G11" s="182"/>
      <c r="I11" s="186"/>
      <c r="J11" s="186"/>
      <c r="K11" s="186"/>
      <c r="L11" s="186"/>
      <c r="M11" s="186"/>
      <c r="N11" s="186"/>
      <c r="O11" s="186"/>
    </row>
    <row r="12" spans="2:15" x14ac:dyDescent="0.3">
      <c r="B12" s="165" t="s">
        <v>593</v>
      </c>
      <c r="C12" s="166"/>
      <c r="D12" s="167"/>
      <c r="E12" s="160">
        <v>6603.2500000000018</v>
      </c>
      <c r="F12" s="161"/>
      <c r="G12" s="162"/>
      <c r="I12" s="186"/>
      <c r="J12" s="186"/>
      <c r="K12" s="186"/>
      <c r="L12" s="186"/>
      <c r="M12" s="186"/>
      <c r="N12" s="186"/>
      <c r="O12" s="186"/>
    </row>
    <row r="13" spans="2:15" x14ac:dyDescent="0.3">
      <c r="B13" s="174" t="s">
        <v>594</v>
      </c>
      <c r="C13" s="175"/>
      <c r="D13" s="176"/>
      <c r="E13" s="180">
        <v>6952.6600000000008</v>
      </c>
      <c r="F13" s="181"/>
      <c r="G13" s="182"/>
      <c r="I13" s="186"/>
      <c r="J13" s="186"/>
      <c r="K13" s="186"/>
      <c r="L13" s="186"/>
      <c r="M13" s="186"/>
      <c r="N13" s="186"/>
      <c r="O13" s="186"/>
    </row>
    <row r="14" spans="2:15" x14ac:dyDescent="0.3">
      <c r="B14" s="165" t="s">
        <v>595</v>
      </c>
      <c r="C14" s="166"/>
      <c r="D14" s="167"/>
      <c r="E14" s="160">
        <v>5134.4799999999996</v>
      </c>
      <c r="F14" s="161"/>
      <c r="G14" s="162"/>
      <c r="I14" s="186"/>
      <c r="J14" s="186"/>
      <c r="K14" s="186"/>
      <c r="L14" s="186"/>
      <c r="M14" s="186"/>
      <c r="N14" s="186"/>
      <c r="O14" s="186"/>
    </row>
    <row r="15" spans="2:15" x14ac:dyDescent="0.3">
      <c r="B15" s="174" t="s">
        <v>596</v>
      </c>
      <c r="C15" s="175"/>
      <c r="D15" s="176"/>
      <c r="E15" s="180">
        <v>7065.4</v>
      </c>
      <c r="F15" s="181"/>
      <c r="G15" s="182"/>
      <c r="I15" s="186"/>
      <c r="J15" s="186"/>
      <c r="K15" s="186"/>
      <c r="L15" s="186"/>
      <c r="M15" s="186"/>
      <c r="N15" s="186"/>
      <c r="O15" s="186"/>
    </row>
    <row r="16" spans="2:15" x14ac:dyDescent="0.3">
      <c r="B16" s="165" t="s">
        <v>597</v>
      </c>
      <c r="C16" s="166"/>
      <c r="D16" s="167"/>
      <c r="E16" s="160">
        <v>7152.15</v>
      </c>
      <c r="F16" s="161"/>
      <c r="G16" s="162"/>
      <c r="I16" s="186"/>
      <c r="J16" s="186"/>
      <c r="K16" s="186"/>
      <c r="L16" s="186"/>
      <c r="M16" s="186"/>
      <c r="N16" s="186"/>
      <c r="O16" s="186"/>
    </row>
    <row r="17" spans="2:15" x14ac:dyDescent="0.3">
      <c r="B17" s="174" t="s">
        <v>598</v>
      </c>
      <c r="C17" s="175"/>
      <c r="D17" s="176"/>
      <c r="E17" s="180">
        <v>9000.1700000000055</v>
      </c>
      <c r="F17" s="181"/>
      <c r="G17" s="182"/>
      <c r="I17" s="186"/>
      <c r="J17" s="186"/>
      <c r="K17" s="186"/>
      <c r="L17" s="186"/>
      <c r="M17" s="186"/>
      <c r="N17" s="186"/>
      <c r="O17" s="186"/>
    </row>
    <row r="18" spans="2:15" x14ac:dyDescent="0.3">
      <c r="B18" s="165" t="s">
        <v>599</v>
      </c>
      <c r="C18" s="166"/>
      <c r="D18" s="167"/>
      <c r="E18" s="160">
        <v>9135.0800000000036</v>
      </c>
      <c r="F18" s="161"/>
      <c r="G18" s="162"/>
      <c r="I18" s="186"/>
      <c r="J18" s="186"/>
      <c r="K18" s="186"/>
      <c r="L18" s="186"/>
      <c r="M18" s="186"/>
      <c r="N18" s="186"/>
      <c r="O18" s="186"/>
    </row>
    <row r="19" spans="2:15" x14ac:dyDescent="0.3">
      <c r="I19" s="186"/>
      <c r="J19" s="186"/>
      <c r="K19" s="186"/>
      <c r="L19" s="186"/>
      <c r="M19" s="186"/>
      <c r="N19" s="186"/>
      <c r="O19" s="186"/>
    </row>
    <row r="20" spans="2:15" x14ac:dyDescent="0.3">
      <c r="I20" s="186"/>
      <c r="J20" s="186"/>
      <c r="K20" s="186"/>
      <c r="L20" s="186"/>
      <c r="M20" s="186"/>
      <c r="N20" s="186"/>
      <c r="O20" s="186"/>
    </row>
    <row r="21" spans="2:15" x14ac:dyDescent="0.3">
      <c r="I21" s="186"/>
      <c r="J21" s="186"/>
      <c r="K21" s="186"/>
      <c r="L21" s="186"/>
      <c r="M21" s="186"/>
      <c r="N21" s="186"/>
      <c r="O21" s="186"/>
    </row>
    <row r="22" spans="2:15" x14ac:dyDescent="0.3">
      <c r="I22" s="186"/>
      <c r="J22" s="186"/>
      <c r="K22" s="186"/>
      <c r="L22" s="186"/>
      <c r="M22" s="186"/>
      <c r="N22" s="186"/>
      <c r="O22" s="186"/>
    </row>
    <row r="23" spans="2:15" ht="23.4" x14ac:dyDescent="0.45">
      <c r="B23" s="163" t="s">
        <v>617</v>
      </c>
      <c r="C23" s="163"/>
    </row>
    <row r="24" spans="2:15" x14ac:dyDescent="0.3">
      <c r="B24" s="187" t="s">
        <v>630</v>
      </c>
      <c r="C24" s="188"/>
      <c r="D24" s="188"/>
      <c r="E24" s="188"/>
      <c r="F24" s="188"/>
      <c r="G24" s="188"/>
      <c r="H24" s="188"/>
      <c r="I24" s="188"/>
      <c r="J24" s="188"/>
      <c r="K24" s="188"/>
      <c r="L24" s="188"/>
      <c r="M24" s="188"/>
      <c r="N24" s="188"/>
      <c r="O24" s="188"/>
    </row>
    <row r="25" spans="2:15" x14ac:dyDescent="0.3">
      <c r="B25" s="188"/>
      <c r="C25" s="188"/>
      <c r="D25" s="188"/>
      <c r="E25" s="188"/>
      <c r="F25" s="188"/>
      <c r="G25" s="188"/>
      <c r="H25" s="188"/>
      <c r="I25" s="188"/>
      <c r="J25" s="188"/>
      <c r="K25" s="188"/>
      <c r="L25" s="188"/>
      <c r="M25" s="188"/>
      <c r="N25" s="188"/>
      <c r="O25" s="188"/>
    </row>
    <row r="26" spans="2:15" x14ac:dyDescent="0.3">
      <c r="B26" s="188"/>
      <c r="C26" s="188"/>
      <c r="D26" s="188"/>
      <c r="E26" s="188"/>
      <c r="F26" s="188"/>
      <c r="G26" s="188"/>
      <c r="H26" s="188"/>
      <c r="I26" s="188"/>
      <c r="J26" s="188"/>
      <c r="K26" s="188"/>
      <c r="L26" s="188"/>
      <c r="M26" s="188"/>
      <c r="N26" s="188"/>
      <c r="O26" s="188"/>
    </row>
    <row r="27" spans="2:15" x14ac:dyDescent="0.3">
      <c r="B27" s="188"/>
      <c r="C27" s="188"/>
      <c r="D27" s="188"/>
      <c r="E27" s="188"/>
      <c r="F27" s="188"/>
      <c r="G27" s="188"/>
      <c r="H27" s="188"/>
      <c r="I27" s="188"/>
      <c r="J27" s="188"/>
      <c r="K27" s="188"/>
      <c r="L27" s="188"/>
      <c r="M27" s="188"/>
      <c r="N27" s="188"/>
      <c r="O27" s="188"/>
    </row>
    <row r="28" spans="2:15" x14ac:dyDescent="0.3">
      <c r="B28" s="188"/>
      <c r="C28" s="188"/>
      <c r="D28" s="188"/>
      <c r="E28" s="188"/>
      <c r="F28" s="188"/>
      <c r="G28" s="188"/>
      <c r="H28" s="188"/>
      <c r="I28" s="188"/>
      <c r="J28" s="188"/>
      <c r="K28" s="188"/>
      <c r="L28" s="188"/>
      <c r="M28" s="188"/>
      <c r="N28" s="188"/>
      <c r="O28" s="188"/>
    </row>
    <row r="29" spans="2:15" x14ac:dyDescent="0.3">
      <c r="B29" s="188"/>
      <c r="C29" s="188"/>
      <c r="D29" s="188"/>
      <c r="E29" s="188"/>
      <c r="F29" s="188"/>
      <c r="G29" s="188"/>
      <c r="H29" s="188"/>
      <c r="I29" s="188"/>
      <c r="J29" s="188"/>
      <c r="K29" s="188"/>
      <c r="L29" s="188"/>
      <c r="M29" s="188"/>
      <c r="N29" s="188"/>
      <c r="O29" s="188"/>
    </row>
    <row r="30" spans="2:15" x14ac:dyDescent="0.3">
      <c r="B30" s="188"/>
      <c r="C30" s="188"/>
      <c r="D30" s="188"/>
      <c r="E30" s="188"/>
      <c r="F30" s="188"/>
      <c r="G30" s="188"/>
      <c r="H30" s="188"/>
      <c r="I30" s="188"/>
      <c r="J30" s="188"/>
      <c r="K30" s="188"/>
      <c r="L30" s="188"/>
      <c r="M30" s="188"/>
      <c r="N30" s="188"/>
      <c r="O30" s="188"/>
    </row>
    <row r="32" spans="2:15" ht="23.4" customHeight="1" x14ac:dyDescent="0.45">
      <c r="B32" s="164" t="s">
        <v>618</v>
      </c>
      <c r="C32" s="164"/>
      <c r="D32" s="164"/>
    </row>
    <row r="33" spans="2:15" ht="14.4" customHeight="1" x14ac:dyDescent="0.3">
      <c r="B33" s="168" t="s">
        <v>681</v>
      </c>
      <c r="C33" s="169"/>
      <c r="D33" s="169"/>
      <c r="E33" s="169"/>
      <c r="F33" s="169"/>
      <c r="G33" s="169"/>
      <c r="H33" s="169"/>
      <c r="I33" s="169"/>
      <c r="J33" s="169"/>
      <c r="K33" s="169"/>
      <c r="L33" s="169"/>
      <c r="M33" s="169"/>
      <c r="N33" s="169"/>
      <c r="O33" s="170"/>
    </row>
    <row r="34" spans="2:15" ht="14.4" customHeight="1" x14ac:dyDescent="0.3">
      <c r="B34" s="171"/>
      <c r="C34" s="172"/>
      <c r="D34" s="172"/>
      <c r="E34" s="172"/>
      <c r="F34" s="172"/>
      <c r="G34" s="172"/>
      <c r="H34" s="172"/>
      <c r="I34" s="172"/>
      <c r="J34" s="172"/>
      <c r="K34" s="172"/>
      <c r="L34" s="172"/>
      <c r="M34" s="172"/>
      <c r="N34" s="172"/>
      <c r="O34" s="173"/>
    </row>
    <row r="35" spans="2:15" ht="14.4" customHeight="1" x14ac:dyDescent="0.3">
      <c r="B35" s="171"/>
      <c r="C35" s="172"/>
      <c r="D35" s="172"/>
      <c r="E35" s="172"/>
      <c r="F35" s="172"/>
      <c r="G35" s="172"/>
      <c r="H35" s="172"/>
      <c r="I35" s="172"/>
      <c r="J35" s="172"/>
      <c r="K35" s="172"/>
      <c r="L35" s="172"/>
      <c r="M35" s="172"/>
      <c r="N35" s="172"/>
      <c r="O35" s="173"/>
    </row>
    <row r="36" spans="2:15" ht="14.4" customHeight="1" x14ac:dyDescent="0.3">
      <c r="B36" s="171"/>
      <c r="C36" s="172"/>
      <c r="D36" s="172"/>
      <c r="E36" s="172"/>
      <c r="F36" s="172"/>
      <c r="G36" s="172"/>
      <c r="H36" s="172"/>
      <c r="I36" s="172"/>
      <c r="J36" s="172"/>
      <c r="K36" s="172"/>
      <c r="L36" s="172"/>
      <c r="M36" s="172"/>
      <c r="N36" s="172"/>
      <c r="O36" s="173"/>
    </row>
    <row r="37" spans="2:15" ht="14.4" customHeight="1" x14ac:dyDescent="0.3">
      <c r="B37" s="149"/>
      <c r="C37" s="149"/>
      <c r="D37" s="149"/>
      <c r="E37" s="149"/>
      <c r="F37" s="149"/>
      <c r="G37" s="149"/>
      <c r="H37" s="149"/>
      <c r="I37" s="149"/>
      <c r="J37" s="149"/>
      <c r="K37" s="149"/>
      <c r="L37" s="149"/>
      <c r="M37" s="149"/>
      <c r="N37" s="149"/>
      <c r="O37" s="149"/>
    </row>
    <row r="38" spans="2:15" ht="14.4" customHeight="1" x14ac:dyDescent="0.3">
      <c r="B38" s="148"/>
      <c r="C38" s="148"/>
      <c r="D38" s="148"/>
      <c r="E38" s="148"/>
      <c r="F38" s="148"/>
      <c r="G38" s="148"/>
      <c r="H38" s="148"/>
      <c r="I38" s="148"/>
      <c r="J38" s="148"/>
      <c r="K38" s="148"/>
      <c r="L38" s="148"/>
      <c r="M38" s="148"/>
      <c r="N38" s="148"/>
      <c r="O38" s="148"/>
    </row>
    <row r="39" spans="2:15" ht="14.4" customHeight="1" x14ac:dyDescent="0.3">
      <c r="B39" s="148"/>
      <c r="C39" s="148"/>
      <c r="D39" s="148"/>
      <c r="E39" s="148"/>
      <c r="F39" s="148"/>
      <c r="G39" s="148"/>
      <c r="H39" s="148"/>
      <c r="I39" s="148"/>
      <c r="J39" s="148"/>
      <c r="K39" s="148"/>
      <c r="L39" s="148"/>
      <c r="M39" s="148"/>
      <c r="N39" s="148"/>
      <c r="O39" s="148"/>
    </row>
    <row r="40" spans="2:15" ht="14.4" customHeight="1" x14ac:dyDescent="0.3">
      <c r="B40" s="148"/>
      <c r="C40" s="148"/>
      <c r="D40" s="148"/>
      <c r="E40" s="148"/>
      <c r="F40" s="148"/>
      <c r="G40" s="148"/>
      <c r="H40" s="148"/>
      <c r="I40" s="148"/>
      <c r="J40" s="148"/>
      <c r="K40" s="148"/>
      <c r="L40" s="148"/>
      <c r="M40" s="148"/>
      <c r="N40" s="148"/>
      <c r="O40" s="148"/>
    </row>
    <row r="49" spans="2:3" x14ac:dyDescent="0.3">
      <c r="B49" t="s">
        <v>621</v>
      </c>
    </row>
    <row r="51" spans="2:3" x14ac:dyDescent="0.3">
      <c r="B51" s="11" t="s">
        <v>590</v>
      </c>
    </row>
    <row r="52" spans="2:3" x14ac:dyDescent="0.3">
      <c r="B52" s="12" t="s">
        <v>591</v>
      </c>
      <c r="C52" s="10">
        <v>5174.0400000000054</v>
      </c>
    </row>
    <row r="53" spans="2:3" x14ac:dyDescent="0.3">
      <c r="B53" s="12" t="s">
        <v>592</v>
      </c>
      <c r="C53" s="10">
        <v>5244.1300000000028</v>
      </c>
    </row>
    <row r="54" spans="2:3" x14ac:dyDescent="0.3">
      <c r="B54" s="12" t="s">
        <v>593</v>
      </c>
      <c r="C54" s="10">
        <v>6603.2500000000018</v>
      </c>
    </row>
    <row r="55" spans="2:3" x14ac:dyDescent="0.3">
      <c r="B55" s="12" t="s">
        <v>594</v>
      </c>
      <c r="C55" s="10">
        <v>6952.6600000000008</v>
      </c>
    </row>
    <row r="56" spans="2:3" x14ac:dyDescent="0.3">
      <c r="B56" s="12" t="s">
        <v>595</v>
      </c>
      <c r="C56" s="10">
        <v>5134.4799999999996</v>
      </c>
    </row>
    <row r="57" spans="2:3" x14ac:dyDescent="0.3">
      <c r="B57" s="12" t="s">
        <v>596</v>
      </c>
      <c r="C57" s="10">
        <v>7065.3999999999987</v>
      </c>
    </row>
    <row r="58" spans="2:3" x14ac:dyDescent="0.3">
      <c r="B58" s="12" t="s">
        <v>597</v>
      </c>
      <c r="C58" s="10">
        <v>7152.15</v>
      </c>
    </row>
    <row r="59" spans="2:3" x14ac:dyDescent="0.3">
      <c r="B59" s="12" t="s">
        <v>598</v>
      </c>
      <c r="C59" s="10">
        <v>9000.1700000000055</v>
      </c>
    </row>
    <row r="60" spans="2:3" x14ac:dyDescent="0.3">
      <c r="B60" s="12" t="s">
        <v>599</v>
      </c>
      <c r="C60" s="10">
        <v>9135.0800000000036</v>
      </c>
    </row>
  </sheetData>
  <mergeCells count="27">
    <mergeCell ref="B1:O2"/>
    <mergeCell ref="B4:O6"/>
    <mergeCell ref="I8:O22"/>
    <mergeCell ref="B24:O30"/>
    <mergeCell ref="B9:D9"/>
    <mergeCell ref="B10:D10"/>
    <mergeCell ref="B11:D11"/>
    <mergeCell ref="E14:G14"/>
    <mergeCell ref="E15:G15"/>
    <mergeCell ref="E16:G16"/>
    <mergeCell ref="E17:G17"/>
    <mergeCell ref="B12:D12"/>
    <mergeCell ref="B13:D13"/>
    <mergeCell ref="B14:D14"/>
    <mergeCell ref="B15:D15"/>
    <mergeCell ref="B16:D16"/>
    <mergeCell ref="B17:D17"/>
    <mergeCell ref="E9:G9"/>
    <mergeCell ref="E10:G10"/>
    <mergeCell ref="E11:G11"/>
    <mergeCell ref="E12:G12"/>
    <mergeCell ref="E13:G13"/>
    <mergeCell ref="E18:G18"/>
    <mergeCell ref="B23:C23"/>
    <mergeCell ref="B32:D32"/>
    <mergeCell ref="B18:D18"/>
    <mergeCell ref="B33:O36"/>
  </mergeCells>
  <pageMargins left="0.7" right="0.7" top="0.75" bottom="0.75" header="0.3" footer="0.3"/>
  <pageSetup paperSize="9" orientation="portrait" horizontalDpi="0" verticalDpi="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9"/>
  <sheetViews>
    <sheetView showGridLines="0" showRowColHeaders="0" workbookViewId="0">
      <selection activeCell="F49" sqref="F49"/>
    </sheetView>
  </sheetViews>
  <sheetFormatPr defaultRowHeight="14.4" x14ac:dyDescent="0.3"/>
  <cols>
    <col min="1" max="1" width="6.5546875" customWidth="1"/>
    <col min="2" max="2" width="10.33203125" customWidth="1"/>
    <col min="3" max="3" width="12.109375" customWidth="1"/>
    <col min="4" max="4" width="12.21875" customWidth="1"/>
    <col min="5" max="7" width="10.44140625" customWidth="1"/>
    <col min="8" max="9" width="8" customWidth="1"/>
  </cols>
  <sheetData>
    <row r="1" spans="2:15" x14ac:dyDescent="0.3">
      <c r="B1" s="183" t="s">
        <v>622</v>
      </c>
      <c r="C1" s="183"/>
      <c r="D1" s="183"/>
      <c r="E1" s="183"/>
      <c r="F1" s="183"/>
      <c r="G1" s="183"/>
      <c r="H1" s="183"/>
      <c r="I1" s="183"/>
      <c r="J1" s="183"/>
      <c r="K1" s="183"/>
      <c r="L1" s="183"/>
      <c r="M1" s="183"/>
      <c r="N1" s="183"/>
      <c r="O1" s="183"/>
    </row>
    <row r="2" spans="2:15" x14ac:dyDescent="0.3">
      <c r="B2" s="183"/>
      <c r="C2" s="183"/>
      <c r="D2" s="183"/>
      <c r="E2" s="183"/>
      <c r="F2" s="183"/>
      <c r="G2" s="183"/>
      <c r="H2" s="183"/>
      <c r="I2" s="183"/>
      <c r="J2" s="183"/>
      <c r="K2" s="183"/>
      <c r="L2" s="183"/>
      <c r="M2" s="183"/>
      <c r="N2" s="183"/>
      <c r="O2" s="183"/>
    </row>
    <row r="4" spans="2:15" ht="14.4" customHeight="1" x14ac:dyDescent="0.3">
      <c r="B4" s="199" t="s">
        <v>623</v>
      </c>
      <c r="C4" s="199"/>
      <c r="D4" s="199"/>
      <c r="E4" s="199"/>
      <c r="F4" s="199"/>
      <c r="G4" s="199"/>
      <c r="H4" s="199"/>
      <c r="I4" s="199"/>
      <c r="J4" s="199"/>
      <c r="K4" s="199"/>
      <c r="L4" s="199"/>
      <c r="M4" s="199"/>
      <c r="N4" s="199"/>
      <c r="O4" s="199"/>
    </row>
    <row r="5" spans="2:15" x14ac:dyDescent="0.3">
      <c r="B5" s="199"/>
      <c r="C5" s="199"/>
      <c r="D5" s="199"/>
      <c r="E5" s="199"/>
      <c r="F5" s="199"/>
      <c r="G5" s="199"/>
      <c r="H5" s="199"/>
      <c r="I5" s="199"/>
      <c r="J5" s="199"/>
      <c r="K5" s="199"/>
      <c r="L5" s="199"/>
      <c r="M5" s="199"/>
      <c r="N5" s="199"/>
      <c r="O5" s="199"/>
    </row>
    <row r="6" spans="2:15" x14ac:dyDescent="0.3">
      <c r="B6" s="199"/>
      <c r="C6" s="199"/>
      <c r="D6" s="199"/>
      <c r="E6" s="199"/>
      <c r="F6" s="199"/>
      <c r="G6" s="199"/>
      <c r="H6" s="199"/>
      <c r="I6" s="199"/>
      <c r="J6" s="199"/>
      <c r="K6" s="199"/>
      <c r="L6" s="199"/>
      <c r="M6" s="199"/>
      <c r="N6" s="199"/>
      <c r="O6" s="199"/>
    </row>
    <row r="9" spans="2:15" ht="18" x14ac:dyDescent="0.35">
      <c r="B9" s="201" t="s">
        <v>620</v>
      </c>
      <c r="C9" s="201"/>
      <c r="D9" s="201"/>
      <c r="E9" s="201" t="s">
        <v>679</v>
      </c>
      <c r="F9" s="201"/>
      <c r="G9" s="201"/>
    </row>
    <row r="10" spans="2:15" x14ac:dyDescent="0.3">
      <c r="B10" s="197" t="s">
        <v>591</v>
      </c>
      <c r="C10" s="197"/>
      <c r="D10" s="197"/>
      <c r="E10" s="192">
        <v>508.34000000000003</v>
      </c>
      <c r="F10" s="192"/>
      <c r="G10" s="192"/>
    </row>
    <row r="11" spans="2:15" x14ac:dyDescent="0.3">
      <c r="B11" s="196" t="s">
        <v>592</v>
      </c>
      <c r="C11" s="196"/>
      <c r="D11" s="196"/>
      <c r="E11" s="189">
        <v>605.23999999999967</v>
      </c>
      <c r="F11" s="189"/>
      <c r="G11" s="189"/>
    </row>
    <row r="12" spans="2:15" x14ac:dyDescent="0.3">
      <c r="B12" s="197" t="s">
        <v>593</v>
      </c>
      <c r="C12" s="197"/>
      <c r="D12" s="197"/>
      <c r="E12" s="192">
        <v>929.9</v>
      </c>
      <c r="F12" s="192"/>
      <c r="G12" s="192"/>
    </row>
    <row r="13" spans="2:15" x14ac:dyDescent="0.3">
      <c r="B13" s="196" t="s">
        <v>594</v>
      </c>
      <c r="C13" s="196"/>
      <c r="D13" s="196"/>
      <c r="E13" s="189">
        <v>762.33999999999969</v>
      </c>
      <c r="F13" s="189"/>
      <c r="G13" s="189"/>
    </row>
    <row r="14" spans="2:15" x14ac:dyDescent="0.3">
      <c r="B14" s="197" t="s">
        <v>595</v>
      </c>
      <c r="C14" s="197"/>
      <c r="D14" s="197"/>
      <c r="E14" s="192">
        <v>629.04000000000019</v>
      </c>
      <c r="F14" s="192"/>
      <c r="G14" s="192"/>
    </row>
    <row r="15" spans="2:15" x14ac:dyDescent="0.3">
      <c r="B15" s="196" t="s">
        <v>596</v>
      </c>
      <c r="C15" s="196"/>
      <c r="D15" s="196"/>
      <c r="E15" s="189">
        <v>1313.9599999999996</v>
      </c>
      <c r="F15" s="189"/>
      <c r="G15" s="189"/>
    </row>
    <row r="16" spans="2:15" x14ac:dyDescent="0.3">
      <c r="B16" s="197" t="s">
        <v>597</v>
      </c>
      <c r="C16" s="197"/>
      <c r="D16" s="197"/>
      <c r="E16" s="192">
        <v>1361.87</v>
      </c>
      <c r="F16" s="192"/>
      <c r="G16" s="192"/>
    </row>
    <row r="17" spans="2:15" x14ac:dyDescent="0.3">
      <c r="B17" s="196" t="s">
        <v>598</v>
      </c>
      <c r="C17" s="196"/>
      <c r="D17" s="196"/>
      <c r="E17" s="189">
        <v>1397.0599999999993</v>
      </c>
      <c r="F17" s="189"/>
      <c r="G17" s="189"/>
    </row>
    <row r="18" spans="2:15" x14ac:dyDescent="0.3">
      <c r="B18" s="197" t="s">
        <v>599</v>
      </c>
      <c r="C18" s="197"/>
      <c r="D18" s="197"/>
      <c r="E18" s="192">
        <v>1564.8499999999983</v>
      </c>
      <c r="F18" s="192"/>
      <c r="G18" s="192"/>
    </row>
    <row r="23" spans="2:15" ht="23.4" x14ac:dyDescent="0.45">
      <c r="B23" s="200" t="s">
        <v>617</v>
      </c>
      <c r="C23" s="200"/>
    </row>
    <row r="24" spans="2:15" x14ac:dyDescent="0.3">
      <c r="B24" s="194" t="s">
        <v>628</v>
      </c>
      <c r="C24" s="194"/>
      <c r="D24" s="194"/>
      <c r="E24" s="194"/>
      <c r="F24" s="194"/>
      <c r="G24" s="194"/>
      <c r="H24" s="194"/>
      <c r="I24" s="194"/>
      <c r="J24" s="194"/>
      <c r="K24" s="194"/>
      <c r="L24" s="194"/>
      <c r="M24" s="194"/>
      <c r="N24" s="194"/>
      <c r="O24" s="194"/>
    </row>
    <row r="25" spans="2:15" x14ac:dyDescent="0.3">
      <c r="B25" s="194"/>
      <c r="C25" s="194"/>
      <c r="D25" s="194"/>
      <c r="E25" s="194"/>
      <c r="F25" s="194"/>
      <c r="G25" s="194"/>
      <c r="H25" s="194"/>
      <c r="I25" s="194"/>
      <c r="J25" s="194"/>
      <c r="K25" s="194"/>
      <c r="L25" s="194"/>
      <c r="M25" s="194"/>
      <c r="N25" s="194"/>
      <c r="O25" s="194"/>
    </row>
    <row r="26" spans="2:15" x14ac:dyDescent="0.3">
      <c r="B26" s="194"/>
      <c r="C26" s="194"/>
      <c r="D26" s="194"/>
      <c r="E26" s="194"/>
      <c r="F26" s="194"/>
      <c r="G26" s="194"/>
      <c r="H26" s="194"/>
      <c r="I26" s="194"/>
      <c r="J26" s="194"/>
      <c r="K26" s="194"/>
      <c r="L26" s="194"/>
      <c r="M26" s="194"/>
      <c r="N26" s="194"/>
      <c r="O26" s="194"/>
    </row>
    <row r="27" spans="2:15" x14ac:dyDescent="0.3">
      <c r="B27" s="194"/>
      <c r="C27" s="194"/>
      <c r="D27" s="194"/>
      <c r="E27" s="194"/>
      <c r="F27" s="194"/>
      <c r="G27" s="194"/>
      <c r="H27" s="194"/>
      <c r="I27" s="194"/>
      <c r="J27" s="194"/>
      <c r="K27" s="194"/>
      <c r="L27" s="194"/>
      <c r="M27" s="194"/>
      <c r="N27" s="194"/>
      <c r="O27" s="194"/>
    </row>
    <row r="28" spans="2:15" x14ac:dyDescent="0.3">
      <c r="B28" s="194"/>
      <c r="C28" s="194"/>
      <c r="D28" s="194"/>
      <c r="E28" s="194"/>
      <c r="F28" s="194"/>
      <c r="G28" s="194"/>
      <c r="H28" s="194"/>
      <c r="I28" s="194"/>
      <c r="J28" s="194"/>
      <c r="K28" s="194"/>
      <c r="L28" s="194"/>
      <c r="M28" s="194"/>
      <c r="N28" s="194"/>
      <c r="O28" s="194"/>
    </row>
    <row r="29" spans="2:15" x14ac:dyDescent="0.3">
      <c r="B29" s="194"/>
      <c r="C29" s="194"/>
      <c r="D29" s="194"/>
      <c r="E29" s="194"/>
      <c r="F29" s="194"/>
      <c r="G29" s="194"/>
      <c r="H29" s="194"/>
      <c r="I29" s="194"/>
      <c r="J29" s="194"/>
      <c r="K29" s="194"/>
      <c r="L29" s="194"/>
      <c r="M29" s="194"/>
      <c r="N29" s="194"/>
      <c r="O29" s="194"/>
    </row>
    <row r="31" spans="2:15" ht="23.4" x14ac:dyDescent="0.45">
      <c r="B31" s="198" t="s">
        <v>680</v>
      </c>
      <c r="C31" s="198"/>
      <c r="F31" s="193" t="s">
        <v>618</v>
      </c>
      <c r="G31" s="193"/>
      <c r="H31" s="193"/>
      <c r="I31" s="193"/>
    </row>
    <row r="32" spans="2:15" ht="15.6" x14ac:dyDescent="0.3">
      <c r="B32" s="73" t="s">
        <v>624</v>
      </c>
      <c r="C32" s="74" t="s">
        <v>601</v>
      </c>
      <c r="D32" s="75" t="s">
        <v>602</v>
      </c>
      <c r="F32" s="194" t="s">
        <v>627</v>
      </c>
      <c r="G32" s="194"/>
      <c r="H32" s="194"/>
      <c r="I32" s="194"/>
      <c r="J32" s="194"/>
      <c r="K32" s="194"/>
      <c r="L32" s="194"/>
      <c r="M32" s="194"/>
      <c r="N32" s="194"/>
      <c r="O32" s="194"/>
    </row>
    <row r="33" spans="2:15" x14ac:dyDescent="0.3">
      <c r="B33" s="64">
        <v>2016</v>
      </c>
      <c r="C33" s="65">
        <v>5174.04</v>
      </c>
      <c r="D33" s="66">
        <v>508.34</v>
      </c>
      <c r="F33" s="194"/>
      <c r="G33" s="194"/>
      <c r="H33" s="194"/>
      <c r="I33" s="194"/>
      <c r="J33" s="194"/>
      <c r="K33" s="194"/>
      <c r="L33" s="194"/>
      <c r="M33" s="194"/>
      <c r="N33" s="194"/>
      <c r="O33" s="194"/>
    </row>
    <row r="34" spans="2:15" x14ac:dyDescent="0.3">
      <c r="B34" s="64">
        <v>2024</v>
      </c>
      <c r="C34" s="65">
        <v>9135.08</v>
      </c>
      <c r="D34" s="67">
        <v>1564.85</v>
      </c>
      <c r="F34" s="194"/>
      <c r="G34" s="194"/>
      <c r="H34" s="194"/>
      <c r="I34" s="194"/>
      <c r="J34" s="194"/>
      <c r="K34" s="194"/>
      <c r="L34" s="194"/>
      <c r="M34" s="194"/>
      <c r="N34" s="194"/>
      <c r="O34" s="194"/>
    </row>
    <row r="35" spans="2:15" ht="28.8" x14ac:dyDescent="0.3">
      <c r="B35" s="64" t="s">
        <v>625</v>
      </c>
      <c r="C35" s="68">
        <v>0.76600000000000001</v>
      </c>
      <c r="D35" s="69">
        <v>2.0779999999999998</v>
      </c>
      <c r="F35" s="194"/>
      <c r="G35" s="194"/>
      <c r="H35" s="194"/>
      <c r="I35" s="194"/>
      <c r="J35" s="194"/>
      <c r="K35" s="194"/>
      <c r="L35" s="194"/>
      <c r="M35" s="194"/>
      <c r="N35" s="194"/>
      <c r="O35" s="194"/>
    </row>
    <row r="36" spans="2:15" ht="28.8" x14ac:dyDescent="0.3">
      <c r="B36" s="70" t="s">
        <v>626</v>
      </c>
      <c r="C36" s="71">
        <v>2024</v>
      </c>
      <c r="D36" s="72">
        <v>2024</v>
      </c>
      <c r="F36" s="195"/>
      <c r="G36" s="195"/>
      <c r="H36" s="195"/>
      <c r="I36" s="195"/>
      <c r="J36" s="195"/>
      <c r="K36" s="195"/>
      <c r="L36" s="195"/>
      <c r="M36" s="195"/>
      <c r="N36" s="195"/>
      <c r="O36" s="195"/>
    </row>
    <row r="37" spans="2:15" x14ac:dyDescent="0.3">
      <c r="F37" s="190"/>
      <c r="G37" s="190"/>
      <c r="H37" s="190"/>
      <c r="I37" s="190"/>
      <c r="J37" s="190"/>
      <c r="K37" s="190"/>
      <c r="L37" s="190"/>
      <c r="M37" s="190"/>
      <c r="N37" s="190"/>
      <c r="O37" s="190"/>
    </row>
    <row r="38" spans="2:15" x14ac:dyDescent="0.3">
      <c r="F38" s="191"/>
      <c r="G38" s="191"/>
      <c r="H38" s="191"/>
      <c r="I38" s="191"/>
      <c r="J38" s="191"/>
      <c r="K38" s="191"/>
      <c r="L38" s="191"/>
      <c r="M38" s="191"/>
      <c r="N38" s="191"/>
      <c r="O38" s="191"/>
    </row>
    <row r="39" spans="2:15" x14ac:dyDescent="0.3">
      <c r="F39" s="191"/>
      <c r="G39" s="191"/>
      <c r="H39" s="191"/>
      <c r="I39" s="191"/>
      <c r="J39" s="191"/>
      <c r="K39" s="191"/>
      <c r="L39" s="191"/>
      <c r="M39" s="191"/>
      <c r="N39" s="191"/>
      <c r="O39" s="191"/>
    </row>
    <row r="40" spans="2:15" x14ac:dyDescent="0.3">
      <c r="F40" s="191"/>
      <c r="G40" s="191"/>
      <c r="H40" s="191"/>
      <c r="I40" s="191"/>
      <c r="J40" s="191"/>
      <c r="K40" s="191"/>
      <c r="L40" s="191"/>
      <c r="M40" s="191"/>
      <c r="N40" s="191"/>
      <c r="O40" s="191"/>
    </row>
    <row r="41" spans="2:15" x14ac:dyDescent="0.3">
      <c r="F41" s="191"/>
      <c r="G41" s="191"/>
      <c r="H41" s="191"/>
      <c r="I41" s="191"/>
      <c r="J41" s="191"/>
      <c r="K41" s="191"/>
      <c r="L41" s="191"/>
      <c r="M41" s="191"/>
      <c r="N41" s="191"/>
      <c r="O41" s="191"/>
    </row>
    <row r="48" spans="2:15" x14ac:dyDescent="0.3">
      <c r="B48" t="s">
        <v>629</v>
      </c>
    </row>
    <row r="50" spans="2:3" x14ac:dyDescent="0.3">
      <c r="B50" s="11" t="s">
        <v>590</v>
      </c>
    </row>
    <row r="51" spans="2:3" x14ac:dyDescent="0.3">
      <c r="B51" s="12" t="s">
        <v>591</v>
      </c>
      <c r="C51" s="10">
        <v>508.34000000000003</v>
      </c>
    </row>
    <row r="52" spans="2:3" x14ac:dyDescent="0.3">
      <c r="B52" s="12" t="s">
        <v>592</v>
      </c>
      <c r="C52" s="10">
        <v>605.23999999999967</v>
      </c>
    </row>
    <row r="53" spans="2:3" x14ac:dyDescent="0.3">
      <c r="B53" s="12" t="s">
        <v>593</v>
      </c>
      <c r="C53" s="10">
        <v>929.9</v>
      </c>
    </row>
    <row r="54" spans="2:3" x14ac:dyDescent="0.3">
      <c r="B54" s="12" t="s">
        <v>594</v>
      </c>
      <c r="C54" s="10">
        <v>762.33999999999969</v>
      </c>
    </row>
    <row r="55" spans="2:3" x14ac:dyDescent="0.3">
      <c r="B55" s="12" t="s">
        <v>595</v>
      </c>
      <c r="C55" s="10">
        <v>629.04000000000019</v>
      </c>
    </row>
    <row r="56" spans="2:3" x14ac:dyDescent="0.3">
      <c r="B56" s="12" t="s">
        <v>596</v>
      </c>
      <c r="C56" s="10">
        <v>1313.9599999999996</v>
      </c>
    </row>
    <row r="57" spans="2:3" x14ac:dyDescent="0.3">
      <c r="B57" s="12" t="s">
        <v>597</v>
      </c>
      <c r="C57" s="10">
        <v>1361.87</v>
      </c>
    </row>
    <row r="58" spans="2:3" x14ac:dyDescent="0.3">
      <c r="B58" s="12" t="s">
        <v>598</v>
      </c>
      <c r="C58" s="10">
        <v>1397.0599999999993</v>
      </c>
    </row>
    <row r="59" spans="2:3" x14ac:dyDescent="0.3">
      <c r="B59" s="12" t="s">
        <v>599</v>
      </c>
      <c r="C59" s="10">
        <v>1564.8499999999983</v>
      </c>
    </row>
  </sheetData>
  <mergeCells count="28">
    <mergeCell ref="B1:O2"/>
    <mergeCell ref="B4:O6"/>
    <mergeCell ref="B23:C23"/>
    <mergeCell ref="B9:D9"/>
    <mergeCell ref="B10:D10"/>
    <mergeCell ref="B11:D11"/>
    <mergeCell ref="B12:D12"/>
    <mergeCell ref="E14:G14"/>
    <mergeCell ref="B13:D13"/>
    <mergeCell ref="B14:D14"/>
    <mergeCell ref="B15:D15"/>
    <mergeCell ref="B16:D16"/>
    <mergeCell ref="E9:G9"/>
    <mergeCell ref="E10:G10"/>
    <mergeCell ref="E11:G11"/>
    <mergeCell ref="E12:G12"/>
    <mergeCell ref="E13:G13"/>
    <mergeCell ref="F37:O41"/>
    <mergeCell ref="E15:G15"/>
    <mergeCell ref="E16:G16"/>
    <mergeCell ref="E17:G17"/>
    <mergeCell ref="E18:G18"/>
    <mergeCell ref="F31:I31"/>
    <mergeCell ref="F32:O36"/>
    <mergeCell ref="B24:O29"/>
    <mergeCell ref="B17:D17"/>
    <mergeCell ref="B18:D18"/>
    <mergeCell ref="B31:C31"/>
  </mergeCells>
  <pageMargins left="0.7" right="0.7" top="0.75" bottom="0.75" header="0.3" footer="0.3"/>
  <pageSetup paperSize="9" orientation="portrait" horizontalDpi="0" verticalDpi="0" r:id="rId2"/>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
  <sheetViews>
    <sheetView showGridLines="0" showRowColHeaders="0" topLeftCell="A21" workbookViewId="0">
      <selection activeCell="B39" sqref="B39:N39"/>
    </sheetView>
  </sheetViews>
  <sheetFormatPr defaultRowHeight="14.4" x14ac:dyDescent="0.3"/>
  <cols>
    <col min="2" max="2" width="14.6640625" customWidth="1"/>
    <col min="3" max="3" width="9.44140625" customWidth="1"/>
    <col min="4" max="4" width="13.33203125" customWidth="1"/>
    <col min="5" max="5" width="14.6640625" customWidth="1"/>
  </cols>
  <sheetData>
    <row r="1" spans="1:14" x14ac:dyDescent="0.3">
      <c r="B1" s="183" t="s">
        <v>632</v>
      </c>
      <c r="C1" s="183"/>
      <c r="D1" s="183"/>
      <c r="E1" s="183"/>
      <c r="F1" s="183"/>
      <c r="G1" s="183"/>
      <c r="H1" s="183"/>
      <c r="I1" s="183"/>
      <c r="J1" s="183"/>
      <c r="K1" s="183"/>
      <c r="L1" s="183"/>
      <c r="M1" s="183"/>
      <c r="N1" s="183"/>
    </row>
    <row r="2" spans="1:14" x14ac:dyDescent="0.3">
      <c r="B2" s="183"/>
      <c r="C2" s="183"/>
      <c r="D2" s="183"/>
      <c r="E2" s="183"/>
      <c r="F2" s="183"/>
      <c r="G2" s="183"/>
      <c r="H2" s="183"/>
      <c r="I2" s="183"/>
      <c r="J2" s="183"/>
      <c r="K2" s="183"/>
      <c r="L2" s="183"/>
      <c r="M2" s="183"/>
      <c r="N2" s="183"/>
    </row>
    <row r="4" spans="1:14" ht="14.4" customHeight="1" x14ac:dyDescent="0.3">
      <c r="B4" s="202" t="s">
        <v>633</v>
      </c>
      <c r="C4" s="203"/>
      <c r="D4" s="203"/>
      <c r="E4" s="203"/>
      <c r="F4" s="203"/>
      <c r="G4" s="203"/>
      <c r="H4" s="203"/>
      <c r="I4" s="203"/>
      <c r="J4" s="203"/>
      <c r="K4" s="203"/>
      <c r="L4" s="203"/>
      <c r="M4" s="203"/>
      <c r="N4" s="203"/>
    </row>
    <row r="5" spans="1:14" x14ac:dyDescent="0.3">
      <c r="B5" s="203"/>
      <c r="C5" s="203"/>
      <c r="D5" s="203"/>
      <c r="E5" s="203"/>
      <c r="F5" s="203"/>
      <c r="G5" s="203"/>
      <c r="H5" s="203"/>
      <c r="I5" s="203"/>
      <c r="J5" s="203"/>
      <c r="K5" s="203"/>
      <c r="L5" s="203"/>
      <c r="M5" s="203"/>
      <c r="N5" s="203"/>
    </row>
    <row r="6" spans="1:14" x14ac:dyDescent="0.3">
      <c r="B6" s="203"/>
      <c r="C6" s="203"/>
      <c r="D6" s="203"/>
      <c r="E6" s="203"/>
      <c r="F6" s="203"/>
      <c r="G6" s="203"/>
      <c r="H6" s="203"/>
      <c r="I6" s="203"/>
      <c r="J6" s="203"/>
      <c r="K6" s="203"/>
      <c r="L6" s="203"/>
      <c r="M6" s="203"/>
      <c r="N6" s="203"/>
    </row>
    <row r="9" spans="1:14" ht="15.6" x14ac:dyDescent="0.3">
      <c r="B9" s="82" t="s">
        <v>600</v>
      </c>
      <c r="C9" s="83" t="s">
        <v>601</v>
      </c>
      <c r="D9" s="83" t="s">
        <v>602</v>
      </c>
      <c r="E9" s="84" t="s">
        <v>603</v>
      </c>
    </row>
    <row r="10" spans="1:14" x14ac:dyDescent="0.3">
      <c r="B10" s="76">
        <v>2016</v>
      </c>
      <c r="C10" s="77">
        <v>5174.04</v>
      </c>
      <c r="D10" s="77">
        <v>508.34</v>
      </c>
      <c r="E10" s="78">
        <f>D10-C10</f>
        <v>-4665.7</v>
      </c>
    </row>
    <row r="11" spans="1:14" x14ac:dyDescent="0.3">
      <c r="A11" s="13"/>
      <c r="B11" s="76">
        <v>2017</v>
      </c>
      <c r="C11" s="77">
        <v>5244.13</v>
      </c>
      <c r="D11" s="77">
        <v>605.24</v>
      </c>
      <c r="E11" s="78">
        <f t="shared" ref="E11:E18" si="0">D11-C11</f>
        <v>-4638.8900000000003</v>
      </c>
    </row>
    <row r="12" spans="1:14" x14ac:dyDescent="0.3">
      <c r="A12" s="14"/>
      <c r="B12" s="76">
        <v>2018</v>
      </c>
      <c r="C12" s="77">
        <v>6603.25</v>
      </c>
      <c r="D12" s="77">
        <v>929.9</v>
      </c>
      <c r="E12" s="78">
        <f t="shared" si="0"/>
        <v>-5673.35</v>
      </c>
    </row>
    <row r="13" spans="1:14" x14ac:dyDescent="0.3">
      <c r="A13" s="15"/>
      <c r="B13" s="76">
        <v>2019</v>
      </c>
      <c r="C13" s="77">
        <v>6952.66</v>
      </c>
      <c r="D13" s="77">
        <v>762.34</v>
      </c>
      <c r="E13" s="78">
        <f t="shared" si="0"/>
        <v>-6190.32</v>
      </c>
    </row>
    <row r="14" spans="1:14" x14ac:dyDescent="0.3">
      <c r="A14" s="15"/>
      <c r="B14" s="76">
        <v>2020</v>
      </c>
      <c r="C14" s="77">
        <v>5134.4799999999996</v>
      </c>
      <c r="D14" s="77">
        <v>629.04</v>
      </c>
      <c r="E14" s="78">
        <f t="shared" si="0"/>
        <v>-4505.4399999999996</v>
      </c>
    </row>
    <row r="15" spans="1:14" x14ac:dyDescent="0.3">
      <c r="A15" s="15"/>
      <c r="B15" s="76">
        <v>2021</v>
      </c>
      <c r="C15" s="77">
        <v>7065.4</v>
      </c>
      <c r="D15" s="77">
        <v>1313.96</v>
      </c>
      <c r="E15" s="78">
        <f t="shared" si="0"/>
        <v>-5751.44</v>
      </c>
    </row>
    <row r="16" spans="1:14" x14ac:dyDescent="0.3">
      <c r="A16" s="15"/>
      <c r="B16" s="76">
        <v>2022</v>
      </c>
      <c r="C16" s="77">
        <v>7152.15</v>
      </c>
      <c r="D16" s="77">
        <v>1361.87</v>
      </c>
      <c r="E16" s="78">
        <f t="shared" si="0"/>
        <v>-5790.28</v>
      </c>
    </row>
    <row r="17" spans="1:14" x14ac:dyDescent="0.3">
      <c r="A17" s="15"/>
      <c r="B17" s="76">
        <v>2023</v>
      </c>
      <c r="C17" s="77">
        <v>9000.17</v>
      </c>
      <c r="D17" s="77">
        <v>1397.06</v>
      </c>
      <c r="E17" s="78">
        <f t="shared" si="0"/>
        <v>-7603.1100000000006</v>
      </c>
    </row>
    <row r="18" spans="1:14" x14ac:dyDescent="0.3">
      <c r="A18" s="15"/>
      <c r="B18" s="79">
        <v>2024</v>
      </c>
      <c r="C18" s="80">
        <v>9135.08</v>
      </c>
      <c r="D18" s="80">
        <v>1564.85</v>
      </c>
      <c r="E18" s="81">
        <f t="shared" si="0"/>
        <v>-7570.23</v>
      </c>
    </row>
    <row r="19" spans="1:14" x14ac:dyDescent="0.3">
      <c r="A19" s="15"/>
      <c r="B19" s="16"/>
      <c r="C19" s="13"/>
    </row>
    <row r="20" spans="1:14" x14ac:dyDescent="0.3">
      <c r="A20" s="15"/>
      <c r="B20" s="16"/>
      <c r="C20" s="13"/>
    </row>
    <row r="21" spans="1:14" x14ac:dyDescent="0.3">
      <c r="A21" s="15"/>
      <c r="B21" s="16"/>
      <c r="C21" s="13"/>
    </row>
    <row r="22" spans="1:14" ht="18" x14ac:dyDescent="0.35">
      <c r="A22" s="17"/>
      <c r="B22" s="204" t="s">
        <v>617</v>
      </c>
      <c r="C22" s="204"/>
    </row>
    <row r="23" spans="1:14" x14ac:dyDescent="0.3">
      <c r="A23" s="17"/>
      <c r="B23" s="194" t="s">
        <v>634</v>
      </c>
      <c r="C23" s="194"/>
      <c r="D23" s="194"/>
      <c r="E23" s="194"/>
      <c r="F23" s="194"/>
      <c r="G23" s="194"/>
      <c r="H23" s="194"/>
      <c r="I23" s="194"/>
      <c r="J23" s="194"/>
      <c r="K23" s="194"/>
      <c r="L23" s="194"/>
      <c r="M23" s="194"/>
      <c r="N23" s="194"/>
    </row>
    <row r="24" spans="1:14" x14ac:dyDescent="0.3">
      <c r="B24" s="194"/>
      <c r="C24" s="194"/>
      <c r="D24" s="194"/>
      <c r="E24" s="194"/>
      <c r="F24" s="194"/>
      <c r="G24" s="194"/>
      <c r="H24" s="194"/>
      <c r="I24" s="194"/>
      <c r="J24" s="194"/>
      <c r="K24" s="194"/>
      <c r="L24" s="194"/>
      <c r="M24" s="194"/>
      <c r="N24" s="194"/>
    </row>
    <row r="25" spans="1:14" x14ac:dyDescent="0.3">
      <c r="B25" s="194"/>
      <c r="C25" s="194"/>
      <c r="D25" s="194"/>
      <c r="E25" s="194"/>
      <c r="F25" s="194"/>
      <c r="G25" s="194"/>
      <c r="H25" s="194"/>
      <c r="I25" s="194"/>
      <c r="J25" s="194"/>
      <c r="K25" s="194"/>
      <c r="L25" s="194"/>
      <c r="M25" s="194"/>
      <c r="N25" s="194"/>
    </row>
    <row r="26" spans="1:14" x14ac:dyDescent="0.3">
      <c r="B26" s="194"/>
      <c r="C26" s="194"/>
      <c r="D26" s="194"/>
      <c r="E26" s="194"/>
      <c r="F26" s="194"/>
      <c r="G26" s="194"/>
      <c r="H26" s="194"/>
      <c r="I26" s="194"/>
      <c r="J26" s="194"/>
      <c r="K26" s="194"/>
      <c r="L26" s="194"/>
      <c r="M26" s="194"/>
      <c r="N26" s="194"/>
    </row>
    <row r="27" spans="1:14" x14ac:dyDescent="0.3">
      <c r="B27" s="194"/>
      <c r="C27" s="194"/>
      <c r="D27" s="194"/>
      <c r="E27" s="194"/>
      <c r="F27" s="194"/>
      <c r="G27" s="194"/>
      <c r="H27" s="194"/>
      <c r="I27" s="194"/>
      <c r="J27" s="194"/>
      <c r="K27" s="194"/>
      <c r="L27" s="194"/>
      <c r="M27" s="194"/>
      <c r="N27" s="194"/>
    </row>
    <row r="28" spans="1:14" x14ac:dyDescent="0.3">
      <c r="B28" s="194"/>
      <c r="C28" s="194"/>
      <c r="D28" s="194"/>
      <c r="E28" s="194"/>
      <c r="F28" s="194"/>
      <c r="G28" s="194"/>
      <c r="H28" s="194"/>
      <c r="I28" s="194"/>
      <c r="J28" s="194"/>
      <c r="K28" s="194"/>
      <c r="L28" s="194"/>
      <c r="M28" s="194"/>
      <c r="N28" s="194"/>
    </row>
    <row r="30" spans="1:14" ht="21" x14ac:dyDescent="0.4">
      <c r="B30" s="205" t="s">
        <v>618</v>
      </c>
      <c r="C30" s="205"/>
      <c r="D30" s="205"/>
    </row>
    <row r="31" spans="1:14" x14ac:dyDescent="0.3">
      <c r="B31" s="194" t="s">
        <v>631</v>
      </c>
      <c r="C31" s="194"/>
      <c r="D31" s="194"/>
      <c r="E31" s="194"/>
      <c r="F31" s="194"/>
      <c r="G31" s="194"/>
      <c r="H31" s="194"/>
      <c r="I31" s="194"/>
      <c r="J31" s="194"/>
      <c r="K31" s="194"/>
      <c r="L31" s="194"/>
      <c r="M31" s="194"/>
      <c r="N31" s="194"/>
    </row>
    <row r="32" spans="1:14" x14ac:dyDescent="0.3">
      <c r="B32" s="195"/>
      <c r="C32" s="195"/>
      <c r="D32" s="195"/>
      <c r="E32" s="195"/>
      <c r="F32" s="195"/>
      <c r="G32" s="195"/>
      <c r="H32" s="195"/>
      <c r="I32" s="195"/>
      <c r="J32" s="195"/>
      <c r="K32" s="195"/>
      <c r="L32" s="195"/>
      <c r="M32" s="195"/>
      <c r="N32" s="195"/>
    </row>
    <row r="33" spans="2:14" x14ac:dyDescent="0.3">
      <c r="B33" s="150"/>
      <c r="C33" s="152"/>
      <c r="D33" s="152"/>
      <c r="E33" s="152"/>
      <c r="F33" s="152"/>
      <c r="G33" s="152"/>
      <c r="H33" s="152"/>
      <c r="I33" s="152"/>
      <c r="J33" s="152"/>
      <c r="K33" s="152"/>
      <c r="L33" s="152"/>
      <c r="M33" s="152"/>
      <c r="N33" s="152"/>
    </row>
    <row r="34" spans="2:14" x14ac:dyDescent="0.3">
      <c r="B34" s="153"/>
      <c r="C34" s="153"/>
      <c r="D34" s="153"/>
      <c r="E34" s="153"/>
      <c r="F34" s="153"/>
      <c r="G34" s="153"/>
      <c r="H34" s="153"/>
      <c r="I34" s="153"/>
      <c r="J34" s="153"/>
      <c r="K34" s="153"/>
      <c r="L34" s="153"/>
      <c r="M34" s="153"/>
      <c r="N34" s="153"/>
    </row>
    <row r="35" spans="2:14" x14ac:dyDescent="0.3">
      <c r="B35" s="153"/>
      <c r="C35" s="153"/>
      <c r="D35" s="153"/>
      <c r="E35" s="153"/>
      <c r="F35" s="153"/>
      <c r="G35" s="153"/>
      <c r="H35" s="153"/>
      <c r="I35" s="153"/>
      <c r="J35" s="153"/>
      <c r="K35" s="153"/>
      <c r="L35" s="153"/>
      <c r="M35" s="153"/>
      <c r="N35" s="153"/>
    </row>
    <row r="36" spans="2:14" x14ac:dyDescent="0.3">
      <c r="B36" s="153"/>
      <c r="C36" s="153"/>
      <c r="D36" s="153"/>
      <c r="E36" s="153"/>
      <c r="F36" s="153"/>
      <c r="G36" s="153"/>
      <c r="H36" s="153"/>
      <c r="I36" s="153"/>
      <c r="J36" s="153"/>
      <c r="K36" s="153"/>
      <c r="L36" s="153"/>
      <c r="M36" s="153"/>
      <c r="N36" s="153"/>
    </row>
    <row r="37" spans="2:14" x14ac:dyDescent="0.3">
      <c r="B37" s="153"/>
      <c r="C37" s="153"/>
      <c r="D37" s="153"/>
      <c r="E37" s="153"/>
      <c r="F37" s="153"/>
      <c r="G37" s="153"/>
      <c r="H37" s="153"/>
      <c r="I37" s="153"/>
      <c r="J37" s="153"/>
      <c r="K37" s="153"/>
      <c r="L37" s="153"/>
      <c r="M37" s="153"/>
      <c r="N37" s="153"/>
    </row>
    <row r="39" spans="2:14" x14ac:dyDescent="0.3">
      <c r="B39" s="154"/>
      <c r="C39" s="154"/>
      <c r="D39" s="154"/>
      <c r="E39" s="154"/>
      <c r="F39" s="154"/>
      <c r="G39" s="154"/>
      <c r="H39" s="154"/>
      <c r="I39" s="154"/>
      <c r="J39" s="154"/>
      <c r="K39" s="154"/>
      <c r="L39" s="154"/>
      <c r="M39" s="154"/>
      <c r="N39" s="154"/>
    </row>
  </sheetData>
  <mergeCells count="6">
    <mergeCell ref="B31:N32"/>
    <mergeCell ref="B23:N28"/>
    <mergeCell ref="B1:N2"/>
    <mergeCell ref="B4:N6"/>
    <mergeCell ref="B22:C22"/>
    <mergeCell ref="B30:D30"/>
  </mergeCells>
  <pageMargins left="0.7" right="0.7" top="0.75" bottom="0.75" header="0.3" footer="0.3"/>
  <pageSetup paperSize="9" orientation="portrait" horizontalDpi="0" verticalDpi="0"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20"/>
  <sheetViews>
    <sheetView showGridLines="0" showRowColHeaders="0" zoomScale="80" zoomScaleNormal="80" workbookViewId="0">
      <selection activeCell="G45" sqref="G45"/>
    </sheetView>
  </sheetViews>
  <sheetFormatPr defaultRowHeight="14.4" x14ac:dyDescent="0.3"/>
  <cols>
    <col min="1" max="1" width="8.33203125" style="60" customWidth="1"/>
    <col min="2" max="2" width="22.33203125" customWidth="1"/>
    <col min="3" max="3" width="11.6640625" bestFit="1" customWidth="1"/>
    <col min="4" max="4" width="12.77734375" customWidth="1"/>
    <col min="5" max="5" width="11.6640625" customWidth="1"/>
  </cols>
  <sheetData>
    <row r="1" spans="1:14" x14ac:dyDescent="0.3">
      <c r="B1" s="183" t="s">
        <v>640</v>
      </c>
      <c r="C1" s="183"/>
      <c r="D1" s="183"/>
      <c r="E1" s="183"/>
      <c r="F1" s="183"/>
      <c r="G1" s="183"/>
      <c r="H1" s="183"/>
      <c r="I1" s="183"/>
      <c r="J1" s="183"/>
      <c r="K1" s="183"/>
      <c r="L1" s="183"/>
      <c r="M1" s="183"/>
      <c r="N1" s="183"/>
    </row>
    <row r="2" spans="1:14" x14ac:dyDescent="0.3">
      <c r="B2" s="183"/>
      <c r="C2" s="183"/>
      <c r="D2" s="183"/>
      <c r="E2" s="183"/>
      <c r="F2" s="183"/>
      <c r="G2" s="183"/>
      <c r="H2" s="183"/>
      <c r="I2" s="183"/>
      <c r="J2" s="183"/>
      <c r="K2" s="183"/>
      <c r="L2" s="183"/>
      <c r="M2" s="183"/>
      <c r="N2" s="183"/>
    </row>
    <row r="4" spans="1:14" x14ac:dyDescent="0.3">
      <c r="B4" s="206" t="s">
        <v>637</v>
      </c>
      <c r="C4" s="207"/>
      <c r="D4" s="207"/>
      <c r="E4" s="207"/>
      <c r="F4" s="207"/>
      <c r="G4" s="207"/>
      <c r="H4" s="207"/>
      <c r="I4" s="207"/>
      <c r="J4" s="207"/>
      <c r="K4" s="207"/>
      <c r="L4" s="207"/>
      <c r="M4" s="207"/>
      <c r="N4" s="207"/>
    </row>
    <row r="5" spans="1:14" x14ac:dyDescent="0.3">
      <c r="B5" s="207"/>
      <c r="C5" s="207"/>
      <c r="D5" s="207"/>
      <c r="E5" s="207"/>
      <c r="F5" s="207"/>
      <c r="G5" s="207"/>
      <c r="H5" s="207"/>
      <c r="I5" s="207"/>
      <c r="J5" s="207"/>
      <c r="K5" s="207"/>
      <c r="L5" s="207"/>
      <c r="M5" s="207"/>
      <c r="N5" s="207"/>
    </row>
    <row r="6" spans="1:14" x14ac:dyDescent="0.3">
      <c r="B6" s="207"/>
      <c r="C6" s="207"/>
      <c r="D6" s="207"/>
      <c r="E6" s="207"/>
      <c r="F6" s="207"/>
      <c r="G6" s="207"/>
      <c r="H6" s="207"/>
      <c r="I6" s="207"/>
      <c r="J6" s="207"/>
      <c r="K6" s="207"/>
      <c r="L6" s="207"/>
      <c r="M6" s="207"/>
      <c r="N6" s="207"/>
    </row>
    <row r="9" spans="1:14" ht="18" x14ac:dyDescent="0.35">
      <c r="B9" s="88" t="s">
        <v>635</v>
      </c>
      <c r="C9" s="89" t="s">
        <v>636</v>
      </c>
      <c r="D9" s="63"/>
      <c r="E9" s="63"/>
      <c r="F9" s="63"/>
      <c r="G9" s="63"/>
      <c r="H9" s="63"/>
      <c r="I9" s="63"/>
      <c r="J9" s="63"/>
      <c r="K9" s="63"/>
      <c r="L9" s="63"/>
      <c r="M9" s="63"/>
      <c r="N9" s="63"/>
    </row>
    <row r="10" spans="1:14" x14ac:dyDescent="0.3">
      <c r="B10" s="86">
        <v>7403</v>
      </c>
      <c r="C10" s="87">
        <v>1994.98</v>
      </c>
      <c r="D10" s="63"/>
      <c r="E10" s="63"/>
      <c r="F10" s="63"/>
      <c r="G10" s="63"/>
      <c r="H10" s="63"/>
      <c r="I10" s="63"/>
      <c r="J10" s="63"/>
      <c r="K10" s="63"/>
      <c r="L10" s="63"/>
      <c r="M10" s="63"/>
      <c r="N10" s="63"/>
    </row>
    <row r="11" spans="1:14" x14ac:dyDescent="0.3">
      <c r="B11" s="86">
        <v>3904</v>
      </c>
      <c r="C11" s="87">
        <v>479.81</v>
      </c>
      <c r="D11" s="63"/>
      <c r="E11" s="63"/>
      <c r="F11" s="63"/>
      <c r="G11" s="63"/>
      <c r="H11" s="63"/>
      <c r="I11" s="63"/>
      <c r="J11" s="63"/>
      <c r="K11" s="63"/>
      <c r="L11" s="63"/>
      <c r="M11" s="63"/>
      <c r="N11" s="63"/>
    </row>
    <row r="12" spans="1:14" x14ac:dyDescent="0.3">
      <c r="B12" s="86">
        <v>8542</v>
      </c>
      <c r="C12" s="87">
        <v>420.33</v>
      </c>
      <c r="D12" s="63"/>
      <c r="E12" s="63"/>
      <c r="F12" s="63"/>
      <c r="G12" s="63"/>
      <c r="H12" s="63"/>
      <c r="I12" s="63"/>
      <c r="J12" s="63"/>
      <c r="K12" s="63"/>
      <c r="L12" s="63"/>
      <c r="M12" s="63"/>
      <c r="N12" s="63"/>
    </row>
    <row r="13" spans="1:14" x14ac:dyDescent="0.3">
      <c r="B13" s="86">
        <v>8479</v>
      </c>
      <c r="C13" s="87">
        <v>319.68</v>
      </c>
      <c r="D13" s="63"/>
      <c r="E13" s="63"/>
      <c r="F13" s="63"/>
      <c r="G13" s="63"/>
      <c r="H13" s="63"/>
      <c r="I13" s="63"/>
      <c r="J13" s="63"/>
      <c r="K13" s="63"/>
      <c r="L13" s="63"/>
      <c r="M13" s="63"/>
      <c r="N13" s="63"/>
    </row>
    <row r="14" spans="1:14" x14ac:dyDescent="0.3">
      <c r="B14" s="86">
        <v>8411</v>
      </c>
      <c r="C14" s="87">
        <v>194.6</v>
      </c>
      <c r="D14" s="63"/>
      <c r="E14" s="63"/>
      <c r="F14" s="63"/>
      <c r="G14" s="63"/>
      <c r="H14" s="63"/>
      <c r="I14" s="63"/>
      <c r="J14" s="63"/>
      <c r="K14" s="63"/>
      <c r="L14" s="63"/>
      <c r="M14" s="63"/>
      <c r="N14" s="63"/>
    </row>
    <row r="15" spans="1:14" x14ac:dyDescent="0.3">
      <c r="A15"/>
      <c r="B15" s="86">
        <v>8536</v>
      </c>
      <c r="C15" s="87">
        <v>192.44</v>
      </c>
      <c r="D15" s="63"/>
      <c r="E15" s="63"/>
      <c r="F15" s="63"/>
      <c r="G15" s="63"/>
      <c r="H15" s="63"/>
      <c r="I15" s="63"/>
      <c r="J15" s="63"/>
      <c r="K15" s="63"/>
      <c r="L15" s="63"/>
      <c r="M15" s="63"/>
      <c r="N15" s="63"/>
    </row>
    <row r="16" spans="1:14" x14ac:dyDescent="0.3">
      <c r="A16"/>
      <c r="B16" s="86">
        <v>8541</v>
      </c>
      <c r="C16" s="87">
        <v>184.92</v>
      </c>
      <c r="D16" s="63"/>
      <c r="E16" s="63"/>
      <c r="F16" s="63"/>
      <c r="G16" s="63"/>
      <c r="H16" s="63"/>
      <c r="I16" s="63"/>
      <c r="J16" s="63"/>
      <c r="K16" s="63"/>
      <c r="L16" s="63"/>
      <c r="M16" s="63"/>
      <c r="N16" s="63"/>
    </row>
    <row r="17" spans="1:14" x14ac:dyDescent="0.3">
      <c r="B17" s="86">
        <v>8457</v>
      </c>
      <c r="C17" s="87">
        <v>175.4</v>
      </c>
      <c r="D17" s="63"/>
      <c r="E17" s="63"/>
      <c r="F17" s="63"/>
      <c r="G17" s="63"/>
      <c r="H17" s="63"/>
      <c r="I17" s="63"/>
      <c r="J17" s="63"/>
      <c r="K17" s="63"/>
      <c r="L17" s="63"/>
      <c r="M17" s="63"/>
      <c r="N17" s="63"/>
    </row>
    <row r="18" spans="1:14" x14ac:dyDescent="0.3">
      <c r="B18" s="86">
        <v>8443</v>
      </c>
      <c r="C18" s="87">
        <v>162.18</v>
      </c>
      <c r="D18" s="63"/>
      <c r="E18" s="63"/>
      <c r="F18" s="63"/>
      <c r="G18" s="63"/>
      <c r="H18" s="63"/>
      <c r="I18" s="63"/>
      <c r="J18" s="63"/>
      <c r="K18" s="63"/>
      <c r="L18" s="63"/>
      <c r="M18" s="63"/>
      <c r="N18" s="63"/>
    </row>
    <row r="19" spans="1:14" x14ac:dyDescent="0.3">
      <c r="B19" s="86">
        <v>8409</v>
      </c>
      <c r="C19" s="87">
        <v>156.94</v>
      </c>
      <c r="D19" s="63"/>
      <c r="E19" s="63"/>
      <c r="F19" s="63"/>
      <c r="G19" s="63"/>
      <c r="H19" s="63"/>
      <c r="I19" s="63"/>
      <c r="J19" s="63"/>
      <c r="K19" s="63"/>
      <c r="L19" s="63"/>
      <c r="M19" s="63"/>
      <c r="N19" s="63"/>
    </row>
    <row r="20" spans="1:14" x14ac:dyDescent="0.3">
      <c r="B20" s="86" t="s">
        <v>605</v>
      </c>
      <c r="C20" s="87">
        <v>4281.28</v>
      </c>
      <c r="D20" s="63"/>
      <c r="E20" s="63"/>
      <c r="F20" s="63"/>
      <c r="G20" s="63"/>
      <c r="H20" s="63"/>
      <c r="I20" s="63"/>
      <c r="J20" s="63"/>
      <c r="K20" s="63"/>
      <c r="L20" s="63"/>
      <c r="M20" s="63"/>
      <c r="N20" s="63"/>
    </row>
    <row r="22" spans="1:14" ht="18" x14ac:dyDescent="0.35">
      <c r="B22" s="208" t="s">
        <v>617</v>
      </c>
      <c r="C22" s="208"/>
    </row>
    <row r="23" spans="1:14" x14ac:dyDescent="0.3">
      <c r="B23" s="194" t="s">
        <v>638</v>
      </c>
      <c r="C23" s="209"/>
      <c r="D23" s="209"/>
      <c r="E23" s="209"/>
      <c r="F23" s="209"/>
      <c r="G23" s="209"/>
      <c r="H23" s="209"/>
      <c r="I23" s="209"/>
      <c r="J23" s="209"/>
      <c r="K23" s="209"/>
      <c r="L23" s="209"/>
      <c r="M23" s="209"/>
      <c r="N23" s="209"/>
    </row>
    <row r="24" spans="1:14" x14ac:dyDescent="0.3">
      <c r="B24" s="209"/>
      <c r="C24" s="209"/>
      <c r="D24" s="209"/>
      <c r="E24" s="209"/>
      <c r="F24" s="209"/>
      <c r="G24" s="209"/>
      <c r="H24" s="209"/>
      <c r="I24" s="209"/>
      <c r="J24" s="209"/>
      <c r="K24" s="209"/>
      <c r="L24" s="209"/>
      <c r="M24" s="209"/>
      <c r="N24" s="209"/>
    </row>
    <row r="25" spans="1:14" x14ac:dyDescent="0.3">
      <c r="B25" s="209"/>
      <c r="C25" s="209"/>
      <c r="D25" s="209"/>
      <c r="E25" s="209"/>
      <c r="F25" s="209"/>
      <c r="G25" s="209"/>
      <c r="H25" s="209"/>
      <c r="I25" s="209"/>
      <c r="J25" s="209"/>
      <c r="K25" s="209"/>
      <c r="L25" s="209"/>
      <c r="M25" s="209"/>
      <c r="N25" s="209"/>
    </row>
    <row r="26" spans="1:14" x14ac:dyDescent="0.3">
      <c r="B26" s="209"/>
      <c r="C26" s="209"/>
      <c r="D26" s="209"/>
      <c r="E26" s="209"/>
      <c r="F26" s="209"/>
      <c r="G26" s="209"/>
      <c r="H26" s="209"/>
      <c r="I26" s="209"/>
      <c r="J26" s="209"/>
      <c r="K26" s="209"/>
      <c r="L26" s="209"/>
      <c r="M26" s="209"/>
      <c r="N26" s="209"/>
    </row>
    <row r="27" spans="1:14" x14ac:dyDescent="0.3">
      <c r="B27" s="209"/>
      <c r="C27" s="209"/>
      <c r="D27" s="209"/>
      <c r="E27" s="209"/>
      <c r="F27" s="209"/>
      <c r="G27" s="209"/>
      <c r="H27" s="209"/>
      <c r="I27" s="209"/>
      <c r="J27" s="209"/>
      <c r="K27" s="209"/>
      <c r="L27" s="209"/>
      <c r="M27" s="209"/>
      <c r="N27" s="209"/>
    </row>
    <row r="28" spans="1:14" x14ac:dyDescent="0.3">
      <c r="B28" s="209"/>
      <c r="C28" s="209"/>
      <c r="D28" s="209"/>
      <c r="E28" s="209"/>
      <c r="F28" s="209"/>
      <c r="G28" s="209"/>
      <c r="H28" s="209"/>
      <c r="I28" s="209"/>
      <c r="J28" s="209"/>
      <c r="K28" s="209"/>
      <c r="L28" s="209"/>
      <c r="M28" s="209"/>
      <c r="N28" s="209"/>
    </row>
    <row r="29" spans="1:14" x14ac:dyDescent="0.3">
      <c r="A29"/>
      <c r="B29" s="209"/>
      <c r="C29" s="209"/>
      <c r="D29" s="209"/>
      <c r="E29" s="209"/>
      <c r="F29" s="209"/>
      <c r="G29" s="209"/>
      <c r="H29" s="209"/>
      <c r="I29" s="209"/>
      <c r="J29" s="209"/>
      <c r="K29" s="209"/>
      <c r="L29" s="209"/>
      <c r="M29" s="209"/>
      <c r="N29" s="209"/>
    </row>
    <row r="30" spans="1:14" x14ac:dyDescent="0.3">
      <c r="A30"/>
      <c r="B30" s="209"/>
      <c r="C30" s="209"/>
      <c r="D30" s="209"/>
      <c r="E30" s="209"/>
      <c r="F30" s="209"/>
      <c r="G30" s="209"/>
      <c r="H30" s="209"/>
      <c r="I30" s="209"/>
      <c r="J30" s="209"/>
      <c r="K30" s="209"/>
      <c r="L30" s="209"/>
      <c r="M30" s="209"/>
      <c r="N30" s="209"/>
    </row>
    <row r="31" spans="1:14" x14ac:dyDescent="0.3">
      <c r="A31"/>
      <c r="B31" s="209"/>
      <c r="C31" s="209"/>
      <c r="D31" s="209"/>
      <c r="E31" s="209"/>
      <c r="F31" s="209"/>
      <c r="G31" s="209"/>
      <c r="H31" s="209"/>
      <c r="I31" s="209"/>
      <c r="J31" s="209"/>
      <c r="K31" s="209"/>
      <c r="L31" s="209"/>
      <c r="M31" s="209"/>
      <c r="N31" s="209"/>
    </row>
    <row r="32" spans="1:14" x14ac:dyDescent="0.3">
      <c r="A32"/>
      <c r="B32" s="209"/>
      <c r="C32" s="209"/>
      <c r="D32" s="209"/>
      <c r="E32" s="209"/>
      <c r="F32" s="209"/>
      <c r="G32" s="209"/>
      <c r="H32" s="209"/>
      <c r="I32" s="209"/>
      <c r="J32" s="209"/>
      <c r="K32" s="209"/>
      <c r="L32" s="209"/>
      <c r="M32" s="209"/>
      <c r="N32" s="209"/>
    </row>
    <row r="33" spans="1:14" x14ac:dyDescent="0.3">
      <c r="A33"/>
      <c r="B33" s="209"/>
      <c r="C33" s="209"/>
      <c r="D33" s="209"/>
      <c r="E33" s="209"/>
      <c r="F33" s="209"/>
      <c r="G33" s="209"/>
      <c r="H33" s="209"/>
      <c r="I33" s="209"/>
      <c r="J33" s="209"/>
      <c r="K33" s="209"/>
      <c r="L33" s="209"/>
      <c r="M33" s="209"/>
      <c r="N33" s="209"/>
    </row>
    <row r="34" spans="1:14" x14ac:dyDescent="0.3">
      <c r="A34"/>
      <c r="B34" s="209"/>
      <c r="C34" s="209"/>
      <c r="D34" s="209"/>
      <c r="E34" s="209"/>
      <c r="F34" s="209"/>
      <c r="G34" s="209"/>
      <c r="H34" s="209"/>
      <c r="I34" s="209"/>
      <c r="J34" s="209"/>
      <c r="K34" s="209"/>
      <c r="L34" s="209"/>
      <c r="M34" s="209"/>
      <c r="N34" s="209"/>
    </row>
    <row r="35" spans="1:14" x14ac:dyDescent="0.3">
      <c r="A35"/>
    </row>
    <row r="36" spans="1:14" ht="18" x14ac:dyDescent="0.35">
      <c r="A36"/>
      <c r="B36" s="210" t="s">
        <v>618</v>
      </c>
      <c r="C36" s="210"/>
      <c r="D36" s="210"/>
    </row>
    <row r="37" spans="1:14" x14ac:dyDescent="0.3">
      <c r="A37"/>
      <c r="B37" s="211" t="s">
        <v>639</v>
      </c>
      <c r="C37" s="211"/>
      <c r="D37" s="211"/>
      <c r="E37" s="211"/>
      <c r="F37" s="211"/>
      <c r="G37" s="211"/>
      <c r="H37" s="211"/>
      <c r="I37" s="211"/>
      <c r="J37" s="211"/>
      <c r="K37" s="211"/>
      <c r="L37" s="211"/>
      <c r="M37" s="211"/>
      <c r="N37" s="211"/>
    </row>
    <row r="38" spans="1:14" x14ac:dyDescent="0.3">
      <c r="A38"/>
      <c r="B38" s="212"/>
      <c r="C38" s="212"/>
      <c r="D38" s="212"/>
      <c r="E38" s="212"/>
      <c r="F38" s="212"/>
      <c r="G38" s="212"/>
      <c r="H38" s="212"/>
      <c r="I38" s="212"/>
      <c r="J38" s="212"/>
      <c r="K38" s="212"/>
      <c r="L38" s="212"/>
      <c r="M38" s="212"/>
      <c r="N38" s="212"/>
    </row>
    <row r="39" spans="1:14" x14ac:dyDescent="0.3">
      <c r="A39"/>
      <c r="B39" s="150"/>
      <c r="C39" s="150"/>
      <c r="D39" s="150"/>
      <c r="E39" s="150"/>
      <c r="F39" s="150"/>
      <c r="G39" s="150"/>
      <c r="H39" s="150"/>
      <c r="I39" s="150"/>
      <c r="J39" s="150"/>
      <c r="K39" s="150"/>
      <c r="L39" s="150"/>
      <c r="M39" s="150"/>
      <c r="N39" s="150"/>
    </row>
    <row r="40" spans="1:14" x14ac:dyDescent="0.3">
      <c r="A40"/>
      <c r="B40" s="151"/>
      <c r="C40" s="151"/>
      <c r="D40" s="151"/>
      <c r="E40" s="151"/>
      <c r="F40" s="151"/>
      <c r="G40" s="151"/>
      <c r="H40" s="151"/>
      <c r="I40" s="151"/>
      <c r="J40" s="151"/>
      <c r="K40" s="151"/>
      <c r="L40" s="151"/>
      <c r="M40" s="151"/>
      <c r="N40" s="151"/>
    </row>
    <row r="41" spans="1:14" x14ac:dyDescent="0.3">
      <c r="A41"/>
      <c r="B41" s="151"/>
      <c r="C41" s="151"/>
      <c r="D41" s="151"/>
      <c r="E41" s="151"/>
      <c r="F41" s="151"/>
      <c r="G41" s="151"/>
      <c r="H41" s="151"/>
      <c r="I41" s="151"/>
      <c r="J41" s="151"/>
      <c r="K41" s="151"/>
      <c r="L41" s="151"/>
      <c r="M41" s="151"/>
      <c r="N41" s="151"/>
    </row>
    <row r="42" spans="1:14" x14ac:dyDescent="0.3">
      <c r="A42"/>
      <c r="B42" s="151"/>
      <c r="C42" s="151"/>
      <c r="D42" s="151"/>
      <c r="E42" s="151"/>
      <c r="F42" s="151"/>
      <c r="G42" s="151"/>
      <c r="H42" s="151"/>
      <c r="I42" s="151"/>
      <c r="J42" s="151"/>
      <c r="K42" s="151"/>
      <c r="L42" s="151"/>
      <c r="M42" s="151"/>
      <c r="N42" s="151"/>
    </row>
    <row r="43" spans="1:14" x14ac:dyDescent="0.3">
      <c r="A43"/>
      <c r="B43" s="151"/>
      <c r="C43" s="151"/>
      <c r="D43" s="151"/>
      <c r="E43" s="151"/>
      <c r="F43" s="151"/>
      <c r="G43" s="151"/>
      <c r="H43" s="151"/>
      <c r="I43" s="151"/>
      <c r="J43" s="151"/>
      <c r="K43" s="151"/>
      <c r="L43" s="151"/>
      <c r="M43" s="151"/>
      <c r="N43" s="151"/>
    </row>
    <row r="44" spans="1:14" x14ac:dyDescent="0.3">
      <c r="A44"/>
      <c r="B44" s="151"/>
      <c r="C44" s="151"/>
      <c r="D44" s="151"/>
      <c r="E44" s="151"/>
      <c r="F44" s="151"/>
      <c r="G44" s="151"/>
      <c r="H44" s="151"/>
      <c r="I44" s="151"/>
      <c r="J44" s="151"/>
      <c r="K44" s="151"/>
      <c r="L44" s="151"/>
      <c r="M44" s="151"/>
      <c r="N44" s="151"/>
    </row>
    <row r="45" spans="1:14" x14ac:dyDescent="0.3">
      <c r="A45"/>
      <c r="B45" s="151"/>
      <c r="C45" s="151"/>
      <c r="D45" s="151"/>
      <c r="E45" s="151"/>
      <c r="F45" s="151"/>
      <c r="G45" s="151"/>
      <c r="H45" s="151"/>
      <c r="I45" s="151"/>
      <c r="J45" s="151"/>
      <c r="K45" s="151"/>
      <c r="L45" s="151"/>
      <c r="M45" s="151"/>
      <c r="N45" s="151"/>
    </row>
    <row r="46" spans="1:14" x14ac:dyDescent="0.3">
      <c r="A46"/>
    </row>
    <row r="47" spans="1:14" x14ac:dyDescent="0.3">
      <c r="A47"/>
    </row>
    <row r="48" spans="1:14"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sheetData>
  <mergeCells count="6">
    <mergeCell ref="B37:N38"/>
    <mergeCell ref="B1:N2"/>
    <mergeCell ref="B4:N6"/>
    <mergeCell ref="B22:C22"/>
    <mergeCell ref="B23:N34"/>
    <mergeCell ref="B36:D36"/>
  </mergeCells>
  <pageMargins left="0.7" right="0.7" top="0.75" bottom="0.75" header="0.3" footer="0.3"/>
  <pageSetup paperSize="9" orientation="portrait" horizontalDpi="0" verticalDpi="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showRowColHeaders="0" topLeftCell="B1" zoomScale="80" zoomScaleNormal="80" workbookViewId="0">
      <selection activeCell="K16" sqref="K16"/>
    </sheetView>
  </sheetViews>
  <sheetFormatPr defaultRowHeight="14.4" x14ac:dyDescent="0.3"/>
  <cols>
    <col min="1" max="1" width="7.77734375" customWidth="1"/>
    <col min="2" max="2" width="19.88671875" customWidth="1"/>
    <col min="4" max="4" width="12.88671875" customWidth="1"/>
  </cols>
  <sheetData>
    <row r="1" spans="2:14" x14ac:dyDescent="0.3">
      <c r="B1" s="183" t="s">
        <v>642</v>
      </c>
      <c r="C1" s="183"/>
      <c r="D1" s="183"/>
      <c r="E1" s="183"/>
      <c r="F1" s="183"/>
      <c r="G1" s="183"/>
      <c r="H1" s="183"/>
      <c r="I1" s="183"/>
      <c r="J1" s="183"/>
      <c r="K1" s="183"/>
      <c r="L1" s="183"/>
      <c r="M1" s="183"/>
      <c r="N1" s="183"/>
    </row>
    <row r="2" spans="2:14" x14ac:dyDescent="0.3">
      <c r="B2" s="183"/>
      <c r="C2" s="183"/>
      <c r="D2" s="183"/>
      <c r="E2" s="183"/>
      <c r="F2" s="183"/>
      <c r="G2" s="183"/>
      <c r="H2" s="183"/>
      <c r="I2" s="183"/>
      <c r="J2" s="183"/>
      <c r="K2" s="183"/>
      <c r="L2" s="183"/>
      <c r="M2" s="183"/>
      <c r="N2" s="183"/>
    </row>
    <row r="4" spans="2:14" x14ac:dyDescent="0.3">
      <c r="B4" s="213" t="s">
        <v>685</v>
      </c>
      <c r="C4" s="214"/>
      <c r="D4" s="214"/>
      <c r="E4" s="214"/>
      <c r="F4" s="214"/>
      <c r="G4" s="214"/>
      <c r="H4" s="214"/>
      <c r="I4" s="214"/>
      <c r="J4" s="214"/>
      <c r="K4" s="214"/>
      <c r="L4" s="214"/>
      <c r="M4" s="214"/>
      <c r="N4" s="214"/>
    </row>
    <row r="5" spans="2:14" x14ac:dyDescent="0.3">
      <c r="B5" s="214"/>
      <c r="C5" s="214"/>
      <c r="D5" s="214"/>
      <c r="E5" s="214"/>
      <c r="F5" s="214"/>
      <c r="G5" s="214"/>
      <c r="H5" s="214"/>
      <c r="I5" s="214"/>
      <c r="J5" s="214"/>
      <c r="K5" s="214"/>
      <c r="L5" s="214"/>
      <c r="M5" s="214"/>
      <c r="N5" s="214"/>
    </row>
    <row r="6" spans="2:14" x14ac:dyDescent="0.3">
      <c r="B6" s="214"/>
      <c r="C6" s="214"/>
      <c r="D6" s="214"/>
      <c r="E6" s="214"/>
      <c r="F6" s="214"/>
      <c r="G6" s="214"/>
      <c r="H6" s="214"/>
      <c r="I6" s="214"/>
      <c r="J6" s="214"/>
      <c r="K6" s="214"/>
      <c r="L6" s="214"/>
      <c r="M6" s="214"/>
      <c r="N6" s="214"/>
    </row>
    <row r="9" spans="2:14" x14ac:dyDescent="0.3">
      <c r="B9" s="145" t="s">
        <v>635</v>
      </c>
      <c r="C9" s="85" t="s">
        <v>636</v>
      </c>
    </row>
    <row r="10" spans="2:14" x14ac:dyDescent="0.3">
      <c r="B10" s="86">
        <v>7601</v>
      </c>
      <c r="C10" s="87">
        <v>331.88</v>
      </c>
    </row>
    <row r="11" spans="2:14" x14ac:dyDescent="0.3">
      <c r="B11" s="86">
        <v>8517</v>
      </c>
      <c r="C11" s="87">
        <v>299.04000000000002</v>
      </c>
    </row>
    <row r="12" spans="2:14" x14ac:dyDescent="0.3">
      <c r="B12" s="86">
        <v>8411</v>
      </c>
      <c r="C12" s="87">
        <v>249.63</v>
      </c>
    </row>
    <row r="13" spans="2:14" x14ac:dyDescent="0.3">
      <c r="B13" s="86">
        <v>8544</v>
      </c>
      <c r="C13" s="87">
        <v>41.82</v>
      </c>
    </row>
    <row r="14" spans="2:14" x14ac:dyDescent="0.3">
      <c r="B14" s="86">
        <v>7326</v>
      </c>
      <c r="C14" s="87">
        <v>37.44</v>
      </c>
    </row>
    <row r="15" spans="2:14" x14ac:dyDescent="0.3">
      <c r="B15" s="86">
        <v>8409</v>
      </c>
      <c r="C15" s="87">
        <v>34.35</v>
      </c>
    </row>
    <row r="16" spans="2:14" x14ac:dyDescent="0.3">
      <c r="B16" s="86">
        <v>8511</v>
      </c>
      <c r="C16" s="87">
        <v>30.18</v>
      </c>
    </row>
    <row r="17" spans="2:14" x14ac:dyDescent="0.3">
      <c r="B17" s="86">
        <v>8481</v>
      </c>
      <c r="C17" s="87">
        <v>23.47</v>
      </c>
    </row>
    <row r="18" spans="2:14" x14ac:dyDescent="0.3">
      <c r="B18" s="86">
        <v>3904</v>
      </c>
      <c r="C18" s="87">
        <v>23.37</v>
      </c>
    </row>
    <row r="19" spans="2:14" x14ac:dyDescent="0.3">
      <c r="B19" s="86">
        <v>8504</v>
      </c>
      <c r="C19" s="87">
        <v>22.63</v>
      </c>
    </row>
    <row r="20" spans="2:14" x14ac:dyDescent="0.3">
      <c r="B20" s="86" t="s">
        <v>605</v>
      </c>
      <c r="C20" s="87">
        <v>1093.81</v>
      </c>
    </row>
    <row r="22" spans="2:14" ht="21" x14ac:dyDescent="0.4">
      <c r="B22" s="215" t="s">
        <v>617</v>
      </c>
      <c r="C22" s="215"/>
    </row>
    <row r="23" spans="2:14" x14ac:dyDescent="0.3">
      <c r="B23" s="194" t="s">
        <v>644</v>
      </c>
      <c r="C23" s="209"/>
      <c r="D23" s="209"/>
      <c r="E23" s="209"/>
      <c r="F23" s="209"/>
      <c r="G23" s="209"/>
      <c r="H23" s="209"/>
      <c r="I23" s="209"/>
      <c r="J23" s="209"/>
      <c r="K23" s="209"/>
      <c r="L23" s="209"/>
      <c r="M23" s="209"/>
      <c r="N23" s="209"/>
    </row>
    <row r="24" spans="2:14" x14ac:dyDescent="0.3">
      <c r="B24" s="209"/>
      <c r="C24" s="209"/>
      <c r="D24" s="209"/>
      <c r="E24" s="209"/>
      <c r="F24" s="209"/>
      <c r="G24" s="209"/>
      <c r="H24" s="209"/>
      <c r="I24" s="209"/>
      <c r="J24" s="209"/>
      <c r="K24" s="209"/>
      <c r="L24" s="209"/>
      <c r="M24" s="209"/>
      <c r="N24" s="209"/>
    </row>
    <row r="25" spans="2:14" x14ac:dyDescent="0.3">
      <c r="B25" s="209"/>
      <c r="C25" s="209"/>
      <c r="D25" s="209"/>
      <c r="E25" s="209"/>
      <c r="F25" s="209"/>
      <c r="G25" s="209"/>
      <c r="H25" s="209"/>
      <c r="I25" s="209"/>
      <c r="J25" s="209"/>
      <c r="K25" s="209"/>
      <c r="L25" s="209"/>
      <c r="M25" s="209"/>
      <c r="N25" s="209"/>
    </row>
    <row r="26" spans="2:14" x14ac:dyDescent="0.3">
      <c r="B26" s="209"/>
      <c r="C26" s="209"/>
      <c r="D26" s="209"/>
      <c r="E26" s="209"/>
      <c r="F26" s="209"/>
      <c r="G26" s="209"/>
      <c r="H26" s="209"/>
      <c r="I26" s="209"/>
      <c r="J26" s="209"/>
      <c r="K26" s="209"/>
      <c r="L26" s="209"/>
      <c r="M26" s="209"/>
      <c r="N26" s="209"/>
    </row>
    <row r="27" spans="2:14" x14ac:dyDescent="0.3">
      <c r="B27" s="209"/>
      <c r="C27" s="209"/>
      <c r="D27" s="209"/>
      <c r="E27" s="209"/>
      <c r="F27" s="209"/>
      <c r="G27" s="209"/>
      <c r="H27" s="209"/>
      <c r="I27" s="209"/>
      <c r="J27" s="209"/>
      <c r="K27" s="209"/>
      <c r="L27" s="209"/>
      <c r="M27" s="209"/>
      <c r="N27" s="209"/>
    </row>
    <row r="28" spans="2:14" x14ac:dyDescent="0.3">
      <c r="B28" s="209"/>
      <c r="C28" s="209"/>
      <c r="D28" s="209"/>
      <c r="E28" s="209"/>
      <c r="F28" s="209"/>
      <c r="G28" s="209"/>
      <c r="H28" s="209"/>
      <c r="I28" s="209"/>
      <c r="J28" s="209"/>
      <c r="K28" s="209"/>
      <c r="L28" s="209"/>
      <c r="M28" s="209"/>
      <c r="N28" s="209"/>
    </row>
    <row r="29" spans="2:14" x14ac:dyDescent="0.3">
      <c r="B29" s="209"/>
      <c r="C29" s="209"/>
      <c r="D29" s="209"/>
      <c r="E29" s="209"/>
      <c r="F29" s="209"/>
      <c r="G29" s="209"/>
      <c r="H29" s="209"/>
      <c r="I29" s="209"/>
      <c r="J29" s="209"/>
      <c r="K29" s="209"/>
      <c r="L29" s="209"/>
      <c r="M29" s="209"/>
      <c r="N29" s="209"/>
    </row>
    <row r="30" spans="2:14" x14ac:dyDescent="0.3">
      <c r="B30" s="209"/>
      <c r="C30" s="209"/>
      <c r="D30" s="209"/>
      <c r="E30" s="209"/>
      <c r="F30" s="209"/>
      <c r="G30" s="209"/>
      <c r="H30" s="209"/>
      <c r="I30" s="209"/>
      <c r="J30" s="209"/>
      <c r="K30" s="209"/>
      <c r="L30" s="209"/>
      <c r="M30" s="209"/>
      <c r="N30" s="209"/>
    </row>
    <row r="31" spans="2:14" x14ac:dyDescent="0.3">
      <c r="B31" s="209"/>
      <c r="C31" s="209"/>
      <c r="D31" s="209"/>
      <c r="E31" s="209"/>
      <c r="F31" s="209"/>
      <c r="G31" s="209"/>
      <c r="H31" s="209"/>
      <c r="I31" s="209"/>
      <c r="J31" s="209"/>
      <c r="K31" s="209"/>
      <c r="L31" s="209"/>
      <c r="M31" s="209"/>
      <c r="N31" s="209"/>
    </row>
    <row r="32" spans="2:14" x14ac:dyDescent="0.3">
      <c r="B32" s="209"/>
      <c r="C32" s="209"/>
      <c r="D32" s="209"/>
      <c r="E32" s="209"/>
      <c r="F32" s="209"/>
      <c r="G32" s="209"/>
      <c r="H32" s="209"/>
      <c r="I32" s="209"/>
      <c r="J32" s="209"/>
      <c r="K32" s="209"/>
      <c r="L32" s="209"/>
      <c r="M32" s="209"/>
      <c r="N32" s="209"/>
    </row>
    <row r="33" spans="2:14" x14ac:dyDescent="0.3">
      <c r="B33" s="209"/>
      <c r="C33" s="209"/>
      <c r="D33" s="209"/>
      <c r="E33" s="209"/>
      <c r="F33" s="209"/>
      <c r="G33" s="209"/>
      <c r="H33" s="209"/>
      <c r="I33" s="209"/>
      <c r="J33" s="209"/>
      <c r="K33" s="209"/>
      <c r="L33" s="209"/>
      <c r="M33" s="209"/>
      <c r="N33" s="209"/>
    </row>
    <row r="34" spans="2:14" x14ac:dyDescent="0.3">
      <c r="B34" s="209"/>
      <c r="C34" s="209"/>
      <c r="D34" s="209"/>
      <c r="E34" s="209"/>
      <c r="F34" s="209"/>
      <c r="G34" s="209"/>
      <c r="H34" s="209"/>
      <c r="I34" s="209"/>
      <c r="J34" s="209"/>
      <c r="K34" s="209"/>
      <c r="L34" s="209"/>
      <c r="M34" s="209"/>
      <c r="N34" s="209"/>
    </row>
    <row r="35" spans="2:14" x14ac:dyDescent="0.3">
      <c r="B35" s="209"/>
      <c r="C35" s="209"/>
      <c r="D35" s="209"/>
      <c r="E35" s="209"/>
      <c r="F35" s="209"/>
      <c r="G35" s="209"/>
      <c r="H35" s="209"/>
      <c r="I35" s="209"/>
      <c r="J35" s="209"/>
      <c r="K35" s="209"/>
      <c r="L35" s="209"/>
      <c r="M35" s="209"/>
      <c r="N35" s="209"/>
    </row>
    <row r="37" spans="2:14" ht="21" x14ac:dyDescent="0.4">
      <c r="B37" s="216" t="s">
        <v>618</v>
      </c>
      <c r="C37" s="216"/>
      <c r="D37" s="216"/>
    </row>
    <row r="38" spans="2:14" x14ac:dyDescent="0.3">
      <c r="B38" s="211" t="s">
        <v>643</v>
      </c>
      <c r="C38" s="211"/>
      <c r="D38" s="211"/>
      <c r="E38" s="211"/>
      <c r="F38" s="211"/>
      <c r="G38" s="211"/>
      <c r="H38" s="211"/>
      <c r="I38" s="211"/>
      <c r="J38" s="211"/>
      <c r="K38" s="211"/>
      <c r="L38" s="211"/>
      <c r="M38" s="211"/>
      <c r="N38" s="211"/>
    </row>
    <row r="39" spans="2:14" x14ac:dyDescent="0.3">
      <c r="B39" s="212"/>
      <c r="C39" s="212"/>
      <c r="D39" s="212"/>
      <c r="E39" s="212"/>
      <c r="F39" s="212"/>
      <c r="G39" s="212"/>
      <c r="H39" s="212"/>
      <c r="I39" s="212"/>
      <c r="J39" s="212"/>
      <c r="K39" s="212"/>
      <c r="L39" s="212"/>
      <c r="M39" s="212"/>
      <c r="N39" s="212"/>
    </row>
    <row r="40" spans="2:14" ht="14.4" customHeight="1" x14ac:dyDescent="0.3">
      <c r="B40" s="156"/>
      <c r="C40" s="156"/>
      <c r="D40" s="156"/>
      <c r="E40" s="156"/>
      <c r="F40" s="156"/>
      <c r="G40" s="156"/>
      <c r="H40" s="156"/>
      <c r="I40" s="156"/>
      <c r="J40" s="156"/>
      <c r="K40" s="156"/>
      <c r="L40" s="156"/>
      <c r="M40" s="156"/>
      <c r="N40" s="156"/>
    </row>
    <row r="41" spans="2:14" ht="14.4" customHeight="1" x14ac:dyDescent="0.3">
      <c r="B41" s="155"/>
      <c r="C41" s="155"/>
      <c r="D41" s="155"/>
      <c r="E41" s="155"/>
      <c r="F41" s="155"/>
      <c r="G41" s="155"/>
      <c r="H41" s="155"/>
      <c r="I41" s="155"/>
      <c r="J41" s="155"/>
      <c r="K41" s="155"/>
      <c r="L41" s="155"/>
      <c r="M41" s="155"/>
      <c r="N41" s="155"/>
    </row>
    <row r="42" spans="2:14" ht="14.4" customHeight="1" x14ac:dyDescent="0.3">
      <c r="B42" s="155"/>
      <c r="C42" s="155"/>
      <c r="D42" s="155"/>
      <c r="E42" s="155"/>
      <c r="F42" s="155"/>
      <c r="G42" s="155"/>
      <c r="H42" s="155"/>
      <c r="I42" s="155"/>
      <c r="J42" s="155"/>
      <c r="K42" s="155"/>
      <c r="L42" s="155"/>
      <c r="M42" s="155"/>
      <c r="N42" s="155"/>
    </row>
    <row r="43" spans="2:14" ht="14.4" customHeight="1" x14ac:dyDescent="0.3">
      <c r="B43" s="155"/>
      <c r="C43" s="155"/>
      <c r="D43" s="155"/>
      <c r="E43" s="155"/>
      <c r="F43" s="155"/>
      <c r="G43" s="155"/>
      <c r="H43" s="155"/>
      <c r="I43" s="155"/>
      <c r="J43" s="155"/>
      <c r="K43" s="155"/>
      <c r="L43" s="155"/>
      <c r="M43" s="155"/>
      <c r="N43" s="155"/>
    </row>
    <row r="44" spans="2:14" ht="14.4" customHeight="1" x14ac:dyDescent="0.3">
      <c r="B44" s="155"/>
      <c r="C44" s="155"/>
      <c r="D44" s="155"/>
      <c r="E44" s="155"/>
      <c r="F44" s="155"/>
      <c r="G44" s="155"/>
      <c r="H44" s="155"/>
      <c r="I44" s="155"/>
      <c r="J44" s="155"/>
      <c r="K44" s="155"/>
      <c r="L44" s="155"/>
      <c r="M44" s="155"/>
      <c r="N44" s="155"/>
    </row>
    <row r="45" spans="2:14" ht="14.4" customHeight="1" x14ac:dyDescent="0.3">
      <c r="B45" s="155"/>
      <c r="C45" s="155"/>
      <c r="D45" s="155"/>
      <c r="E45" s="155"/>
      <c r="F45" s="155"/>
      <c r="G45" s="155"/>
      <c r="H45" s="155"/>
      <c r="I45" s="155"/>
      <c r="J45" s="155"/>
      <c r="K45" s="155"/>
      <c r="L45" s="155"/>
      <c r="M45" s="155"/>
      <c r="N45" s="155"/>
    </row>
  </sheetData>
  <mergeCells count="6">
    <mergeCell ref="B38:N39"/>
    <mergeCell ref="B1:N2"/>
    <mergeCell ref="B4:N6"/>
    <mergeCell ref="B22:C22"/>
    <mergeCell ref="B23:N35"/>
    <mergeCell ref="B37:D3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33"/>
  <sheetViews>
    <sheetView showGridLines="0" showRowColHeaders="0" workbookViewId="0">
      <selection activeCell="F44" sqref="F44"/>
    </sheetView>
  </sheetViews>
  <sheetFormatPr defaultRowHeight="14.4" x14ac:dyDescent="0.3"/>
  <cols>
    <col min="1" max="1" width="9.6640625" customWidth="1"/>
    <col min="2" max="2" width="8" customWidth="1"/>
    <col min="3" max="3" width="19.21875" bestFit="1" customWidth="1"/>
    <col min="4" max="4" width="25.88671875" customWidth="1"/>
  </cols>
  <sheetData>
    <row r="1" spans="2:14" x14ac:dyDescent="0.3">
      <c r="B1" s="183" t="s">
        <v>645</v>
      </c>
      <c r="C1" s="183"/>
      <c r="D1" s="183"/>
      <c r="E1" s="183"/>
      <c r="F1" s="183"/>
      <c r="G1" s="183"/>
      <c r="H1" s="183"/>
      <c r="I1" s="183"/>
      <c r="J1" s="183"/>
      <c r="K1" s="183"/>
      <c r="L1" s="183"/>
      <c r="M1" s="183"/>
      <c r="N1" s="183"/>
    </row>
    <row r="2" spans="2:14" x14ac:dyDescent="0.3">
      <c r="B2" s="183"/>
      <c r="C2" s="183"/>
      <c r="D2" s="183"/>
      <c r="E2" s="183"/>
      <c r="F2" s="183"/>
      <c r="G2" s="183"/>
      <c r="H2" s="183"/>
      <c r="I2" s="183"/>
      <c r="J2" s="183"/>
      <c r="K2" s="183"/>
      <c r="L2" s="183"/>
      <c r="M2" s="183"/>
      <c r="N2" s="183"/>
    </row>
    <row r="4" spans="2:14" x14ac:dyDescent="0.3">
      <c r="B4" s="217" t="s">
        <v>682</v>
      </c>
      <c r="C4" s="207"/>
      <c r="D4" s="207"/>
      <c r="E4" s="207"/>
      <c r="F4" s="207"/>
      <c r="G4" s="207"/>
      <c r="H4" s="207"/>
      <c r="I4" s="207"/>
      <c r="J4" s="207"/>
      <c r="K4" s="207"/>
      <c r="L4" s="207"/>
      <c r="M4" s="207"/>
      <c r="N4" s="207"/>
    </row>
    <row r="5" spans="2:14" x14ac:dyDescent="0.3">
      <c r="B5" s="207"/>
      <c r="C5" s="207"/>
      <c r="D5" s="207"/>
      <c r="E5" s="207"/>
      <c r="F5" s="207"/>
      <c r="G5" s="207"/>
      <c r="H5" s="207"/>
      <c r="I5" s="207"/>
      <c r="J5" s="207"/>
      <c r="K5" s="207"/>
      <c r="L5" s="207"/>
      <c r="M5" s="207"/>
      <c r="N5" s="207"/>
    </row>
    <row r="6" spans="2:14" x14ac:dyDescent="0.3">
      <c r="B6" s="207"/>
      <c r="C6" s="207"/>
      <c r="D6" s="207"/>
      <c r="E6" s="207"/>
      <c r="F6" s="207"/>
      <c r="G6" s="207"/>
      <c r="H6" s="207"/>
      <c r="I6" s="207"/>
      <c r="J6" s="207"/>
      <c r="K6" s="207"/>
      <c r="L6" s="207"/>
      <c r="M6" s="207"/>
      <c r="N6" s="207"/>
    </row>
    <row r="10" spans="2:14" x14ac:dyDescent="0.3">
      <c r="C10" s="145" t="s">
        <v>646</v>
      </c>
      <c r="D10" s="85" t="s">
        <v>636</v>
      </c>
    </row>
    <row r="11" spans="2:14" x14ac:dyDescent="0.3">
      <c r="C11" s="90" t="s">
        <v>609</v>
      </c>
      <c r="D11" s="87">
        <v>4165.2200000000012</v>
      </c>
    </row>
    <row r="12" spans="2:14" x14ac:dyDescent="0.3">
      <c r="C12" s="90" t="s">
        <v>611</v>
      </c>
      <c r="D12" s="87">
        <v>3296.6099999999997</v>
      </c>
    </row>
    <row r="13" spans="2:14" x14ac:dyDescent="0.3">
      <c r="C13" s="90" t="s">
        <v>612</v>
      </c>
      <c r="D13" s="87">
        <v>1154.19</v>
      </c>
    </row>
    <row r="14" spans="2:14" x14ac:dyDescent="0.3">
      <c r="C14" s="90" t="s">
        <v>610</v>
      </c>
      <c r="D14" s="87">
        <v>411.35999999999996</v>
      </c>
    </row>
    <row r="15" spans="2:14" x14ac:dyDescent="0.3">
      <c r="C15" s="90" t="s">
        <v>608</v>
      </c>
      <c r="D15" s="87">
        <v>60.800000000000004</v>
      </c>
    </row>
    <row r="16" spans="2:14" x14ac:dyDescent="0.3">
      <c r="C16" s="90" t="s">
        <v>613</v>
      </c>
      <c r="D16" s="87">
        <v>46.900000000000006</v>
      </c>
    </row>
    <row r="17" spans="2:14" x14ac:dyDescent="0.3">
      <c r="C17" s="90" t="s">
        <v>605</v>
      </c>
      <c r="D17" s="87">
        <v>9135.08</v>
      </c>
    </row>
    <row r="23" spans="2:14" ht="21" x14ac:dyDescent="0.4">
      <c r="B23" s="218" t="s">
        <v>617</v>
      </c>
      <c r="C23" s="219"/>
      <c r="F23" s="208" t="s">
        <v>618</v>
      </c>
      <c r="G23" s="208"/>
      <c r="H23" s="208"/>
    </row>
    <row r="24" spans="2:14" ht="15.6" customHeight="1" x14ac:dyDescent="0.3">
      <c r="B24" s="101" t="s">
        <v>647</v>
      </c>
      <c r="C24" s="101" t="s">
        <v>683</v>
      </c>
      <c r="D24" s="102" t="s">
        <v>648</v>
      </c>
      <c r="F24" s="220" t="s">
        <v>649</v>
      </c>
      <c r="G24" s="220"/>
      <c r="H24" s="220"/>
      <c r="I24" s="220"/>
      <c r="J24" s="220"/>
      <c r="K24" s="220"/>
      <c r="L24" s="220"/>
      <c r="M24" s="220"/>
      <c r="N24" s="220"/>
    </row>
    <row r="25" spans="2:14" ht="14.4" customHeight="1" x14ac:dyDescent="0.3">
      <c r="B25" s="157">
        <v>1</v>
      </c>
      <c r="C25" s="94" t="s">
        <v>609</v>
      </c>
      <c r="D25" s="95">
        <v>4165.22</v>
      </c>
      <c r="F25" s="220"/>
      <c r="G25" s="220"/>
      <c r="H25" s="220"/>
      <c r="I25" s="220"/>
      <c r="J25" s="220"/>
      <c r="K25" s="220"/>
      <c r="L25" s="220"/>
      <c r="M25" s="220"/>
      <c r="N25" s="220"/>
    </row>
    <row r="26" spans="2:14" ht="14.4" customHeight="1" x14ac:dyDescent="0.3">
      <c r="B26" s="158">
        <v>2</v>
      </c>
      <c r="C26" s="96" t="s">
        <v>611</v>
      </c>
      <c r="D26" s="97">
        <v>3296.61</v>
      </c>
      <c r="F26" s="220"/>
      <c r="G26" s="220"/>
      <c r="H26" s="220"/>
      <c r="I26" s="220"/>
      <c r="J26" s="220"/>
      <c r="K26" s="220"/>
      <c r="L26" s="220"/>
      <c r="M26" s="220"/>
      <c r="N26" s="220"/>
    </row>
    <row r="27" spans="2:14" ht="14.4" customHeight="1" x14ac:dyDescent="0.3">
      <c r="B27" s="157">
        <v>3</v>
      </c>
      <c r="C27" s="94" t="s">
        <v>612</v>
      </c>
      <c r="D27" s="95">
        <v>1154.19</v>
      </c>
      <c r="F27" s="220"/>
      <c r="G27" s="220"/>
      <c r="H27" s="220"/>
      <c r="I27" s="220"/>
      <c r="J27" s="220"/>
      <c r="K27" s="220"/>
      <c r="L27" s="220"/>
      <c r="M27" s="220"/>
      <c r="N27" s="220"/>
    </row>
    <row r="28" spans="2:14" ht="14.4" customHeight="1" x14ac:dyDescent="0.3">
      <c r="B28" s="158">
        <v>4</v>
      </c>
      <c r="C28" s="96" t="s">
        <v>610</v>
      </c>
      <c r="D28" s="98">
        <v>411.36</v>
      </c>
      <c r="F28" s="220"/>
      <c r="G28" s="220"/>
      <c r="H28" s="220"/>
      <c r="I28" s="220"/>
      <c r="J28" s="220"/>
      <c r="K28" s="220"/>
      <c r="L28" s="220"/>
      <c r="M28" s="220"/>
      <c r="N28" s="220"/>
    </row>
    <row r="29" spans="2:14" ht="14.4" customHeight="1" x14ac:dyDescent="0.3">
      <c r="B29" s="157">
        <v>5</v>
      </c>
      <c r="C29" s="94" t="s">
        <v>608</v>
      </c>
      <c r="D29" s="99">
        <v>60.8</v>
      </c>
      <c r="F29" s="220"/>
      <c r="G29" s="220"/>
      <c r="H29" s="220"/>
      <c r="I29" s="220"/>
      <c r="J29" s="220"/>
      <c r="K29" s="220"/>
      <c r="L29" s="220"/>
      <c r="M29" s="220"/>
      <c r="N29" s="220"/>
    </row>
    <row r="30" spans="2:14" ht="14.4" customHeight="1" x14ac:dyDescent="0.3">
      <c r="B30" s="159">
        <v>6</v>
      </c>
      <c r="C30" s="100" t="s">
        <v>613</v>
      </c>
      <c r="D30" s="93">
        <v>46.9</v>
      </c>
      <c r="F30" s="220"/>
      <c r="G30" s="220"/>
      <c r="H30" s="220"/>
      <c r="I30" s="220"/>
      <c r="J30" s="220"/>
      <c r="K30" s="220"/>
      <c r="L30" s="220"/>
      <c r="M30" s="220"/>
      <c r="N30" s="220"/>
    </row>
    <row r="31" spans="2:14" ht="14.4" customHeight="1" x14ac:dyDescent="0.3">
      <c r="F31" s="103"/>
      <c r="G31" s="103"/>
      <c r="H31" s="103"/>
      <c r="I31" s="103"/>
      <c r="J31" s="103"/>
      <c r="K31" s="103"/>
      <c r="L31" s="103"/>
      <c r="M31" s="103"/>
      <c r="N31" s="103"/>
    </row>
    <row r="32" spans="2:14" x14ac:dyDescent="0.3">
      <c r="F32" s="103"/>
      <c r="G32" s="103"/>
      <c r="H32" s="103"/>
      <c r="I32" s="103"/>
      <c r="J32" s="103"/>
      <c r="K32" s="103"/>
      <c r="L32" s="103"/>
      <c r="M32" s="103"/>
      <c r="N32" s="103"/>
    </row>
    <row r="33" spans="6:14" x14ac:dyDescent="0.3">
      <c r="F33" s="103"/>
      <c r="G33" s="103"/>
      <c r="H33" s="103"/>
      <c r="I33" s="103"/>
      <c r="J33" s="103"/>
      <c r="K33" s="103"/>
      <c r="L33" s="103"/>
      <c r="M33" s="103"/>
      <c r="N33" s="103"/>
    </row>
  </sheetData>
  <mergeCells count="5">
    <mergeCell ref="B1:N2"/>
    <mergeCell ref="B4:N6"/>
    <mergeCell ref="B23:C23"/>
    <mergeCell ref="F23:H23"/>
    <mergeCell ref="F24:N30"/>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30"/>
  <sheetViews>
    <sheetView showGridLines="0" showRowColHeaders="0" workbookViewId="0">
      <selection activeCell="C22" sqref="C22"/>
    </sheetView>
  </sheetViews>
  <sheetFormatPr defaultRowHeight="14.4" x14ac:dyDescent="0.3"/>
  <cols>
    <col min="1" max="1" width="10.6640625" customWidth="1"/>
    <col min="2" max="2" width="11.44140625" customWidth="1"/>
    <col min="3" max="3" width="17.88671875" customWidth="1"/>
    <col min="4" max="4" width="26.6640625" customWidth="1"/>
    <col min="5" max="5" width="12" customWidth="1"/>
  </cols>
  <sheetData>
    <row r="1" spans="2:14" x14ac:dyDescent="0.3">
      <c r="B1" s="183" t="s">
        <v>676</v>
      </c>
      <c r="C1" s="183"/>
      <c r="D1" s="183"/>
      <c r="E1" s="183"/>
      <c r="F1" s="183"/>
      <c r="G1" s="183"/>
      <c r="H1" s="183"/>
      <c r="I1" s="183"/>
      <c r="J1" s="183"/>
      <c r="K1" s="183"/>
      <c r="L1" s="183"/>
      <c r="M1" s="183"/>
      <c r="N1" s="183"/>
    </row>
    <row r="2" spans="2:14" x14ac:dyDescent="0.3">
      <c r="B2" s="183"/>
      <c r="C2" s="183"/>
      <c r="D2" s="183"/>
      <c r="E2" s="183"/>
      <c r="F2" s="183"/>
      <c r="G2" s="183"/>
      <c r="H2" s="183"/>
      <c r="I2" s="183"/>
      <c r="J2" s="183"/>
      <c r="K2" s="183"/>
      <c r="L2" s="183"/>
      <c r="M2" s="183"/>
      <c r="N2" s="183"/>
    </row>
    <row r="4" spans="2:14" x14ac:dyDescent="0.3">
      <c r="B4" s="206" t="s">
        <v>684</v>
      </c>
      <c r="C4" s="221"/>
      <c r="D4" s="221"/>
      <c r="E4" s="221"/>
      <c r="F4" s="221"/>
      <c r="G4" s="221"/>
      <c r="H4" s="221"/>
      <c r="I4" s="221"/>
      <c r="J4" s="221"/>
      <c r="K4" s="221"/>
      <c r="L4" s="221"/>
      <c r="M4" s="221"/>
      <c r="N4" s="221"/>
    </row>
    <row r="5" spans="2:14" x14ac:dyDescent="0.3">
      <c r="B5" s="221"/>
      <c r="C5" s="221"/>
      <c r="D5" s="221"/>
      <c r="E5" s="221"/>
      <c r="F5" s="221"/>
      <c r="G5" s="221"/>
      <c r="H5" s="221"/>
      <c r="I5" s="221"/>
      <c r="J5" s="221"/>
      <c r="K5" s="221"/>
      <c r="L5" s="221"/>
      <c r="M5" s="221"/>
      <c r="N5" s="221"/>
    </row>
    <row r="6" spans="2:14" x14ac:dyDescent="0.3">
      <c r="B6" s="221"/>
      <c r="C6" s="221"/>
      <c r="D6" s="221"/>
      <c r="E6" s="221"/>
      <c r="F6" s="221"/>
      <c r="G6" s="221"/>
      <c r="H6" s="221"/>
      <c r="I6" s="221"/>
      <c r="J6" s="221"/>
      <c r="K6" s="221"/>
      <c r="L6" s="221"/>
      <c r="M6" s="221"/>
      <c r="N6" s="221"/>
    </row>
    <row r="10" spans="2:14" x14ac:dyDescent="0.3">
      <c r="C10" s="145" t="s">
        <v>646</v>
      </c>
      <c r="D10" s="85" t="s">
        <v>636</v>
      </c>
    </row>
    <row r="11" spans="2:14" x14ac:dyDescent="0.3">
      <c r="C11" s="90" t="s">
        <v>610</v>
      </c>
      <c r="D11" s="87">
        <v>659.4899999999999</v>
      </c>
    </row>
    <row r="12" spans="2:14" x14ac:dyDescent="0.3">
      <c r="C12" s="90" t="s">
        <v>609</v>
      </c>
      <c r="D12" s="87">
        <v>511.12999999999977</v>
      </c>
    </row>
    <row r="13" spans="2:14" x14ac:dyDescent="0.3">
      <c r="C13" s="90" t="s">
        <v>611</v>
      </c>
      <c r="D13" s="87">
        <v>264.89999999999986</v>
      </c>
    </row>
    <row r="14" spans="2:14" x14ac:dyDescent="0.3">
      <c r="C14" s="90" t="s">
        <v>612</v>
      </c>
      <c r="D14" s="87">
        <v>110.50000000000001</v>
      </c>
    </row>
    <row r="15" spans="2:14" x14ac:dyDescent="0.3">
      <c r="C15" s="90" t="s">
        <v>613</v>
      </c>
      <c r="D15" s="87">
        <v>9.6499999999999968</v>
      </c>
    </row>
    <row r="16" spans="2:14" x14ac:dyDescent="0.3">
      <c r="C16" s="90" t="s">
        <v>608</v>
      </c>
      <c r="D16" s="87">
        <v>9.18</v>
      </c>
    </row>
    <row r="17" spans="2:14" x14ac:dyDescent="0.3">
      <c r="C17" s="90" t="s">
        <v>605</v>
      </c>
      <c r="D17" s="87">
        <v>1564.8499999999997</v>
      </c>
    </row>
    <row r="21" spans="2:14" ht="21" x14ac:dyDescent="0.4">
      <c r="B21" s="218" t="s">
        <v>617</v>
      </c>
      <c r="C21" s="219"/>
      <c r="F21" s="216" t="s">
        <v>618</v>
      </c>
      <c r="G21" s="216"/>
      <c r="H21" s="216"/>
      <c r="I21" s="216"/>
    </row>
    <row r="22" spans="2:14" ht="15.6" customHeight="1" x14ac:dyDescent="0.3">
      <c r="B22" s="112" t="s">
        <v>647</v>
      </c>
      <c r="C22" s="112" t="s">
        <v>683</v>
      </c>
      <c r="D22" s="146" t="s">
        <v>677</v>
      </c>
      <c r="F22" s="220" t="s">
        <v>678</v>
      </c>
      <c r="G22" s="220"/>
      <c r="H22" s="220"/>
      <c r="I22" s="220"/>
      <c r="J22" s="220"/>
      <c r="K22" s="220"/>
      <c r="L22" s="220"/>
      <c r="M22" s="220"/>
      <c r="N22" s="220"/>
    </row>
    <row r="23" spans="2:14" x14ac:dyDescent="0.3">
      <c r="B23" s="109">
        <v>1</v>
      </c>
      <c r="C23" s="106" t="s">
        <v>610</v>
      </c>
      <c r="D23" s="107">
        <v>659.49</v>
      </c>
      <c r="F23" s="220"/>
      <c r="G23" s="220"/>
      <c r="H23" s="220"/>
      <c r="I23" s="220"/>
      <c r="J23" s="220"/>
      <c r="K23" s="220"/>
      <c r="L23" s="220"/>
      <c r="M23" s="220"/>
      <c r="N23" s="220"/>
    </row>
    <row r="24" spans="2:14" x14ac:dyDescent="0.3">
      <c r="B24" s="110">
        <v>2</v>
      </c>
      <c r="C24" s="108" t="s">
        <v>609</v>
      </c>
      <c r="D24" s="92">
        <v>511.13</v>
      </c>
      <c r="F24" s="220"/>
      <c r="G24" s="220"/>
      <c r="H24" s="220"/>
      <c r="I24" s="220"/>
      <c r="J24" s="220"/>
      <c r="K24" s="220"/>
      <c r="L24" s="220"/>
      <c r="M24" s="220"/>
      <c r="N24" s="220"/>
    </row>
    <row r="25" spans="2:14" x14ac:dyDescent="0.3">
      <c r="B25" s="109">
        <v>3</v>
      </c>
      <c r="C25" s="106" t="s">
        <v>611</v>
      </c>
      <c r="D25" s="107">
        <v>264.89999999999998</v>
      </c>
      <c r="F25" s="220"/>
      <c r="G25" s="220"/>
      <c r="H25" s="220"/>
      <c r="I25" s="220"/>
      <c r="J25" s="220"/>
      <c r="K25" s="220"/>
      <c r="L25" s="220"/>
      <c r="M25" s="220"/>
      <c r="N25" s="220"/>
    </row>
    <row r="26" spans="2:14" x14ac:dyDescent="0.3">
      <c r="B26" s="110">
        <v>4</v>
      </c>
      <c r="C26" s="108" t="s">
        <v>612</v>
      </c>
      <c r="D26" s="92">
        <v>110.5</v>
      </c>
      <c r="F26" s="220"/>
      <c r="G26" s="220"/>
      <c r="H26" s="220"/>
      <c r="I26" s="220"/>
      <c r="J26" s="220"/>
      <c r="K26" s="220"/>
      <c r="L26" s="220"/>
      <c r="M26" s="220"/>
      <c r="N26" s="220"/>
    </row>
    <row r="27" spans="2:14" x14ac:dyDescent="0.3">
      <c r="B27" s="109">
        <v>5</v>
      </c>
      <c r="C27" s="106" t="s">
        <v>613</v>
      </c>
      <c r="D27" s="107">
        <v>9.65</v>
      </c>
      <c r="F27" s="220"/>
      <c r="G27" s="220"/>
      <c r="H27" s="220"/>
      <c r="I27" s="220"/>
      <c r="J27" s="220"/>
      <c r="K27" s="220"/>
      <c r="L27" s="220"/>
      <c r="M27" s="220"/>
      <c r="N27" s="220"/>
    </row>
    <row r="28" spans="2:14" x14ac:dyDescent="0.3">
      <c r="B28" s="110">
        <v>6</v>
      </c>
      <c r="C28" s="108" t="s">
        <v>608</v>
      </c>
      <c r="D28" s="92">
        <v>9.18</v>
      </c>
      <c r="F28" s="220"/>
      <c r="G28" s="220"/>
      <c r="H28" s="220"/>
      <c r="I28" s="220"/>
      <c r="J28" s="220"/>
      <c r="K28" s="220"/>
      <c r="L28" s="220"/>
      <c r="M28" s="220"/>
      <c r="N28" s="220"/>
    </row>
    <row r="29" spans="2:14" x14ac:dyDescent="0.3">
      <c r="F29" s="220"/>
      <c r="G29" s="220"/>
      <c r="H29" s="220"/>
      <c r="I29" s="220"/>
      <c r="J29" s="220"/>
      <c r="K29" s="220"/>
      <c r="L29" s="220"/>
      <c r="M29" s="220"/>
      <c r="N29" s="220"/>
    </row>
    <row r="30" spans="2:14" x14ac:dyDescent="0.3">
      <c r="F30" s="220"/>
      <c r="G30" s="220"/>
      <c r="H30" s="220"/>
      <c r="I30" s="220"/>
      <c r="J30" s="220"/>
      <c r="K30" s="220"/>
      <c r="L30" s="220"/>
      <c r="M30" s="220"/>
      <c r="N30" s="220"/>
    </row>
  </sheetData>
  <mergeCells count="5">
    <mergeCell ref="B1:N2"/>
    <mergeCell ref="B4:N6"/>
    <mergeCell ref="B21:C21"/>
    <mergeCell ref="F21:I21"/>
    <mergeCell ref="F22:N30"/>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32"/>
  <sheetViews>
    <sheetView showGridLines="0" showRowColHeaders="0" topLeftCell="A5" zoomScale="97" zoomScaleNormal="100" workbookViewId="0">
      <selection activeCell="C14" sqref="C14"/>
    </sheetView>
  </sheetViews>
  <sheetFormatPr defaultRowHeight="14.4" x14ac:dyDescent="0.3"/>
  <cols>
    <col min="1" max="1" width="7.77734375" customWidth="1"/>
    <col min="2" max="2" width="19.77734375" customWidth="1"/>
    <col min="3" max="3" width="37.44140625" customWidth="1"/>
    <col min="4" max="4" width="18.88671875" customWidth="1"/>
    <col min="5" max="5" width="13" customWidth="1"/>
  </cols>
  <sheetData>
    <row r="1" spans="2:14" x14ac:dyDescent="0.3">
      <c r="B1" s="183" t="s">
        <v>651</v>
      </c>
      <c r="C1" s="183"/>
      <c r="D1" s="183"/>
      <c r="E1" s="183"/>
      <c r="F1" s="183"/>
      <c r="G1" s="183"/>
      <c r="H1" s="183"/>
      <c r="I1" s="183"/>
      <c r="J1" s="183"/>
      <c r="K1" s="183"/>
      <c r="L1" s="183"/>
      <c r="M1" s="183"/>
      <c r="N1" s="183"/>
    </row>
    <row r="2" spans="2:14" x14ac:dyDescent="0.3">
      <c r="B2" s="183"/>
      <c r="C2" s="183"/>
      <c r="D2" s="183"/>
      <c r="E2" s="183"/>
      <c r="F2" s="183"/>
      <c r="G2" s="183"/>
      <c r="H2" s="183"/>
      <c r="I2" s="183"/>
      <c r="J2" s="183"/>
      <c r="K2" s="183"/>
      <c r="L2" s="183"/>
      <c r="M2" s="183"/>
      <c r="N2" s="183"/>
    </row>
    <row r="4" spans="2:14" x14ac:dyDescent="0.3">
      <c r="B4" s="217" t="s">
        <v>652</v>
      </c>
      <c r="C4" s="207"/>
      <c r="D4" s="207"/>
      <c r="E4" s="207"/>
      <c r="F4" s="207"/>
      <c r="G4" s="207"/>
      <c r="H4" s="207"/>
      <c r="I4" s="207"/>
      <c r="J4" s="207"/>
      <c r="K4" s="207"/>
      <c r="L4" s="207"/>
      <c r="M4" s="207"/>
      <c r="N4" s="207"/>
    </row>
    <row r="5" spans="2:14" x14ac:dyDescent="0.3">
      <c r="B5" s="207"/>
      <c r="C5" s="207"/>
      <c r="D5" s="207"/>
      <c r="E5" s="207"/>
      <c r="F5" s="207"/>
      <c r="G5" s="207"/>
      <c r="H5" s="207"/>
      <c r="I5" s="207"/>
      <c r="J5" s="207"/>
      <c r="K5" s="207"/>
      <c r="L5" s="207"/>
      <c r="M5" s="207"/>
      <c r="N5" s="207"/>
    </row>
    <row r="6" spans="2:14" x14ac:dyDescent="0.3">
      <c r="B6" s="207"/>
      <c r="C6" s="207"/>
      <c r="D6" s="207"/>
      <c r="E6" s="207"/>
      <c r="F6" s="207"/>
      <c r="G6" s="207"/>
      <c r="H6" s="207"/>
      <c r="I6" s="207"/>
      <c r="J6" s="207"/>
      <c r="K6" s="207"/>
      <c r="L6" s="207"/>
      <c r="M6" s="207"/>
      <c r="N6" s="207"/>
    </row>
    <row r="8" spans="2:14" x14ac:dyDescent="0.3">
      <c r="B8" s="145" t="s">
        <v>650</v>
      </c>
      <c r="C8" s="85" t="s">
        <v>614</v>
      </c>
    </row>
    <row r="9" spans="2:14" x14ac:dyDescent="0.3">
      <c r="B9" s="86">
        <v>8548</v>
      </c>
      <c r="C9" s="87">
        <v>234</v>
      </c>
    </row>
    <row r="10" spans="2:14" x14ac:dyDescent="0.3">
      <c r="B10" s="86">
        <v>8510</v>
      </c>
      <c r="C10" s="87">
        <v>219</v>
      </c>
    </row>
    <row r="11" spans="2:14" x14ac:dyDescent="0.3">
      <c r="B11" s="86">
        <v>8436</v>
      </c>
      <c r="C11" s="87">
        <v>174</v>
      </c>
    </row>
    <row r="12" spans="2:14" x14ac:dyDescent="0.3">
      <c r="B12" s="86">
        <v>8444</v>
      </c>
      <c r="C12" s="87">
        <v>97</v>
      </c>
    </row>
    <row r="13" spans="2:14" x14ac:dyDescent="0.3">
      <c r="B13" s="86">
        <v>8522</v>
      </c>
      <c r="C13" s="87">
        <v>84</v>
      </c>
    </row>
    <row r="14" spans="2:14" x14ac:dyDescent="0.3">
      <c r="B14" s="86">
        <v>8426</v>
      </c>
      <c r="C14" s="87">
        <v>78</v>
      </c>
    </row>
    <row r="15" spans="2:14" x14ac:dyDescent="0.3">
      <c r="B15" s="86">
        <v>7402</v>
      </c>
      <c r="C15" s="87">
        <v>76</v>
      </c>
    </row>
    <row r="16" spans="2:14" x14ac:dyDescent="0.3">
      <c r="B16" s="86">
        <v>8440</v>
      </c>
      <c r="C16" s="87">
        <v>71</v>
      </c>
    </row>
    <row r="17" spans="2:14" x14ac:dyDescent="0.3">
      <c r="B17" s="86">
        <v>3918</v>
      </c>
      <c r="C17" s="87">
        <v>66</v>
      </c>
    </row>
    <row r="18" spans="2:14" x14ac:dyDescent="0.3">
      <c r="B18" s="86">
        <v>7415</v>
      </c>
      <c r="C18" s="87">
        <v>64</v>
      </c>
    </row>
    <row r="21" spans="2:14" ht="21" x14ac:dyDescent="0.4">
      <c r="B21" s="104" t="s">
        <v>617</v>
      </c>
      <c r="F21" s="222" t="s">
        <v>618</v>
      </c>
      <c r="G21" s="222"/>
      <c r="H21" s="222"/>
      <c r="I21" s="222"/>
    </row>
    <row r="22" spans="2:14" ht="18" x14ac:dyDescent="0.3">
      <c r="B22" s="105" t="s">
        <v>641</v>
      </c>
      <c r="C22" s="105" t="s">
        <v>653</v>
      </c>
      <c r="D22" s="105" t="s">
        <v>654</v>
      </c>
      <c r="F22" s="194" t="s">
        <v>665</v>
      </c>
      <c r="G22" s="209"/>
      <c r="H22" s="209"/>
      <c r="I22" s="209"/>
      <c r="J22" s="209"/>
      <c r="K22" s="209"/>
      <c r="L22" s="209"/>
      <c r="M22" s="209"/>
      <c r="N22" s="209"/>
    </row>
    <row r="23" spans="2:14" x14ac:dyDescent="0.3">
      <c r="B23" s="109">
        <v>8548</v>
      </c>
      <c r="C23" s="106" t="s">
        <v>655</v>
      </c>
      <c r="D23" s="111">
        <v>234</v>
      </c>
      <c r="F23" s="209"/>
      <c r="G23" s="209"/>
      <c r="H23" s="209"/>
      <c r="I23" s="209"/>
      <c r="J23" s="209"/>
      <c r="K23" s="209"/>
      <c r="L23" s="209"/>
      <c r="M23" s="209"/>
      <c r="N23" s="209"/>
    </row>
    <row r="24" spans="2:14" x14ac:dyDescent="0.3">
      <c r="B24" s="110">
        <v>8510</v>
      </c>
      <c r="C24" s="108" t="s">
        <v>656</v>
      </c>
      <c r="D24" s="91">
        <v>219</v>
      </c>
      <c r="F24" s="209"/>
      <c r="G24" s="209"/>
      <c r="H24" s="209"/>
      <c r="I24" s="209"/>
      <c r="J24" s="209"/>
      <c r="K24" s="209"/>
      <c r="L24" s="209"/>
      <c r="M24" s="209"/>
      <c r="N24" s="209"/>
    </row>
    <row r="25" spans="2:14" x14ac:dyDescent="0.3">
      <c r="B25" s="109">
        <v>8436</v>
      </c>
      <c r="C25" s="106" t="s">
        <v>657</v>
      </c>
      <c r="D25" s="111">
        <v>174</v>
      </c>
      <c r="F25" s="209"/>
      <c r="G25" s="209"/>
      <c r="H25" s="209"/>
      <c r="I25" s="209"/>
      <c r="J25" s="209"/>
      <c r="K25" s="209"/>
      <c r="L25" s="209"/>
      <c r="M25" s="209"/>
      <c r="N25" s="209"/>
    </row>
    <row r="26" spans="2:14" x14ac:dyDescent="0.3">
      <c r="B26" s="110">
        <v>8444</v>
      </c>
      <c r="C26" s="108" t="s">
        <v>658</v>
      </c>
      <c r="D26" s="91">
        <v>97</v>
      </c>
      <c r="F26" s="209"/>
      <c r="G26" s="209"/>
      <c r="H26" s="209"/>
      <c r="I26" s="209"/>
      <c r="J26" s="209"/>
      <c r="K26" s="209"/>
      <c r="L26" s="209"/>
      <c r="M26" s="209"/>
      <c r="N26" s="209"/>
    </row>
    <row r="27" spans="2:14" x14ac:dyDescent="0.3">
      <c r="B27" s="109">
        <v>8522</v>
      </c>
      <c r="C27" s="106" t="s">
        <v>659</v>
      </c>
      <c r="D27" s="111">
        <v>84</v>
      </c>
      <c r="F27" s="209"/>
      <c r="G27" s="209"/>
      <c r="H27" s="209"/>
      <c r="I27" s="209"/>
      <c r="J27" s="209"/>
      <c r="K27" s="209"/>
      <c r="L27" s="209"/>
      <c r="M27" s="209"/>
      <c r="N27" s="209"/>
    </row>
    <row r="28" spans="2:14" x14ac:dyDescent="0.3">
      <c r="B28" s="110">
        <v>8426</v>
      </c>
      <c r="C28" s="108" t="s">
        <v>660</v>
      </c>
      <c r="D28" s="91">
        <v>78</v>
      </c>
      <c r="F28" s="209"/>
      <c r="G28" s="209"/>
      <c r="H28" s="209"/>
      <c r="I28" s="209"/>
      <c r="J28" s="209"/>
      <c r="K28" s="209"/>
      <c r="L28" s="209"/>
      <c r="M28" s="209"/>
      <c r="N28" s="209"/>
    </row>
    <row r="29" spans="2:14" x14ac:dyDescent="0.3">
      <c r="B29" s="109">
        <v>7402</v>
      </c>
      <c r="C29" s="106" t="s">
        <v>661</v>
      </c>
      <c r="D29" s="111">
        <v>76</v>
      </c>
      <c r="F29" s="209"/>
      <c r="G29" s="209"/>
      <c r="H29" s="209"/>
      <c r="I29" s="209"/>
      <c r="J29" s="209"/>
      <c r="K29" s="209"/>
      <c r="L29" s="209"/>
      <c r="M29" s="209"/>
      <c r="N29" s="209"/>
    </row>
    <row r="30" spans="2:14" x14ac:dyDescent="0.3">
      <c r="B30" s="110">
        <v>8440</v>
      </c>
      <c r="C30" s="108" t="s">
        <v>662</v>
      </c>
      <c r="D30" s="91">
        <v>71</v>
      </c>
      <c r="F30" s="209"/>
      <c r="G30" s="209"/>
      <c r="H30" s="209"/>
      <c r="I30" s="209"/>
      <c r="J30" s="209"/>
      <c r="K30" s="209"/>
      <c r="L30" s="209"/>
      <c r="M30" s="209"/>
      <c r="N30" s="209"/>
    </row>
    <row r="31" spans="2:14" x14ac:dyDescent="0.3">
      <c r="B31" s="109">
        <v>3918</v>
      </c>
      <c r="C31" s="106" t="s">
        <v>663</v>
      </c>
      <c r="D31" s="111">
        <v>66</v>
      </c>
      <c r="F31" s="209"/>
      <c r="G31" s="209"/>
      <c r="H31" s="209"/>
      <c r="I31" s="209"/>
      <c r="J31" s="209"/>
      <c r="K31" s="209"/>
      <c r="L31" s="209"/>
      <c r="M31" s="209"/>
      <c r="N31" s="209"/>
    </row>
    <row r="32" spans="2:14" x14ac:dyDescent="0.3">
      <c r="B32" s="110">
        <v>7415</v>
      </c>
      <c r="C32" s="108" t="s">
        <v>664</v>
      </c>
      <c r="D32" s="91">
        <v>64</v>
      </c>
      <c r="F32" s="209"/>
      <c r="G32" s="209"/>
      <c r="H32" s="209"/>
      <c r="I32" s="209"/>
      <c r="J32" s="209"/>
      <c r="K32" s="209"/>
      <c r="L32" s="209"/>
      <c r="M32" s="209"/>
      <c r="N32" s="209"/>
    </row>
  </sheetData>
  <mergeCells count="4">
    <mergeCell ref="B1:N2"/>
    <mergeCell ref="B4:N6"/>
    <mergeCell ref="F21:I21"/>
    <mergeCell ref="F22:N3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33"/>
  <sheetViews>
    <sheetView showGridLines="0" showRowColHeaders="0" tabSelected="1" zoomScaleNormal="100" workbookViewId="0">
      <selection activeCell="D15" sqref="D15"/>
    </sheetView>
  </sheetViews>
  <sheetFormatPr defaultRowHeight="14.4" x14ac:dyDescent="0.3"/>
  <cols>
    <col min="1" max="1" width="13.77734375" customWidth="1"/>
    <col min="2" max="2" width="12.5546875" customWidth="1"/>
    <col min="3" max="3" width="35" customWidth="1"/>
    <col min="4" max="4" width="14.21875" customWidth="1"/>
    <col min="5" max="5" width="10.44140625" customWidth="1"/>
  </cols>
  <sheetData>
    <row r="1" spans="2:14" x14ac:dyDescent="0.3">
      <c r="B1" s="183" t="s">
        <v>674</v>
      </c>
      <c r="C1" s="183"/>
      <c r="D1" s="183"/>
      <c r="E1" s="183"/>
      <c r="F1" s="183"/>
      <c r="G1" s="183"/>
      <c r="H1" s="183"/>
      <c r="I1" s="183"/>
      <c r="J1" s="183"/>
      <c r="K1" s="183"/>
      <c r="L1" s="183"/>
      <c r="M1" s="183"/>
      <c r="N1" s="183"/>
    </row>
    <row r="2" spans="2:14" x14ac:dyDescent="0.3">
      <c r="B2" s="183"/>
      <c r="C2" s="183"/>
      <c r="D2" s="183"/>
      <c r="E2" s="183"/>
      <c r="F2" s="183"/>
      <c r="G2" s="183"/>
      <c r="H2" s="183"/>
      <c r="I2" s="183"/>
      <c r="J2" s="183"/>
      <c r="K2" s="183"/>
      <c r="L2" s="183"/>
      <c r="M2" s="183"/>
      <c r="N2" s="183"/>
    </row>
    <row r="4" spans="2:14" x14ac:dyDescent="0.3">
      <c r="B4" s="206" t="s">
        <v>675</v>
      </c>
      <c r="C4" s="221"/>
      <c r="D4" s="221"/>
      <c r="E4" s="221"/>
      <c r="F4" s="221"/>
      <c r="G4" s="221"/>
      <c r="H4" s="221"/>
      <c r="I4" s="221"/>
      <c r="J4" s="221"/>
      <c r="K4" s="221"/>
      <c r="L4" s="221"/>
      <c r="M4" s="221"/>
      <c r="N4" s="221"/>
    </row>
    <row r="5" spans="2:14" x14ac:dyDescent="0.3">
      <c r="B5" s="221"/>
      <c r="C5" s="221"/>
      <c r="D5" s="221"/>
      <c r="E5" s="221"/>
      <c r="F5" s="221"/>
      <c r="G5" s="221"/>
      <c r="H5" s="221"/>
      <c r="I5" s="221"/>
      <c r="J5" s="221"/>
      <c r="K5" s="221"/>
      <c r="L5" s="221"/>
      <c r="M5" s="221"/>
      <c r="N5" s="221"/>
    </row>
    <row r="6" spans="2:14" x14ac:dyDescent="0.3">
      <c r="B6" s="221"/>
      <c r="C6" s="221"/>
      <c r="D6" s="221"/>
      <c r="E6" s="221"/>
      <c r="F6" s="221"/>
      <c r="G6" s="221"/>
      <c r="H6" s="221"/>
      <c r="I6" s="221"/>
      <c r="J6" s="221"/>
      <c r="K6" s="221"/>
      <c r="L6" s="221"/>
      <c r="M6" s="221"/>
      <c r="N6" s="221"/>
    </row>
    <row r="9" spans="2:14" x14ac:dyDescent="0.3">
      <c r="B9" s="145" t="s">
        <v>604</v>
      </c>
      <c r="C9" s="85" t="s">
        <v>615</v>
      </c>
    </row>
    <row r="10" spans="2:14" x14ac:dyDescent="0.3">
      <c r="B10" s="90">
        <v>7602</v>
      </c>
      <c r="C10" s="87">
        <v>452</v>
      </c>
    </row>
    <row r="11" spans="2:14" x14ac:dyDescent="0.3">
      <c r="B11" s="90">
        <v>8527</v>
      </c>
      <c r="C11" s="87">
        <v>343</v>
      </c>
    </row>
    <row r="12" spans="2:14" x14ac:dyDescent="0.3">
      <c r="B12" s="90">
        <v>8433</v>
      </c>
      <c r="C12" s="87">
        <v>186</v>
      </c>
    </row>
    <row r="13" spans="2:14" x14ac:dyDescent="0.3">
      <c r="B13" s="90">
        <v>3903</v>
      </c>
      <c r="C13" s="87">
        <v>178</v>
      </c>
    </row>
    <row r="14" spans="2:14" x14ac:dyDescent="0.3">
      <c r="B14" s="90">
        <v>8548</v>
      </c>
      <c r="C14" s="87">
        <v>170</v>
      </c>
    </row>
    <row r="15" spans="2:14" x14ac:dyDescent="0.3">
      <c r="B15" s="90">
        <v>8445</v>
      </c>
      <c r="C15" s="87">
        <v>157</v>
      </c>
    </row>
    <row r="16" spans="2:14" x14ac:dyDescent="0.3">
      <c r="B16" s="90">
        <v>8525</v>
      </c>
      <c r="C16" s="87">
        <v>148</v>
      </c>
    </row>
    <row r="17" spans="2:14" x14ac:dyDescent="0.3">
      <c r="B17" s="90">
        <v>7406</v>
      </c>
      <c r="C17" s="87">
        <v>133</v>
      </c>
    </row>
    <row r="18" spans="2:14" x14ac:dyDescent="0.3">
      <c r="B18" s="90">
        <v>3916</v>
      </c>
      <c r="C18" s="87">
        <v>128</v>
      </c>
    </row>
    <row r="19" spans="2:14" x14ac:dyDescent="0.3">
      <c r="B19" s="90">
        <v>7412</v>
      </c>
      <c r="C19" s="87">
        <v>128</v>
      </c>
    </row>
    <row r="22" spans="2:14" ht="21" x14ac:dyDescent="0.4">
      <c r="B22" s="216" t="s">
        <v>617</v>
      </c>
      <c r="C22" s="216"/>
      <c r="F22" s="216" t="s">
        <v>618</v>
      </c>
      <c r="G22" s="216"/>
      <c r="H22" s="216"/>
      <c r="I22" s="216"/>
    </row>
    <row r="23" spans="2:14" ht="15.6" x14ac:dyDescent="0.3">
      <c r="B23" s="112" t="s">
        <v>641</v>
      </c>
      <c r="C23" s="112" t="s">
        <v>653</v>
      </c>
      <c r="D23" s="112" t="s">
        <v>654</v>
      </c>
      <c r="F23" s="194" t="s">
        <v>673</v>
      </c>
      <c r="G23" s="194"/>
      <c r="H23" s="194"/>
      <c r="I23" s="194"/>
      <c r="J23" s="194"/>
      <c r="K23" s="194"/>
      <c r="L23" s="194"/>
      <c r="M23" s="113"/>
      <c r="N23" s="17"/>
    </row>
    <row r="24" spans="2:14" ht="14.4" customHeight="1" x14ac:dyDescent="0.3">
      <c r="B24" s="109">
        <v>7602</v>
      </c>
      <c r="C24" s="106" t="s">
        <v>666</v>
      </c>
      <c r="D24" s="111">
        <v>452</v>
      </c>
      <c r="F24" s="194"/>
      <c r="G24" s="194"/>
      <c r="H24" s="194"/>
      <c r="I24" s="194"/>
      <c r="J24" s="194"/>
      <c r="K24" s="194"/>
      <c r="L24" s="194"/>
      <c r="M24" s="113"/>
      <c r="N24" s="17"/>
    </row>
    <row r="25" spans="2:14" ht="14.4" customHeight="1" x14ac:dyDescent="0.3">
      <c r="B25" s="110">
        <v>8527</v>
      </c>
      <c r="C25" s="108" t="s">
        <v>667</v>
      </c>
      <c r="D25" s="91">
        <v>343</v>
      </c>
      <c r="F25" s="194"/>
      <c r="G25" s="194"/>
      <c r="H25" s="194"/>
      <c r="I25" s="194"/>
      <c r="J25" s="194"/>
      <c r="K25" s="194"/>
      <c r="L25" s="194"/>
      <c r="M25" s="113"/>
      <c r="N25" s="17"/>
    </row>
    <row r="26" spans="2:14" ht="14.4" customHeight="1" x14ac:dyDescent="0.3">
      <c r="B26" s="109">
        <v>8433</v>
      </c>
      <c r="C26" s="106" t="s">
        <v>657</v>
      </c>
      <c r="D26" s="111">
        <v>186</v>
      </c>
      <c r="F26" s="194"/>
      <c r="G26" s="194"/>
      <c r="H26" s="194"/>
      <c r="I26" s="194"/>
      <c r="J26" s="194"/>
      <c r="K26" s="194"/>
      <c r="L26" s="194"/>
      <c r="M26" s="113"/>
      <c r="N26" s="17"/>
    </row>
    <row r="27" spans="2:14" ht="14.4" customHeight="1" x14ac:dyDescent="0.3">
      <c r="B27" s="110">
        <v>3903</v>
      </c>
      <c r="C27" s="108" t="s">
        <v>668</v>
      </c>
      <c r="D27" s="91">
        <v>178</v>
      </c>
      <c r="F27" s="194"/>
      <c r="G27" s="194"/>
      <c r="H27" s="194"/>
      <c r="I27" s="194"/>
      <c r="J27" s="194"/>
      <c r="K27" s="194"/>
      <c r="L27" s="194"/>
      <c r="M27" s="113"/>
      <c r="N27" s="17"/>
    </row>
    <row r="28" spans="2:14" ht="14.4" customHeight="1" x14ac:dyDescent="0.3">
      <c r="B28" s="109">
        <v>8548</v>
      </c>
      <c r="C28" s="106" t="s">
        <v>655</v>
      </c>
      <c r="D28" s="111">
        <v>170</v>
      </c>
      <c r="F28" s="194"/>
      <c r="G28" s="194"/>
      <c r="H28" s="194"/>
      <c r="I28" s="194"/>
      <c r="J28" s="194"/>
      <c r="K28" s="194"/>
      <c r="L28" s="194"/>
      <c r="M28" s="113"/>
      <c r="N28" s="17"/>
    </row>
    <row r="29" spans="2:14" ht="14.4" customHeight="1" x14ac:dyDescent="0.3">
      <c r="B29" s="110">
        <v>8445</v>
      </c>
      <c r="C29" s="108" t="s">
        <v>658</v>
      </c>
      <c r="D29" s="91">
        <v>157</v>
      </c>
      <c r="F29" s="194"/>
      <c r="G29" s="194"/>
      <c r="H29" s="194"/>
      <c r="I29" s="194"/>
      <c r="J29" s="194"/>
      <c r="K29" s="194"/>
      <c r="L29" s="194"/>
      <c r="M29" s="113"/>
      <c r="N29" s="17"/>
    </row>
    <row r="30" spans="2:14" ht="14.4" customHeight="1" x14ac:dyDescent="0.3">
      <c r="B30" s="109">
        <v>8525</v>
      </c>
      <c r="C30" s="106" t="s">
        <v>669</v>
      </c>
      <c r="D30" s="111">
        <v>148</v>
      </c>
      <c r="F30" s="194"/>
      <c r="G30" s="194"/>
      <c r="H30" s="194"/>
      <c r="I30" s="194"/>
      <c r="J30" s="194"/>
      <c r="K30" s="194"/>
      <c r="L30" s="194"/>
      <c r="M30" s="113"/>
      <c r="N30" s="17"/>
    </row>
    <row r="31" spans="2:14" ht="14.4" customHeight="1" x14ac:dyDescent="0.3">
      <c r="B31" s="110">
        <v>7406</v>
      </c>
      <c r="C31" s="108" t="s">
        <v>670</v>
      </c>
      <c r="D31" s="91">
        <v>133</v>
      </c>
      <c r="F31" s="194"/>
      <c r="G31" s="194"/>
      <c r="H31" s="194"/>
      <c r="I31" s="194"/>
      <c r="J31" s="194"/>
      <c r="K31" s="194"/>
      <c r="L31" s="194"/>
      <c r="M31" s="113"/>
      <c r="N31" s="17"/>
    </row>
    <row r="32" spans="2:14" ht="14.4" customHeight="1" x14ac:dyDescent="0.3">
      <c r="B32" s="109">
        <v>3916</v>
      </c>
      <c r="C32" s="106" t="s">
        <v>671</v>
      </c>
      <c r="D32" s="111">
        <v>128</v>
      </c>
      <c r="F32" s="113"/>
      <c r="G32" s="113"/>
      <c r="H32" s="113"/>
      <c r="I32" s="113"/>
      <c r="J32" s="113"/>
      <c r="K32" s="113"/>
      <c r="L32" s="113"/>
      <c r="M32" s="113"/>
      <c r="N32" s="17"/>
    </row>
    <row r="33" spans="2:14" ht="14.4" customHeight="1" x14ac:dyDescent="0.3">
      <c r="B33" s="110">
        <v>7412</v>
      </c>
      <c r="C33" s="108" t="s">
        <v>672</v>
      </c>
      <c r="D33" s="91">
        <v>128</v>
      </c>
      <c r="F33" s="113"/>
      <c r="G33" s="113"/>
      <c r="H33" s="113"/>
      <c r="I33" s="113"/>
      <c r="J33" s="113"/>
      <c r="K33" s="113"/>
      <c r="L33" s="113"/>
      <c r="M33" s="113"/>
      <c r="N33" s="17"/>
    </row>
  </sheetData>
  <mergeCells count="5">
    <mergeCell ref="B1:N2"/>
    <mergeCell ref="B4:N6"/>
    <mergeCell ref="B22:C22"/>
    <mergeCell ref="F22:I22"/>
    <mergeCell ref="F23:L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TS_Imports</vt:lpstr>
      <vt:lpstr>TS_Exports</vt:lpstr>
      <vt:lpstr>TI_Imports</vt:lpstr>
      <vt:lpstr>TI_Exports</vt:lpstr>
      <vt:lpstr>Product_Mapping</vt:lpstr>
      <vt:lpstr>01_Import_Trend</vt:lpstr>
      <vt:lpstr>02_Export_Trend</vt:lpstr>
      <vt:lpstr>03_Trade_Balance</vt:lpstr>
      <vt:lpstr>04_Top_Import_Products</vt:lpstr>
      <vt:lpstr>05_Top_Export_Products</vt:lpstr>
      <vt:lpstr>06_Category-wise_Import</vt:lpstr>
      <vt:lpstr>07_Category-wise_Export</vt:lpstr>
      <vt:lpstr>08_High-Growth_Import_Products</vt:lpstr>
      <vt:lpstr>09_High-Growth Export 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2026-07-14T22:37:20Z</dcterms:created>
  <dcterms:modified xsi:type="dcterms:W3CDTF">2026-08-30T22:14:14Z</dcterms:modified>
</cp:coreProperties>
</file>